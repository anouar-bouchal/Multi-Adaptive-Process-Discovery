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ife\PHD\MINI-CUBES\prelog\reports\"/>
    </mc:Choice>
  </mc:AlternateContent>
  <xr:revisionPtr revIDLastSave="0" documentId="13_ncr:1_{1EF7C33C-6B92-4F97-AE59-1B6ED8B2B28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5" r:id="rId1"/>
    <sheet name="ASSETS" sheetId="3" r:id="rId2"/>
    <sheet name="ALL" sheetId="4" r:id="rId3"/>
    <sheet name="Limit raise" sheetId="2" r:id="rId4"/>
    <sheet name="New credit" sheetId="1" r:id="rId5"/>
  </sheets>
  <definedNames>
    <definedName name="_xlnm._FilterDatabase" localSheetId="1" hidden="1">ASSETS!$C$17:$F$493</definedName>
    <definedName name="_xlnm._FilterDatabase" localSheetId="3" hidden="1">'Limit raise'!$A$1:$O$1</definedName>
    <definedName name="_xlnm._FilterDatabase" localSheetId="4" hidden="1">'New credit'!$A$1:$O$1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3" l="1" a="1"/>
  <c r="K19" i="3" s="1"/>
  <c r="L19" i="3"/>
  <c r="L493" i="3" l="1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I19" i="3" a="1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4" i="3"/>
  <c r="G23" i="3"/>
  <c r="G22" i="3"/>
  <c r="G21" i="3"/>
  <c r="G20" i="3"/>
  <c r="G19" i="3"/>
  <c r="G25" i="3"/>
  <c r="K20" i="3" a="1"/>
  <c r="K21" i="3" a="1"/>
  <c r="K22" i="3" a="1"/>
  <c r="K23" i="3" a="1"/>
  <c r="K24" i="3" a="1"/>
  <c r="K25" i="3" a="1"/>
  <c r="K26" i="3" a="1"/>
  <c r="K27" i="3" a="1"/>
  <c r="K28" i="3" a="1"/>
  <c r="K29" i="3" a="1"/>
  <c r="K30" i="3" a="1"/>
  <c r="K31" i="3" a="1"/>
  <c r="K32" i="3" a="1"/>
  <c r="K33" i="3" a="1"/>
  <c r="K34" i="3" a="1"/>
  <c r="K35" i="3" a="1"/>
  <c r="K36" i="3" a="1"/>
  <c r="K37" i="3" a="1"/>
  <c r="K38" i="3" a="1"/>
  <c r="K39" i="3" a="1"/>
  <c r="K40" i="3" a="1"/>
  <c r="K41" i="3" a="1"/>
  <c r="K42" i="3" a="1"/>
  <c r="K43" i="3" a="1"/>
  <c r="K44" i="3" a="1"/>
  <c r="K45" i="3" a="1"/>
  <c r="K46" i="3" a="1"/>
  <c r="K47" i="3" a="1"/>
  <c r="K48" i="3" a="1"/>
  <c r="K49" i="3" a="1"/>
  <c r="K50" i="3" a="1"/>
  <c r="K51" i="3" a="1"/>
  <c r="K52" i="3" a="1"/>
  <c r="K53" i="3" a="1"/>
  <c r="K54" i="3" a="1"/>
  <c r="K55" i="3" a="1"/>
  <c r="K56" i="3" a="1"/>
  <c r="K57" i="3" a="1"/>
  <c r="K58" i="3" a="1"/>
  <c r="K59" i="3" a="1"/>
  <c r="K60" i="3" a="1"/>
  <c r="K61" i="3" a="1"/>
  <c r="K62" i="3" a="1"/>
  <c r="K63" i="3" a="1"/>
  <c r="K64" i="3" a="1"/>
  <c r="K65" i="3" a="1"/>
  <c r="K66" i="3" a="1"/>
  <c r="K67" i="3" a="1"/>
  <c r="K68" i="3" a="1"/>
  <c r="K69" i="3" a="1"/>
  <c r="K70" i="3" a="1"/>
  <c r="K71" i="3" a="1"/>
  <c r="K72" i="3" a="1"/>
  <c r="K73" i="3" a="1"/>
  <c r="K74" i="3" a="1"/>
  <c r="K75" i="3" a="1"/>
  <c r="K76" i="3" a="1"/>
  <c r="K77" i="3" a="1"/>
  <c r="K78" i="3" a="1"/>
  <c r="K79" i="3" a="1"/>
  <c r="K80" i="3" a="1"/>
  <c r="K81" i="3" a="1"/>
  <c r="K82" i="3" a="1"/>
  <c r="K83" i="3" a="1"/>
  <c r="K84" i="3" a="1"/>
  <c r="K85" i="3" a="1"/>
  <c r="K86" i="3" a="1"/>
  <c r="K87" i="3" a="1"/>
  <c r="K88" i="3" a="1"/>
  <c r="K89" i="3" a="1"/>
  <c r="K90" i="3" a="1"/>
  <c r="K91" i="3" a="1"/>
  <c r="K92" i="3" a="1"/>
  <c r="K93" i="3" a="1"/>
  <c r="K94" i="3" a="1"/>
  <c r="K95" i="3" a="1"/>
  <c r="K96" i="3" a="1"/>
  <c r="K97" i="3" a="1"/>
  <c r="K98" i="3" a="1"/>
  <c r="K99" i="3" a="1"/>
  <c r="K100" i="3" a="1"/>
  <c r="K101" i="3" a="1"/>
  <c r="K102" i="3" a="1"/>
  <c r="K103" i="3" a="1"/>
  <c r="K104" i="3" a="1"/>
  <c r="K105" i="3" a="1"/>
  <c r="K106" i="3" a="1"/>
  <c r="K107" i="3" a="1"/>
  <c r="K108" i="3" a="1"/>
  <c r="K109" i="3" a="1"/>
  <c r="K110" i="3" a="1"/>
  <c r="K111" i="3" a="1"/>
  <c r="K112" i="3" a="1"/>
  <c r="K113" i="3" a="1"/>
  <c r="K114" i="3" a="1"/>
  <c r="K115" i="3" a="1"/>
  <c r="K116" i="3" a="1"/>
  <c r="K117" i="3" a="1"/>
  <c r="K118" i="3" a="1"/>
  <c r="K119" i="3" a="1"/>
  <c r="K120" i="3" a="1"/>
  <c r="K121" i="3" a="1"/>
  <c r="K122" i="3" a="1"/>
  <c r="K123" i="3" a="1"/>
  <c r="K124" i="3" a="1"/>
  <c r="K125" i="3" a="1"/>
  <c r="K126" i="3" a="1"/>
  <c r="K127" i="3" a="1"/>
  <c r="K128" i="3" a="1"/>
  <c r="K129" i="3" a="1"/>
  <c r="K130" i="3" a="1"/>
  <c r="K131" i="3" a="1"/>
  <c r="K132" i="3" a="1"/>
  <c r="K133" i="3" a="1"/>
  <c r="K134" i="3" a="1"/>
  <c r="K135" i="3" a="1"/>
  <c r="K136" i="3" a="1"/>
  <c r="K137" i="3" a="1"/>
  <c r="K138" i="3" a="1"/>
  <c r="K139" i="3" a="1"/>
  <c r="K140" i="3" a="1"/>
  <c r="K141" i="3" a="1"/>
  <c r="K142" i="3" a="1"/>
  <c r="K143" i="3" a="1"/>
  <c r="K144" i="3" a="1"/>
  <c r="K145" i="3" a="1"/>
  <c r="K146" i="3" a="1"/>
  <c r="K147" i="3" a="1"/>
  <c r="K148" i="3" a="1"/>
  <c r="K149" i="3" a="1"/>
  <c r="K150" i="3" a="1"/>
  <c r="K151" i="3" a="1"/>
  <c r="K152" i="3" a="1"/>
  <c r="K153" i="3" a="1"/>
  <c r="K154" i="3" a="1"/>
  <c r="K155" i="3" a="1"/>
  <c r="K156" i="3" a="1"/>
  <c r="K157" i="3" a="1"/>
  <c r="K158" i="3" a="1"/>
  <c r="K159" i="3" a="1"/>
  <c r="K160" i="3" a="1"/>
  <c r="K161" i="3" a="1"/>
  <c r="K162" i="3" a="1"/>
  <c r="K163" i="3" a="1"/>
  <c r="K164" i="3" a="1"/>
  <c r="K165" i="3" a="1"/>
  <c r="K166" i="3" a="1"/>
  <c r="K167" i="3" a="1"/>
  <c r="K168" i="3" a="1"/>
  <c r="K169" i="3" a="1"/>
  <c r="K170" i="3" a="1"/>
  <c r="K171" i="3" a="1"/>
  <c r="K172" i="3" a="1"/>
  <c r="K173" i="3" a="1"/>
  <c r="K174" i="3" a="1"/>
  <c r="K175" i="3" a="1"/>
  <c r="K176" i="3" a="1"/>
  <c r="K177" i="3" a="1"/>
  <c r="K178" i="3" a="1"/>
  <c r="K179" i="3" a="1"/>
  <c r="K180" i="3" a="1"/>
  <c r="K181" i="3" a="1"/>
  <c r="K182" i="3" a="1"/>
  <c r="K183" i="3" a="1"/>
  <c r="K184" i="3" a="1"/>
  <c r="K185" i="3" a="1"/>
  <c r="K186" i="3" a="1"/>
  <c r="K187" i="3" a="1"/>
  <c r="K188" i="3" a="1"/>
  <c r="K189" i="3" a="1"/>
  <c r="K190" i="3" a="1"/>
  <c r="K191" i="3" a="1"/>
  <c r="K192" i="3" a="1"/>
  <c r="K193" i="3" a="1"/>
  <c r="K194" i="3" a="1"/>
  <c r="K195" i="3" a="1"/>
  <c r="K196" i="3" a="1"/>
  <c r="K197" i="3" a="1"/>
  <c r="K198" i="3" a="1"/>
  <c r="K199" i="3" a="1"/>
  <c r="K200" i="3" a="1"/>
  <c r="K201" i="3" a="1"/>
  <c r="K202" i="3" a="1"/>
  <c r="K203" i="3" a="1"/>
  <c r="K204" i="3" a="1"/>
  <c r="K205" i="3" a="1"/>
  <c r="K206" i="3" a="1"/>
  <c r="K207" i="3" a="1"/>
  <c r="K208" i="3" a="1"/>
  <c r="K209" i="3" a="1"/>
  <c r="K210" i="3" a="1"/>
  <c r="K211" i="3" a="1"/>
  <c r="K212" i="3" a="1"/>
  <c r="K213" i="3" a="1"/>
  <c r="K214" i="3" a="1"/>
  <c r="K215" i="3" a="1"/>
  <c r="K216" i="3" a="1"/>
  <c r="K217" i="3" a="1"/>
  <c r="K218" i="3" a="1"/>
  <c r="K219" i="3" a="1"/>
  <c r="K220" i="3" a="1"/>
  <c r="K221" i="3" a="1"/>
  <c r="K222" i="3" a="1"/>
  <c r="K223" i="3" a="1"/>
  <c r="K224" i="3" a="1"/>
  <c r="K225" i="3" a="1"/>
  <c r="K226" i="3" a="1"/>
  <c r="K227" i="3" a="1"/>
  <c r="K228" i="3" a="1"/>
  <c r="K229" i="3" a="1"/>
  <c r="K230" i="3" a="1"/>
  <c r="K231" i="3" a="1"/>
  <c r="K232" i="3" a="1"/>
  <c r="K233" i="3" a="1"/>
  <c r="K234" i="3" a="1"/>
  <c r="K235" i="3" a="1"/>
  <c r="K236" i="3" a="1"/>
  <c r="K237" i="3" a="1"/>
  <c r="K238" i="3" a="1"/>
  <c r="K239" i="3" a="1"/>
  <c r="K240" i="3" a="1"/>
  <c r="K241" i="3" a="1"/>
  <c r="K242" i="3" a="1"/>
  <c r="K243" i="3" a="1"/>
  <c r="K244" i="3" a="1"/>
  <c r="K245" i="3" a="1"/>
  <c r="K246" i="3" a="1"/>
  <c r="K247" i="3" a="1"/>
  <c r="K248" i="3" a="1"/>
  <c r="K249" i="3" a="1"/>
  <c r="K250" i="3" a="1"/>
  <c r="K251" i="3" a="1"/>
  <c r="K252" i="3" a="1"/>
  <c r="K253" i="3" a="1"/>
  <c r="K254" i="3" a="1"/>
  <c r="K255" i="3" a="1"/>
  <c r="K256" i="3" a="1"/>
  <c r="K257" i="3" a="1"/>
  <c r="K258" i="3" a="1"/>
  <c r="K259" i="3" a="1"/>
  <c r="K260" i="3" a="1"/>
  <c r="K261" i="3" a="1"/>
  <c r="K262" i="3" a="1"/>
  <c r="K263" i="3" a="1"/>
  <c r="K264" i="3" a="1"/>
  <c r="K265" i="3" a="1"/>
  <c r="K266" i="3" a="1"/>
  <c r="K267" i="3" a="1"/>
  <c r="K268" i="3" a="1"/>
  <c r="K269" i="3" a="1"/>
  <c r="K270" i="3" a="1"/>
  <c r="K271" i="3" a="1"/>
  <c r="K272" i="3" a="1"/>
  <c r="K273" i="3" a="1"/>
  <c r="K274" i="3" a="1"/>
  <c r="K275" i="3" a="1"/>
  <c r="K276" i="3" a="1"/>
  <c r="K277" i="3" a="1"/>
  <c r="K278" i="3" a="1"/>
  <c r="K279" i="3" a="1"/>
  <c r="K280" i="3" a="1"/>
  <c r="K281" i="3" a="1"/>
  <c r="K282" i="3" a="1"/>
  <c r="K283" i="3" a="1"/>
  <c r="K284" i="3" a="1"/>
  <c r="K285" i="3" a="1"/>
  <c r="K286" i="3" a="1"/>
  <c r="K287" i="3" a="1"/>
  <c r="K288" i="3" a="1"/>
  <c r="K289" i="3" a="1"/>
  <c r="K290" i="3" a="1"/>
  <c r="K291" i="3" a="1"/>
  <c r="K292" i="3" a="1"/>
  <c r="K293" i="3" a="1"/>
  <c r="K294" i="3" a="1"/>
  <c r="K295" i="3" a="1"/>
  <c r="K296" i="3" a="1"/>
  <c r="K297" i="3" a="1"/>
  <c r="K298" i="3" a="1"/>
  <c r="K299" i="3" a="1"/>
  <c r="K300" i="3" a="1"/>
  <c r="K301" i="3" a="1"/>
  <c r="K302" i="3" a="1"/>
  <c r="K303" i="3" a="1"/>
  <c r="K304" i="3" a="1"/>
  <c r="K305" i="3" a="1"/>
  <c r="K306" i="3" a="1"/>
  <c r="K307" i="3" a="1"/>
  <c r="K308" i="3" a="1"/>
  <c r="K309" i="3" a="1"/>
  <c r="K310" i="3" a="1"/>
  <c r="K311" i="3" a="1"/>
  <c r="K312" i="3" a="1"/>
  <c r="K313" i="3" a="1"/>
  <c r="K314" i="3" a="1"/>
  <c r="K315" i="3" a="1"/>
  <c r="K316" i="3" a="1"/>
  <c r="K317" i="3" a="1"/>
  <c r="K318" i="3" a="1"/>
  <c r="K319" i="3" a="1"/>
  <c r="K320" i="3" a="1"/>
  <c r="K321" i="3" a="1"/>
  <c r="K322" i="3" a="1"/>
  <c r="K323" i="3" a="1"/>
  <c r="K324" i="3" a="1"/>
  <c r="K325" i="3" a="1"/>
  <c r="K326" i="3" a="1"/>
  <c r="K327" i="3" a="1"/>
  <c r="K328" i="3" a="1"/>
  <c r="K329" i="3" a="1"/>
  <c r="K330" i="3" a="1"/>
  <c r="K331" i="3" a="1"/>
  <c r="K332" i="3" a="1"/>
  <c r="K333" i="3" a="1"/>
  <c r="K334" i="3" a="1"/>
  <c r="K335" i="3" a="1"/>
  <c r="K336" i="3" a="1"/>
  <c r="K337" i="3" a="1"/>
  <c r="K338" i="3" a="1"/>
  <c r="K339" i="3" a="1"/>
  <c r="K340" i="3" a="1"/>
  <c r="K341" i="3" a="1"/>
  <c r="K342" i="3" a="1"/>
  <c r="K343" i="3" a="1"/>
  <c r="K344" i="3" a="1"/>
  <c r="K345" i="3" a="1"/>
  <c r="K346" i="3" a="1"/>
  <c r="K347" i="3" a="1"/>
  <c r="K348" i="3" a="1"/>
  <c r="K349" i="3" a="1"/>
  <c r="K350" i="3" a="1"/>
  <c r="K351" i="3" a="1"/>
  <c r="K352" i="3" a="1"/>
  <c r="K353" i="3" a="1"/>
  <c r="K354" i="3" a="1"/>
  <c r="K355" i="3" a="1"/>
  <c r="K356" i="3" a="1"/>
  <c r="K357" i="3" a="1"/>
  <c r="K358" i="3" a="1"/>
  <c r="K359" i="3" a="1"/>
  <c r="K360" i="3" a="1"/>
  <c r="K361" i="3" a="1"/>
  <c r="K362" i="3" a="1"/>
  <c r="K363" i="3" a="1"/>
  <c r="K364" i="3" a="1"/>
  <c r="K365" i="3" a="1"/>
  <c r="K366" i="3" a="1"/>
  <c r="K367" i="3" a="1"/>
  <c r="K368" i="3" a="1"/>
  <c r="K369" i="3" a="1"/>
  <c r="K370" i="3" a="1"/>
  <c r="K371" i="3" a="1"/>
  <c r="K372" i="3" a="1"/>
  <c r="K373" i="3" a="1"/>
  <c r="K374" i="3" a="1"/>
  <c r="K375" i="3" a="1"/>
  <c r="K376" i="3" a="1"/>
  <c r="K377" i="3" a="1"/>
  <c r="K378" i="3" a="1"/>
  <c r="K379" i="3" a="1"/>
  <c r="K380" i="3" a="1"/>
  <c r="K381" i="3" a="1"/>
  <c r="K382" i="3" a="1"/>
  <c r="K383" i="3" a="1"/>
  <c r="K384" i="3" a="1"/>
  <c r="K385" i="3" a="1"/>
  <c r="K386" i="3" a="1"/>
  <c r="K387" i="3" a="1"/>
  <c r="K388" i="3" a="1"/>
  <c r="K389" i="3" a="1"/>
  <c r="K390" i="3" a="1"/>
  <c r="K391" i="3" a="1"/>
  <c r="K392" i="3" a="1"/>
  <c r="K393" i="3" a="1"/>
  <c r="K394" i="3" a="1"/>
  <c r="K395" i="3" a="1"/>
  <c r="K396" i="3" a="1"/>
  <c r="K397" i="3" a="1"/>
  <c r="K398" i="3" a="1"/>
  <c r="K399" i="3" a="1"/>
  <c r="K400" i="3" a="1"/>
  <c r="K401" i="3" a="1"/>
  <c r="K402" i="3" a="1"/>
  <c r="K403" i="3" a="1"/>
  <c r="K404" i="3" a="1"/>
  <c r="K405" i="3" a="1"/>
  <c r="K406" i="3" a="1"/>
  <c r="K407" i="3" a="1"/>
  <c r="K408" i="3" a="1"/>
  <c r="K409" i="3" a="1"/>
  <c r="K410" i="3" a="1"/>
  <c r="K411" i="3" a="1"/>
  <c r="K412" i="3" a="1"/>
  <c r="K413" i="3" a="1"/>
  <c r="K414" i="3" a="1"/>
  <c r="K415" i="3" a="1"/>
  <c r="K416" i="3" a="1"/>
  <c r="K417" i="3" a="1"/>
  <c r="K418" i="3" a="1"/>
  <c r="K419" i="3" a="1"/>
  <c r="K420" i="3" a="1"/>
  <c r="K421" i="3" a="1"/>
  <c r="K422" i="3" a="1"/>
  <c r="K423" i="3" a="1"/>
  <c r="K424" i="3" a="1"/>
  <c r="K425" i="3" a="1"/>
  <c r="K426" i="3" a="1"/>
  <c r="K427" i="3" a="1"/>
  <c r="K428" i="3" a="1"/>
  <c r="K429" i="3" a="1"/>
  <c r="K430" i="3" a="1"/>
  <c r="K431" i="3" a="1"/>
  <c r="K432" i="3" a="1"/>
  <c r="K433" i="3" a="1"/>
  <c r="K434" i="3" a="1"/>
  <c r="K435" i="3" a="1"/>
  <c r="K436" i="3" a="1"/>
  <c r="K437" i="3" a="1"/>
  <c r="K438" i="3" a="1"/>
  <c r="K439" i="3" a="1"/>
  <c r="K440" i="3" a="1"/>
  <c r="K441" i="3" a="1"/>
  <c r="K442" i="3" a="1"/>
  <c r="K443" i="3" a="1"/>
  <c r="K444" i="3" a="1"/>
  <c r="K445" i="3" a="1"/>
  <c r="K446" i="3" a="1"/>
  <c r="K447" i="3" a="1"/>
  <c r="K448" i="3" a="1"/>
  <c r="K449" i="3" a="1"/>
  <c r="K450" i="3" a="1"/>
  <c r="K451" i="3" a="1"/>
  <c r="K452" i="3" a="1"/>
  <c r="K453" i="3" a="1"/>
  <c r="K454" i="3" a="1"/>
  <c r="K455" i="3" a="1"/>
  <c r="K456" i="3" a="1"/>
  <c r="K457" i="3" a="1"/>
  <c r="K458" i="3" a="1"/>
  <c r="K459" i="3" a="1"/>
  <c r="K460" i="3" a="1"/>
  <c r="K461" i="3" a="1"/>
  <c r="K462" i="3" a="1"/>
  <c r="K463" i="3" a="1"/>
  <c r="K464" i="3" a="1"/>
  <c r="K465" i="3" a="1"/>
  <c r="K466" i="3" a="1"/>
  <c r="K467" i="3" a="1"/>
  <c r="K468" i="3" a="1"/>
  <c r="K469" i="3" a="1"/>
  <c r="K470" i="3" a="1"/>
  <c r="K471" i="3" a="1"/>
  <c r="K472" i="3" a="1"/>
  <c r="K473" i="3" a="1"/>
  <c r="K474" i="3" a="1"/>
  <c r="K475" i="3" a="1"/>
  <c r="K476" i="3" a="1"/>
  <c r="K477" i="3" a="1"/>
  <c r="K478" i="3" a="1"/>
  <c r="K479" i="3" a="1"/>
  <c r="K480" i="3" a="1"/>
  <c r="K481" i="3" a="1"/>
  <c r="K482" i="3" a="1"/>
  <c r="K483" i="3" a="1"/>
  <c r="K484" i="3" a="1"/>
  <c r="K485" i="3" a="1"/>
  <c r="K486" i="3" a="1"/>
  <c r="K487" i="3" a="1"/>
  <c r="K488" i="3" a="1"/>
  <c r="K489" i="3" a="1"/>
  <c r="K490" i="3" a="1"/>
  <c r="K491" i="3" a="1"/>
  <c r="K492" i="3" a="1"/>
  <c r="K493" i="3" a="1"/>
  <c r="J493" i="3" a="1"/>
  <c r="I493" i="3" a="1"/>
  <c r="J492" i="3" a="1"/>
  <c r="I492" i="3" a="1"/>
  <c r="J491" i="3" a="1"/>
  <c r="I491" i="3" a="1"/>
  <c r="J490" i="3" a="1"/>
  <c r="I490" i="3" a="1"/>
  <c r="J489" i="3" a="1"/>
  <c r="I489" i="3" a="1"/>
  <c r="J488" i="3" a="1"/>
  <c r="I488" i="3" a="1"/>
  <c r="J487" i="3" a="1"/>
  <c r="I487" i="3" a="1"/>
  <c r="J486" i="3" a="1"/>
  <c r="I486" i="3" a="1"/>
  <c r="J485" i="3" a="1"/>
  <c r="I485" i="3" a="1"/>
  <c r="J484" i="3" a="1"/>
  <c r="I484" i="3" a="1"/>
  <c r="J483" i="3" a="1"/>
  <c r="I483" i="3" a="1"/>
  <c r="J482" i="3" a="1"/>
  <c r="I482" i="3" a="1"/>
  <c r="J481" i="3" a="1"/>
  <c r="I481" i="3" a="1"/>
  <c r="J480" i="3" a="1"/>
  <c r="I480" i="3" a="1"/>
  <c r="J479" i="3" a="1"/>
  <c r="I479" i="3" a="1"/>
  <c r="J478" i="3" a="1"/>
  <c r="I478" i="3" a="1"/>
  <c r="J477" i="3" a="1"/>
  <c r="I477" i="3" a="1"/>
  <c r="J476" i="3" a="1"/>
  <c r="I476" i="3" a="1"/>
  <c r="J475" i="3" a="1"/>
  <c r="I475" i="3" a="1"/>
  <c r="J474" i="3" a="1"/>
  <c r="I474" i="3" a="1"/>
  <c r="J473" i="3" a="1"/>
  <c r="I473" i="3" a="1"/>
  <c r="J472" i="3" a="1"/>
  <c r="I472" i="3" a="1"/>
  <c r="J471" i="3" a="1"/>
  <c r="I471" i="3" a="1"/>
  <c r="J470" i="3" a="1"/>
  <c r="I470" i="3" a="1"/>
  <c r="J469" i="3" a="1"/>
  <c r="I469" i="3" a="1"/>
  <c r="J468" i="3" a="1"/>
  <c r="I468" i="3" a="1"/>
  <c r="J467" i="3" a="1"/>
  <c r="I467" i="3" a="1"/>
  <c r="J466" i="3" a="1"/>
  <c r="I466" i="3" a="1"/>
  <c r="J465" i="3" a="1"/>
  <c r="I465" i="3" a="1"/>
  <c r="J464" i="3" a="1"/>
  <c r="I464" i="3" a="1"/>
  <c r="J463" i="3" a="1"/>
  <c r="I463" i="3" a="1"/>
  <c r="J462" i="3" a="1"/>
  <c r="I462" i="3" a="1"/>
  <c r="J461" i="3" a="1"/>
  <c r="I461" i="3" a="1"/>
  <c r="J460" i="3" a="1"/>
  <c r="I460" i="3" a="1"/>
  <c r="J459" i="3" a="1"/>
  <c r="I459" i="3" a="1"/>
  <c r="J458" i="3" a="1"/>
  <c r="I458" i="3" a="1"/>
  <c r="J457" i="3" a="1"/>
  <c r="I457" i="3" a="1"/>
  <c r="J456" i="3" a="1"/>
  <c r="I456" i="3" a="1"/>
  <c r="J455" i="3" a="1"/>
  <c r="I455" i="3" a="1"/>
  <c r="J454" i="3" a="1"/>
  <c r="I454" i="3" a="1"/>
  <c r="J453" i="3" a="1"/>
  <c r="I453" i="3" a="1"/>
  <c r="J452" i="3" a="1"/>
  <c r="I452" i="3" a="1"/>
  <c r="J451" i="3" a="1"/>
  <c r="I451" i="3" a="1"/>
  <c r="J450" i="3" a="1"/>
  <c r="I450" i="3" a="1"/>
  <c r="J449" i="3" a="1"/>
  <c r="I449" i="3" a="1"/>
  <c r="J448" i="3" a="1"/>
  <c r="I448" i="3" a="1"/>
  <c r="J447" i="3" a="1"/>
  <c r="I447" i="3" a="1"/>
  <c r="J446" i="3" a="1"/>
  <c r="I446" i="3" a="1"/>
  <c r="J445" i="3" a="1"/>
  <c r="I445" i="3" a="1"/>
  <c r="J444" i="3" a="1"/>
  <c r="I444" i="3" a="1"/>
  <c r="J443" i="3" a="1"/>
  <c r="I443" i="3" a="1"/>
  <c r="J442" i="3" a="1"/>
  <c r="I442" i="3" a="1"/>
  <c r="J441" i="3" a="1"/>
  <c r="I441" i="3" a="1"/>
  <c r="J440" i="3" a="1"/>
  <c r="I440" i="3" a="1"/>
  <c r="J439" i="3" a="1"/>
  <c r="I439" i="3" a="1"/>
  <c r="J438" i="3" a="1"/>
  <c r="I438" i="3" a="1"/>
  <c r="J437" i="3" a="1"/>
  <c r="I437" i="3" a="1"/>
  <c r="J436" i="3" a="1"/>
  <c r="I436" i="3" a="1"/>
  <c r="J435" i="3" a="1"/>
  <c r="I435" i="3" a="1"/>
  <c r="J434" i="3" a="1"/>
  <c r="I434" i="3" a="1"/>
  <c r="J433" i="3" a="1"/>
  <c r="I433" i="3" a="1"/>
  <c r="J432" i="3" a="1"/>
  <c r="I432" i="3" a="1"/>
  <c r="J431" i="3" a="1"/>
  <c r="I431" i="3" a="1"/>
  <c r="J430" i="3" a="1"/>
  <c r="I430" i="3" a="1"/>
  <c r="J429" i="3" a="1"/>
  <c r="I429" i="3" a="1"/>
  <c r="J428" i="3" a="1"/>
  <c r="I428" i="3" a="1"/>
  <c r="J427" i="3" a="1"/>
  <c r="I427" i="3" a="1"/>
  <c r="J426" i="3" a="1"/>
  <c r="I426" i="3" a="1"/>
  <c r="J425" i="3" a="1"/>
  <c r="I425" i="3" a="1"/>
  <c r="J424" i="3" a="1"/>
  <c r="I424" i="3" a="1"/>
  <c r="J423" i="3" a="1"/>
  <c r="I423" i="3" a="1"/>
  <c r="J422" i="3" a="1"/>
  <c r="I422" i="3" a="1"/>
  <c r="J421" i="3" a="1"/>
  <c r="I421" i="3" a="1"/>
  <c r="J420" i="3" a="1"/>
  <c r="I420" i="3" a="1"/>
  <c r="J419" i="3" a="1"/>
  <c r="I419" i="3" a="1"/>
  <c r="J418" i="3" a="1"/>
  <c r="I418" i="3" a="1"/>
  <c r="J417" i="3" a="1"/>
  <c r="I417" i="3" a="1"/>
  <c r="J416" i="3" a="1"/>
  <c r="I416" i="3" a="1"/>
  <c r="J415" i="3" a="1"/>
  <c r="I415" i="3" a="1"/>
  <c r="J414" i="3" a="1"/>
  <c r="I414" i="3" a="1"/>
  <c r="J413" i="3" a="1"/>
  <c r="I413" i="3" a="1"/>
  <c r="J412" i="3" a="1"/>
  <c r="I412" i="3" a="1"/>
  <c r="J411" i="3" a="1"/>
  <c r="I411" i="3" a="1"/>
  <c r="J410" i="3" a="1"/>
  <c r="I410" i="3" a="1"/>
  <c r="J409" i="3" a="1"/>
  <c r="I409" i="3" a="1"/>
  <c r="J408" i="3" a="1"/>
  <c r="I408" i="3" a="1"/>
  <c r="J407" i="3" a="1"/>
  <c r="I407" i="3" a="1"/>
  <c r="J406" i="3" a="1"/>
  <c r="I406" i="3" a="1"/>
  <c r="J405" i="3" a="1"/>
  <c r="I405" i="3" a="1"/>
  <c r="J404" i="3" a="1"/>
  <c r="I404" i="3" a="1"/>
  <c r="J403" i="3" a="1"/>
  <c r="I403" i="3" a="1"/>
  <c r="J402" i="3" a="1"/>
  <c r="I402" i="3" a="1"/>
  <c r="J401" i="3" a="1"/>
  <c r="I401" i="3" a="1"/>
  <c r="J400" i="3" a="1"/>
  <c r="I400" i="3" a="1"/>
  <c r="J399" i="3" a="1"/>
  <c r="I399" i="3" a="1"/>
  <c r="J398" i="3" a="1"/>
  <c r="I398" i="3" a="1"/>
  <c r="J397" i="3" a="1"/>
  <c r="I397" i="3" a="1"/>
  <c r="J396" i="3" a="1"/>
  <c r="I396" i="3" a="1"/>
  <c r="J395" i="3" a="1"/>
  <c r="I395" i="3" a="1"/>
  <c r="J394" i="3" a="1"/>
  <c r="I394" i="3" a="1"/>
  <c r="J393" i="3" a="1"/>
  <c r="I393" i="3" a="1"/>
  <c r="J392" i="3" a="1"/>
  <c r="I392" i="3" a="1"/>
  <c r="J391" i="3" a="1"/>
  <c r="I391" i="3" a="1"/>
  <c r="J390" i="3" a="1"/>
  <c r="I390" i="3" a="1"/>
  <c r="J389" i="3" a="1"/>
  <c r="I389" i="3" a="1"/>
  <c r="J388" i="3" a="1"/>
  <c r="I388" i="3" a="1"/>
  <c r="J387" i="3" a="1"/>
  <c r="I387" i="3" a="1"/>
  <c r="J386" i="3" a="1"/>
  <c r="I386" i="3" a="1"/>
  <c r="J385" i="3" a="1"/>
  <c r="I385" i="3" a="1"/>
  <c r="J384" i="3" a="1"/>
  <c r="I384" i="3" a="1"/>
  <c r="J383" i="3" a="1"/>
  <c r="I383" i="3" a="1"/>
  <c r="J382" i="3" a="1"/>
  <c r="I382" i="3" a="1"/>
  <c r="J381" i="3" a="1"/>
  <c r="I381" i="3" a="1"/>
  <c r="J380" i="3" a="1"/>
  <c r="I380" i="3" a="1"/>
  <c r="J379" i="3" a="1"/>
  <c r="I379" i="3" a="1"/>
  <c r="J378" i="3" a="1"/>
  <c r="I378" i="3" a="1"/>
  <c r="J377" i="3" a="1"/>
  <c r="I377" i="3" a="1"/>
  <c r="J376" i="3" a="1"/>
  <c r="I376" i="3" a="1"/>
  <c r="J375" i="3" a="1"/>
  <c r="I375" i="3" a="1"/>
  <c r="J374" i="3" a="1"/>
  <c r="I374" i="3" a="1"/>
  <c r="J373" i="3" a="1"/>
  <c r="I373" i="3" a="1"/>
  <c r="J372" i="3" a="1"/>
  <c r="I372" i="3" a="1"/>
  <c r="J371" i="3" a="1"/>
  <c r="I371" i="3" a="1"/>
  <c r="J370" i="3" a="1"/>
  <c r="I370" i="3" a="1"/>
  <c r="J369" i="3" a="1"/>
  <c r="I369" i="3" a="1"/>
  <c r="J368" i="3" a="1"/>
  <c r="I368" i="3" a="1"/>
  <c r="J367" i="3" a="1"/>
  <c r="I367" i="3" a="1"/>
  <c r="J366" i="3" a="1"/>
  <c r="I366" i="3" a="1"/>
  <c r="J365" i="3" a="1"/>
  <c r="I365" i="3" a="1"/>
  <c r="J364" i="3" a="1"/>
  <c r="I364" i="3" a="1"/>
  <c r="J363" i="3" a="1"/>
  <c r="I363" i="3" a="1"/>
  <c r="J362" i="3" a="1"/>
  <c r="I362" i="3" a="1"/>
  <c r="J361" i="3" a="1"/>
  <c r="I361" i="3" a="1"/>
  <c r="J360" i="3" a="1"/>
  <c r="I360" i="3" a="1"/>
  <c r="J359" i="3" a="1"/>
  <c r="I359" i="3" a="1"/>
  <c r="J358" i="3" a="1"/>
  <c r="I358" i="3" a="1"/>
  <c r="J357" i="3" a="1"/>
  <c r="I357" i="3" a="1"/>
  <c r="J356" i="3" a="1"/>
  <c r="I356" i="3" a="1"/>
  <c r="J355" i="3" a="1"/>
  <c r="I355" i="3" a="1"/>
  <c r="J354" i="3" a="1"/>
  <c r="I354" i="3" a="1"/>
  <c r="J353" i="3" a="1"/>
  <c r="I353" i="3" a="1"/>
  <c r="J352" i="3" a="1"/>
  <c r="I352" i="3" a="1"/>
  <c r="J351" i="3" a="1"/>
  <c r="I351" i="3" a="1"/>
  <c r="J350" i="3" a="1"/>
  <c r="I350" i="3" a="1"/>
  <c r="J349" i="3" a="1"/>
  <c r="I349" i="3" a="1"/>
  <c r="J348" i="3" a="1"/>
  <c r="I348" i="3" a="1"/>
  <c r="J347" i="3" a="1"/>
  <c r="I347" i="3" a="1"/>
  <c r="J346" i="3" a="1"/>
  <c r="I346" i="3" a="1"/>
  <c r="J345" i="3" a="1"/>
  <c r="I345" i="3" a="1"/>
  <c r="J344" i="3" a="1"/>
  <c r="I344" i="3" a="1"/>
  <c r="J343" i="3" a="1"/>
  <c r="I343" i="3" a="1"/>
  <c r="J342" i="3" a="1"/>
  <c r="I342" i="3" a="1"/>
  <c r="J341" i="3" a="1"/>
  <c r="I341" i="3" a="1"/>
  <c r="J340" i="3" a="1"/>
  <c r="I340" i="3" a="1"/>
  <c r="J339" i="3" a="1"/>
  <c r="I339" i="3" a="1"/>
  <c r="J338" i="3" a="1"/>
  <c r="I338" i="3" a="1"/>
  <c r="J337" i="3" a="1"/>
  <c r="I337" i="3" a="1"/>
  <c r="J336" i="3" a="1"/>
  <c r="I336" i="3" a="1"/>
  <c r="J335" i="3" a="1"/>
  <c r="I335" i="3" a="1"/>
  <c r="J334" i="3" a="1"/>
  <c r="I334" i="3" a="1"/>
  <c r="J333" i="3" a="1"/>
  <c r="I333" i="3" a="1"/>
  <c r="J332" i="3" a="1"/>
  <c r="I332" i="3" a="1"/>
  <c r="J331" i="3" a="1"/>
  <c r="I331" i="3" a="1"/>
  <c r="J330" i="3" a="1"/>
  <c r="I330" i="3" a="1"/>
  <c r="J329" i="3" a="1"/>
  <c r="I329" i="3" a="1"/>
  <c r="J328" i="3" a="1"/>
  <c r="I328" i="3" a="1"/>
  <c r="J327" i="3" a="1"/>
  <c r="I327" i="3" a="1"/>
  <c r="J326" i="3" a="1"/>
  <c r="I326" i="3" a="1"/>
  <c r="J325" i="3" a="1"/>
  <c r="I325" i="3" a="1"/>
  <c r="J324" i="3" a="1"/>
  <c r="I324" i="3" a="1"/>
  <c r="J323" i="3" a="1"/>
  <c r="I323" i="3" a="1"/>
  <c r="J322" i="3" a="1"/>
  <c r="I322" i="3" a="1"/>
  <c r="J321" i="3" a="1"/>
  <c r="I321" i="3" a="1"/>
  <c r="J320" i="3" a="1"/>
  <c r="I320" i="3" a="1"/>
  <c r="J319" i="3" a="1"/>
  <c r="I319" i="3" a="1"/>
  <c r="J318" i="3" a="1"/>
  <c r="I318" i="3" a="1"/>
  <c r="J317" i="3" a="1"/>
  <c r="I317" i="3" a="1"/>
  <c r="J316" i="3" a="1"/>
  <c r="I316" i="3" a="1"/>
  <c r="J315" i="3" a="1"/>
  <c r="I315" i="3" a="1"/>
  <c r="J314" i="3" a="1"/>
  <c r="I314" i="3" a="1"/>
  <c r="J313" i="3" a="1"/>
  <c r="I313" i="3" a="1"/>
  <c r="J312" i="3" a="1"/>
  <c r="I312" i="3" a="1"/>
  <c r="J311" i="3" a="1"/>
  <c r="I311" i="3" a="1"/>
  <c r="J310" i="3" a="1"/>
  <c r="I310" i="3" a="1"/>
  <c r="J309" i="3" a="1"/>
  <c r="I309" i="3" a="1"/>
  <c r="J308" i="3" a="1"/>
  <c r="I308" i="3" a="1"/>
  <c r="J307" i="3" a="1"/>
  <c r="I307" i="3" a="1"/>
  <c r="J306" i="3" a="1"/>
  <c r="I306" i="3" a="1"/>
  <c r="J305" i="3" a="1"/>
  <c r="I305" i="3" a="1"/>
  <c r="J304" i="3" a="1"/>
  <c r="I304" i="3" a="1"/>
  <c r="J303" i="3" a="1"/>
  <c r="I303" i="3" a="1"/>
  <c r="J302" i="3" a="1"/>
  <c r="I302" i="3" a="1"/>
  <c r="J301" i="3" a="1"/>
  <c r="I301" i="3" a="1"/>
  <c r="J300" i="3" a="1"/>
  <c r="I300" i="3" a="1"/>
  <c r="J299" i="3" a="1"/>
  <c r="I299" i="3" a="1"/>
  <c r="J298" i="3" a="1"/>
  <c r="I298" i="3" a="1"/>
  <c r="J297" i="3" a="1"/>
  <c r="I297" i="3" a="1"/>
  <c r="J296" i="3" a="1"/>
  <c r="I296" i="3" a="1"/>
  <c r="J295" i="3" a="1"/>
  <c r="I295" i="3" a="1"/>
  <c r="J294" i="3" a="1"/>
  <c r="I294" i="3" a="1"/>
  <c r="J293" i="3" a="1"/>
  <c r="I293" i="3" a="1"/>
  <c r="J292" i="3" a="1"/>
  <c r="I292" i="3" a="1"/>
  <c r="J291" i="3" a="1"/>
  <c r="I291" i="3" a="1"/>
  <c r="J290" i="3" a="1"/>
  <c r="I290" i="3" a="1"/>
  <c r="J289" i="3" a="1"/>
  <c r="I289" i="3" a="1"/>
  <c r="J288" i="3" a="1"/>
  <c r="I288" i="3" a="1"/>
  <c r="J287" i="3" a="1"/>
  <c r="I287" i="3" a="1"/>
  <c r="J286" i="3" a="1"/>
  <c r="I286" i="3" a="1"/>
  <c r="J285" i="3" a="1"/>
  <c r="I285" i="3" a="1"/>
  <c r="J284" i="3" a="1"/>
  <c r="I284" i="3" a="1"/>
  <c r="J283" i="3" a="1"/>
  <c r="I283" i="3" a="1"/>
  <c r="J282" i="3" a="1"/>
  <c r="I282" i="3" a="1"/>
  <c r="J281" i="3" a="1"/>
  <c r="I281" i="3" a="1"/>
  <c r="J280" i="3" a="1"/>
  <c r="I280" i="3" a="1"/>
  <c r="J279" i="3" a="1"/>
  <c r="I279" i="3" a="1"/>
  <c r="J278" i="3" a="1"/>
  <c r="I278" i="3" a="1"/>
  <c r="J277" i="3" a="1"/>
  <c r="I277" i="3" a="1"/>
  <c r="J276" i="3" a="1"/>
  <c r="I276" i="3" a="1"/>
  <c r="J275" i="3" a="1"/>
  <c r="I275" i="3" a="1"/>
  <c r="J274" i="3" a="1"/>
  <c r="I274" i="3" a="1"/>
  <c r="J273" i="3" a="1"/>
  <c r="I273" i="3" a="1"/>
  <c r="J272" i="3" a="1"/>
  <c r="I272" i="3" a="1"/>
  <c r="J271" i="3" a="1"/>
  <c r="I271" i="3" a="1"/>
  <c r="J270" i="3" a="1"/>
  <c r="I270" i="3" a="1"/>
  <c r="J269" i="3" a="1"/>
  <c r="I269" i="3" a="1"/>
  <c r="J268" i="3" a="1"/>
  <c r="I268" i="3" a="1"/>
  <c r="J267" i="3" a="1"/>
  <c r="I267" i="3" a="1"/>
  <c r="J266" i="3" a="1"/>
  <c r="I266" i="3" a="1"/>
  <c r="J265" i="3" a="1"/>
  <c r="I265" i="3" a="1"/>
  <c r="J264" i="3" a="1"/>
  <c r="I264" i="3" a="1"/>
  <c r="J263" i="3" a="1"/>
  <c r="I263" i="3" a="1"/>
  <c r="J262" i="3" a="1"/>
  <c r="I262" i="3" a="1"/>
  <c r="J261" i="3" a="1"/>
  <c r="I261" i="3" a="1"/>
  <c r="J260" i="3" a="1"/>
  <c r="I260" i="3" a="1"/>
  <c r="J259" i="3" a="1"/>
  <c r="I259" i="3" a="1"/>
  <c r="J258" i="3" a="1"/>
  <c r="I258" i="3" a="1"/>
  <c r="J257" i="3" a="1"/>
  <c r="I257" i="3" a="1"/>
  <c r="J256" i="3" a="1"/>
  <c r="I256" i="3" a="1"/>
  <c r="J255" i="3" a="1"/>
  <c r="I255" i="3" a="1"/>
  <c r="J254" i="3" a="1"/>
  <c r="I254" i="3" a="1"/>
  <c r="J253" i="3" a="1"/>
  <c r="I253" i="3" a="1"/>
  <c r="J252" i="3" a="1"/>
  <c r="I252" i="3" a="1"/>
  <c r="J251" i="3" a="1"/>
  <c r="I251" i="3" a="1"/>
  <c r="J250" i="3" a="1"/>
  <c r="I250" i="3" a="1"/>
  <c r="J249" i="3" a="1"/>
  <c r="I249" i="3" a="1"/>
  <c r="J248" i="3" a="1"/>
  <c r="I248" i="3" a="1"/>
  <c r="J247" i="3" a="1"/>
  <c r="I247" i="3" a="1"/>
  <c r="J246" i="3" a="1"/>
  <c r="I246" i="3" a="1"/>
  <c r="J245" i="3" a="1"/>
  <c r="I245" i="3" a="1"/>
  <c r="J244" i="3" a="1"/>
  <c r="I244" i="3" a="1"/>
  <c r="J243" i="3" a="1"/>
  <c r="I243" i="3" a="1"/>
  <c r="J242" i="3" a="1"/>
  <c r="I242" i="3" a="1"/>
  <c r="J241" i="3" a="1"/>
  <c r="I241" i="3" a="1"/>
  <c r="J240" i="3" a="1"/>
  <c r="I240" i="3" a="1"/>
  <c r="J239" i="3" a="1"/>
  <c r="I239" i="3" a="1"/>
  <c r="J238" i="3" a="1"/>
  <c r="I238" i="3" a="1"/>
  <c r="J237" i="3" a="1"/>
  <c r="I237" i="3" a="1"/>
  <c r="J236" i="3" a="1"/>
  <c r="I236" i="3" a="1"/>
  <c r="J235" i="3" a="1"/>
  <c r="I235" i="3" a="1"/>
  <c r="J234" i="3" a="1"/>
  <c r="I234" i="3" a="1"/>
  <c r="J233" i="3" a="1"/>
  <c r="I233" i="3" a="1"/>
  <c r="J232" i="3" a="1"/>
  <c r="I232" i="3" a="1"/>
  <c r="J231" i="3" a="1"/>
  <c r="I231" i="3" a="1"/>
  <c r="J230" i="3" a="1"/>
  <c r="I230" i="3" a="1"/>
  <c r="J229" i="3" a="1"/>
  <c r="I229" i="3" a="1"/>
  <c r="J228" i="3" a="1"/>
  <c r="I228" i="3" a="1"/>
  <c r="J227" i="3" a="1"/>
  <c r="I227" i="3" a="1"/>
  <c r="J226" i="3" a="1"/>
  <c r="I226" i="3" a="1"/>
  <c r="J225" i="3" a="1"/>
  <c r="I225" i="3" a="1"/>
  <c r="J224" i="3" a="1"/>
  <c r="I224" i="3" a="1"/>
  <c r="J223" i="3" a="1"/>
  <c r="I223" i="3" a="1"/>
  <c r="J222" i="3" a="1"/>
  <c r="I222" i="3" a="1"/>
  <c r="J221" i="3" a="1"/>
  <c r="I221" i="3" a="1"/>
  <c r="J220" i="3" a="1"/>
  <c r="I220" i="3" a="1"/>
  <c r="J219" i="3" a="1"/>
  <c r="I219" i="3" a="1"/>
  <c r="J218" i="3" a="1"/>
  <c r="I218" i="3" a="1"/>
  <c r="J217" i="3" a="1"/>
  <c r="I217" i="3" a="1"/>
  <c r="J216" i="3" a="1"/>
  <c r="I216" i="3" a="1"/>
  <c r="J215" i="3" a="1"/>
  <c r="I215" i="3" a="1"/>
  <c r="J214" i="3" a="1"/>
  <c r="I214" i="3" a="1"/>
  <c r="J213" i="3" a="1"/>
  <c r="I213" i="3" a="1"/>
  <c r="J212" i="3" a="1"/>
  <c r="I212" i="3" a="1"/>
  <c r="J211" i="3" a="1"/>
  <c r="I211" i="3" a="1"/>
  <c r="J210" i="3" a="1"/>
  <c r="I210" i="3" a="1"/>
  <c r="J209" i="3" a="1"/>
  <c r="I209" i="3" a="1"/>
  <c r="J208" i="3" a="1"/>
  <c r="I208" i="3" a="1"/>
  <c r="J207" i="3" a="1"/>
  <c r="I207" i="3" a="1"/>
  <c r="J206" i="3" a="1"/>
  <c r="I206" i="3" a="1"/>
  <c r="J205" i="3" a="1"/>
  <c r="I205" i="3" a="1"/>
  <c r="J204" i="3" a="1"/>
  <c r="I204" i="3" a="1"/>
  <c r="J203" i="3" a="1"/>
  <c r="I203" i="3" a="1"/>
  <c r="J202" i="3" a="1"/>
  <c r="I202" i="3" a="1"/>
  <c r="J201" i="3" a="1"/>
  <c r="I201" i="3" a="1"/>
  <c r="J200" i="3" a="1"/>
  <c r="I200" i="3" a="1"/>
  <c r="J199" i="3" a="1"/>
  <c r="I199" i="3" a="1"/>
  <c r="J198" i="3" a="1"/>
  <c r="I198" i="3" a="1"/>
  <c r="J197" i="3" a="1"/>
  <c r="I197" i="3" a="1"/>
  <c r="J196" i="3" a="1"/>
  <c r="I196" i="3" a="1"/>
  <c r="J195" i="3" a="1"/>
  <c r="I195" i="3" a="1"/>
  <c r="J194" i="3" a="1"/>
  <c r="I194" i="3" a="1"/>
  <c r="J193" i="3" a="1"/>
  <c r="I193" i="3" a="1"/>
  <c r="J192" i="3" a="1"/>
  <c r="I192" i="3" a="1"/>
  <c r="J191" i="3" a="1"/>
  <c r="I191" i="3" a="1"/>
  <c r="J190" i="3" a="1"/>
  <c r="I190" i="3" a="1"/>
  <c r="J189" i="3" a="1"/>
  <c r="I189" i="3" a="1"/>
  <c r="J188" i="3" a="1"/>
  <c r="I188" i="3" a="1"/>
  <c r="J187" i="3" a="1"/>
  <c r="I187" i="3" a="1"/>
  <c r="J186" i="3" a="1"/>
  <c r="I186" i="3" a="1"/>
  <c r="J185" i="3" a="1"/>
  <c r="I185" i="3" a="1"/>
  <c r="J184" i="3" a="1"/>
  <c r="I184" i="3" a="1"/>
  <c r="J183" i="3" a="1"/>
  <c r="I183" i="3" a="1"/>
  <c r="J182" i="3" a="1"/>
  <c r="I182" i="3" a="1"/>
  <c r="J181" i="3" a="1"/>
  <c r="I181" i="3" a="1"/>
  <c r="J180" i="3" a="1"/>
  <c r="I180" i="3" a="1"/>
  <c r="J179" i="3" a="1"/>
  <c r="I179" i="3" a="1"/>
  <c r="J178" i="3" a="1"/>
  <c r="I178" i="3" a="1"/>
  <c r="J177" i="3" a="1"/>
  <c r="I177" i="3" a="1"/>
  <c r="J176" i="3" a="1"/>
  <c r="I176" i="3" a="1"/>
  <c r="J175" i="3" a="1"/>
  <c r="I175" i="3" a="1"/>
  <c r="J174" i="3" a="1"/>
  <c r="I174" i="3" a="1"/>
  <c r="J173" i="3" a="1"/>
  <c r="I173" i="3" a="1"/>
  <c r="J172" i="3" a="1"/>
  <c r="I172" i="3" a="1"/>
  <c r="J171" i="3" a="1"/>
  <c r="I171" i="3" a="1"/>
  <c r="J170" i="3" a="1"/>
  <c r="I170" i="3" a="1"/>
  <c r="J169" i="3" a="1"/>
  <c r="I169" i="3" a="1"/>
  <c r="J168" i="3" a="1"/>
  <c r="I168" i="3" a="1"/>
  <c r="J167" i="3" a="1"/>
  <c r="I167" i="3" a="1"/>
  <c r="J166" i="3" a="1"/>
  <c r="I166" i="3" a="1"/>
  <c r="J165" i="3" a="1"/>
  <c r="I165" i="3" a="1"/>
  <c r="J164" i="3" a="1"/>
  <c r="I164" i="3" a="1"/>
  <c r="J163" i="3" a="1"/>
  <c r="I163" i="3" a="1"/>
  <c r="J162" i="3" a="1"/>
  <c r="I162" i="3" a="1"/>
  <c r="J161" i="3" a="1"/>
  <c r="I161" i="3" a="1"/>
  <c r="J160" i="3" a="1"/>
  <c r="I160" i="3" a="1"/>
  <c r="J159" i="3" a="1"/>
  <c r="I159" i="3" a="1"/>
  <c r="J158" i="3" a="1"/>
  <c r="I158" i="3" a="1"/>
  <c r="J157" i="3" a="1"/>
  <c r="I157" i="3" a="1"/>
  <c r="J156" i="3" a="1"/>
  <c r="I156" i="3" a="1"/>
  <c r="J155" i="3" a="1"/>
  <c r="I155" i="3" a="1"/>
  <c r="J154" i="3" a="1"/>
  <c r="I154" i="3" a="1"/>
  <c r="J153" i="3" a="1"/>
  <c r="I153" i="3" a="1"/>
  <c r="J152" i="3" a="1"/>
  <c r="I152" i="3" a="1"/>
  <c r="J151" i="3" a="1"/>
  <c r="I151" i="3" a="1"/>
  <c r="J150" i="3" a="1"/>
  <c r="I150" i="3" a="1"/>
  <c r="J149" i="3" a="1"/>
  <c r="I149" i="3" a="1"/>
  <c r="J148" i="3" a="1"/>
  <c r="I148" i="3" a="1"/>
  <c r="J147" i="3" a="1"/>
  <c r="I147" i="3" a="1"/>
  <c r="J146" i="3" a="1"/>
  <c r="I146" i="3" a="1"/>
  <c r="J145" i="3" a="1"/>
  <c r="I145" i="3" a="1"/>
  <c r="J144" i="3" a="1"/>
  <c r="I144" i="3" a="1"/>
  <c r="J143" i="3" a="1"/>
  <c r="I143" i="3" a="1"/>
  <c r="J142" i="3" a="1"/>
  <c r="I142" i="3" a="1"/>
  <c r="J141" i="3" a="1"/>
  <c r="I141" i="3" a="1"/>
  <c r="J140" i="3" a="1"/>
  <c r="I140" i="3" a="1"/>
  <c r="J139" i="3" a="1"/>
  <c r="I139" i="3" a="1"/>
  <c r="J138" i="3" a="1"/>
  <c r="I138" i="3" a="1"/>
  <c r="J137" i="3" a="1"/>
  <c r="I137" i="3" a="1"/>
  <c r="J136" i="3" a="1"/>
  <c r="I136" i="3" a="1"/>
  <c r="J135" i="3" a="1"/>
  <c r="I135" i="3" a="1"/>
  <c r="J134" i="3" a="1"/>
  <c r="I134" i="3" a="1"/>
  <c r="J133" i="3" a="1"/>
  <c r="I133" i="3" a="1"/>
  <c r="J132" i="3" a="1"/>
  <c r="I132" i="3" a="1"/>
  <c r="J131" i="3" a="1"/>
  <c r="I131" i="3" a="1"/>
  <c r="J130" i="3" a="1"/>
  <c r="I130" i="3" a="1"/>
  <c r="J129" i="3" a="1"/>
  <c r="I129" i="3" a="1"/>
  <c r="J128" i="3" a="1"/>
  <c r="I128" i="3" a="1"/>
  <c r="J127" i="3" a="1"/>
  <c r="I127" i="3" a="1"/>
  <c r="J126" i="3" a="1"/>
  <c r="I126" i="3" a="1"/>
  <c r="J125" i="3" a="1"/>
  <c r="I125" i="3" a="1"/>
  <c r="J124" i="3" a="1"/>
  <c r="I124" i="3" a="1"/>
  <c r="J123" i="3" a="1"/>
  <c r="I123" i="3" a="1"/>
  <c r="J122" i="3" a="1"/>
  <c r="I122" i="3" a="1"/>
  <c r="J121" i="3" a="1"/>
  <c r="I121" i="3" a="1"/>
  <c r="J120" i="3" a="1"/>
  <c r="I120" i="3" a="1"/>
  <c r="J119" i="3" a="1"/>
  <c r="I119" i="3" a="1"/>
  <c r="J118" i="3" a="1"/>
  <c r="I118" i="3" a="1"/>
  <c r="J117" i="3" a="1"/>
  <c r="I117" i="3" a="1"/>
  <c r="J116" i="3" a="1"/>
  <c r="I116" i="3" a="1"/>
  <c r="J115" i="3" a="1"/>
  <c r="I115" i="3" a="1"/>
  <c r="J114" i="3" a="1"/>
  <c r="I114" i="3" a="1"/>
  <c r="J113" i="3" a="1"/>
  <c r="I113" i="3" a="1"/>
  <c r="J112" i="3" a="1"/>
  <c r="I112" i="3" a="1"/>
  <c r="J111" i="3" a="1"/>
  <c r="I111" i="3" a="1"/>
  <c r="J110" i="3" a="1"/>
  <c r="I110" i="3" a="1"/>
  <c r="J109" i="3" a="1"/>
  <c r="I109" i="3" a="1"/>
  <c r="J108" i="3" a="1"/>
  <c r="I108" i="3" a="1"/>
  <c r="J107" i="3" a="1"/>
  <c r="I107" i="3" a="1"/>
  <c r="J106" i="3" a="1"/>
  <c r="I106" i="3" a="1"/>
  <c r="J105" i="3" a="1"/>
  <c r="I105" i="3" a="1"/>
  <c r="J104" i="3" a="1"/>
  <c r="I104" i="3" a="1"/>
  <c r="J103" i="3" a="1"/>
  <c r="I103" i="3" a="1"/>
  <c r="J102" i="3" a="1"/>
  <c r="I102" i="3" a="1"/>
  <c r="J101" i="3" a="1"/>
  <c r="I101" i="3" a="1"/>
  <c r="J100" i="3" a="1"/>
  <c r="I100" i="3" a="1"/>
  <c r="J99" i="3" a="1"/>
  <c r="I99" i="3" a="1"/>
  <c r="J98" i="3" a="1"/>
  <c r="I98" i="3" a="1"/>
  <c r="J97" i="3" a="1"/>
  <c r="I97" i="3" a="1"/>
  <c r="J96" i="3" a="1"/>
  <c r="I96" i="3" a="1"/>
  <c r="J95" i="3" a="1"/>
  <c r="I95" i="3" a="1"/>
  <c r="J94" i="3" a="1"/>
  <c r="I94" i="3" a="1"/>
  <c r="J93" i="3" a="1"/>
  <c r="I93" i="3" a="1"/>
  <c r="J92" i="3" a="1"/>
  <c r="I92" i="3" a="1"/>
  <c r="J91" i="3" a="1"/>
  <c r="I91" i="3" a="1"/>
  <c r="J90" i="3" a="1"/>
  <c r="I90" i="3" a="1"/>
  <c r="J89" i="3" a="1"/>
  <c r="I89" i="3" a="1"/>
  <c r="J88" i="3" a="1"/>
  <c r="I88" i="3" a="1"/>
  <c r="J87" i="3" a="1"/>
  <c r="I87" i="3" a="1"/>
  <c r="J86" i="3" a="1"/>
  <c r="I86" i="3" a="1"/>
  <c r="J85" i="3" a="1"/>
  <c r="I85" i="3" a="1"/>
  <c r="J84" i="3" a="1"/>
  <c r="I84" i="3" a="1"/>
  <c r="J83" i="3" a="1"/>
  <c r="I83" i="3" a="1"/>
  <c r="J82" i="3" a="1"/>
  <c r="I82" i="3" a="1"/>
  <c r="J81" i="3" a="1"/>
  <c r="I81" i="3" a="1"/>
  <c r="J80" i="3" a="1"/>
  <c r="I80" i="3" a="1"/>
  <c r="J79" i="3" a="1"/>
  <c r="I79" i="3" a="1"/>
  <c r="J78" i="3" a="1"/>
  <c r="I78" i="3" a="1"/>
  <c r="J77" i="3" a="1"/>
  <c r="I77" i="3" a="1"/>
  <c r="J76" i="3" a="1"/>
  <c r="I76" i="3" a="1"/>
  <c r="J75" i="3" a="1"/>
  <c r="I75" i="3" a="1"/>
  <c r="J74" i="3" a="1"/>
  <c r="I74" i="3" a="1"/>
  <c r="J73" i="3" a="1"/>
  <c r="I73" i="3" a="1"/>
  <c r="J72" i="3" a="1"/>
  <c r="I72" i="3" a="1"/>
  <c r="J71" i="3" a="1"/>
  <c r="I71" i="3" a="1"/>
  <c r="J70" i="3" a="1"/>
  <c r="I70" i="3" a="1"/>
  <c r="J69" i="3" a="1"/>
  <c r="I69" i="3" a="1"/>
  <c r="J68" i="3" a="1"/>
  <c r="I68" i="3" a="1"/>
  <c r="J67" i="3" a="1"/>
  <c r="I67" i="3" a="1"/>
  <c r="J66" i="3" a="1"/>
  <c r="I66" i="3" a="1"/>
  <c r="J65" i="3" a="1"/>
  <c r="I65" i="3" a="1"/>
  <c r="J64" i="3" a="1"/>
  <c r="I64" i="3" a="1"/>
  <c r="J63" i="3" a="1"/>
  <c r="I63" i="3" a="1"/>
  <c r="J62" i="3" a="1"/>
  <c r="I62" i="3" a="1"/>
  <c r="J61" i="3" a="1"/>
  <c r="I61" i="3" a="1"/>
  <c r="J60" i="3" a="1"/>
  <c r="I60" i="3" a="1"/>
  <c r="J59" i="3" a="1"/>
  <c r="I59" i="3" a="1"/>
  <c r="J58" i="3" a="1"/>
  <c r="I58" i="3" a="1"/>
  <c r="J57" i="3" a="1"/>
  <c r="I57" i="3" a="1"/>
  <c r="J56" i="3" a="1"/>
  <c r="I56" i="3" a="1"/>
  <c r="J55" i="3" a="1"/>
  <c r="I55" i="3" a="1"/>
  <c r="J54" i="3" a="1"/>
  <c r="I54" i="3" a="1"/>
  <c r="J53" i="3" a="1"/>
  <c r="I53" i="3" a="1"/>
  <c r="J52" i="3" a="1"/>
  <c r="I52" i="3" a="1"/>
  <c r="J51" i="3" a="1"/>
  <c r="I51" i="3" a="1"/>
  <c r="J50" i="3" a="1"/>
  <c r="I50" i="3" a="1"/>
  <c r="J49" i="3" a="1"/>
  <c r="I49" i="3" a="1"/>
  <c r="J48" i="3" a="1"/>
  <c r="I48" i="3" a="1"/>
  <c r="J47" i="3" a="1"/>
  <c r="I47" i="3" a="1"/>
  <c r="J46" i="3" a="1"/>
  <c r="I46" i="3" a="1"/>
  <c r="J45" i="3" a="1"/>
  <c r="I45" i="3" a="1"/>
  <c r="J44" i="3" a="1"/>
  <c r="I44" i="3" a="1"/>
  <c r="J43" i="3" a="1"/>
  <c r="I43" i="3" a="1"/>
  <c r="J42" i="3" a="1"/>
  <c r="I42" i="3" a="1"/>
  <c r="J41" i="3" a="1"/>
  <c r="I41" i="3" a="1"/>
  <c r="J40" i="3" a="1"/>
  <c r="I40" i="3" a="1"/>
  <c r="J39" i="3" a="1"/>
  <c r="I39" i="3" a="1"/>
  <c r="J38" i="3" a="1"/>
  <c r="I38" i="3" a="1"/>
  <c r="J37" i="3" a="1"/>
  <c r="I37" i="3" a="1"/>
  <c r="J36" i="3" a="1"/>
  <c r="I36" i="3" a="1"/>
  <c r="J35" i="3" a="1"/>
  <c r="I35" i="3" a="1"/>
  <c r="J34" i="3" a="1"/>
  <c r="I34" i="3" a="1"/>
  <c r="J33" i="3" a="1"/>
  <c r="I33" i="3" a="1"/>
  <c r="J32" i="3" a="1"/>
  <c r="I32" i="3" a="1"/>
  <c r="J31" i="3" a="1"/>
  <c r="I31" i="3" a="1"/>
  <c r="J30" i="3" a="1"/>
  <c r="I30" i="3" a="1"/>
  <c r="J29" i="3" a="1"/>
  <c r="I29" i="3" a="1"/>
  <c r="J28" i="3" a="1"/>
  <c r="I28" i="3" a="1"/>
  <c r="J27" i="3" a="1"/>
  <c r="I27" i="3" a="1"/>
  <c r="J26" i="3" a="1"/>
  <c r="I26" i="3" a="1"/>
  <c r="J25" i="3" a="1"/>
  <c r="I25" i="3" a="1"/>
  <c r="J24" i="3" a="1"/>
  <c r="I24" i="3" a="1"/>
  <c r="J23" i="3" a="1"/>
  <c r="I23" i="3" a="1"/>
  <c r="J22" i="3" a="1"/>
  <c r="I22" i="3" a="1"/>
  <c r="J21" i="3" a="1"/>
  <c r="I21" i="3" a="1"/>
  <c r="J20" i="3" a="1"/>
  <c r="I20" i="3" a="1"/>
  <c r="J19" i="3" a="1"/>
  <c r="F493" i="3" a="1"/>
  <c r="E493" i="3" a="1"/>
  <c r="F492" i="3" a="1"/>
  <c r="E492" i="3" a="1"/>
  <c r="F491" i="3" a="1"/>
  <c r="E491" i="3" a="1"/>
  <c r="F490" i="3" a="1"/>
  <c r="E490" i="3" a="1"/>
  <c r="F489" i="3" a="1"/>
  <c r="E489" i="3" a="1"/>
  <c r="F488" i="3" a="1"/>
  <c r="E488" i="3" a="1"/>
  <c r="F487" i="3" a="1"/>
  <c r="E487" i="3" a="1"/>
  <c r="F486" i="3" a="1"/>
  <c r="E486" i="3" a="1"/>
  <c r="F485" i="3" a="1"/>
  <c r="E485" i="3" a="1"/>
  <c r="F484" i="3" a="1"/>
  <c r="E484" i="3" a="1"/>
  <c r="F483" i="3" a="1"/>
  <c r="E483" i="3" a="1"/>
  <c r="F482" i="3" a="1"/>
  <c r="E482" i="3" a="1"/>
  <c r="F481" i="3" a="1"/>
  <c r="E481" i="3" a="1"/>
  <c r="F480" i="3" a="1"/>
  <c r="E480" i="3" a="1"/>
  <c r="F479" i="3" a="1"/>
  <c r="E479" i="3" a="1"/>
  <c r="F478" i="3" a="1"/>
  <c r="E478" i="3" a="1"/>
  <c r="F477" i="3" a="1"/>
  <c r="E477" i="3" a="1"/>
  <c r="F476" i="3" a="1"/>
  <c r="E476" i="3" a="1"/>
  <c r="F475" i="3" a="1"/>
  <c r="E475" i="3" a="1"/>
  <c r="F474" i="3" a="1"/>
  <c r="E474" i="3" a="1"/>
  <c r="F473" i="3" a="1"/>
  <c r="E473" i="3" a="1"/>
  <c r="F472" i="3" a="1"/>
  <c r="E472" i="3" a="1"/>
  <c r="F471" i="3" a="1"/>
  <c r="E471" i="3" a="1"/>
  <c r="F470" i="3" a="1"/>
  <c r="E470" i="3" a="1"/>
  <c r="F469" i="3" a="1"/>
  <c r="E469" i="3" a="1"/>
  <c r="F468" i="3" a="1"/>
  <c r="E468" i="3" a="1"/>
  <c r="F467" i="3" a="1"/>
  <c r="E467" i="3" a="1"/>
  <c r="F466" i="3" a="1"/>
  <c r="E466" i="3" a="1"/>
  <c r="F465" i="3" a="1"/>
  <c r="E465" i="3" a="1"/>
  <c r="F464" i="3" a="1"/>
  <c r="E464" i="3" a="1"/>
  <c r="F463" i="3" a="1"/>
  <c r="E463" i="3" a="1"/>
  <c r="F462" i="3" a="1"/>
  <c r="E462" i="3" a="1"/>
  <c r="F461" i="3" a="1"/>
  <c r="E461" i="3" a="1"/>
  <c r="F460" i="3" a="1"/>
  <c r="E460" i="3" a="1"/>
  <c r="F459" i="3" a="1"/>
  <c r="E459" i="3" a="1"/>
  <c r="F458" i="3" a="1"/>
  <c r="E458" i="3" a="1"/>
  <c r="F457" i="3" a="1"/>
  <c r="E457" i="3" a="1"/>
  <c r="F456" i="3" a="1"/>
  <c r="E456" i="3" a="1"/>
  <c r="F455" i="3" a="1"/>
  <c r="E455" i="3" a="1"/>
  <c r="F454" i="3" a="1"/>
  <c r="E454" i="3" a="1"/>
  <c r="F453" i="3" a="1"/>
  <c r="E453" i="3" a="1"/>
  <c r="F452" i="3" a="1"/>
  <c r="E452" i="3" a="1"/>
  <c r="F451" i="3" a="1"/>
  <c r="E451" i="3" a="1"/>
  <c r="F450" i="3" a="1"/>
  <c r="E450" i="3" a="1"/>
  <c r="F449" i="3" a="1"/>
  <c r="E449" i="3" a="1"/>
  <c r="F448" i="3" a="1"/>
  <c r="E448" i="3" a="1"/>
  <c r="F447" i="3" a="1"/>
  <c r="E447" i="3" a="1"/>
  <c r="F446" i="3" a="1"/>
  <c r="E446" i="3" a="1"/>
  <c r="F445" i="3" a="1"/>
  <c r="E445" i="3" a="1"/>
  <c r="F444" i="3" a="1"/>
  <c r="E444" i="3" a="1"/>
  <c r="F443" i="3" a="1"/>
  <c r="E443" i="3" a="1"/>
  <c r="F442" i="3" a="1"/>
  <c r="E442" i="3" a="1"/>
  <c r="F441" i="3" a="1"/>
  <c r="E441" i="3" a="1"/>
  <c r="F440" i="3" a="1"/>
  <c r="E440" i="3" a="1"/>
  <c r="F439" i="3" a="1"/>
  <c r="E439" i="3" a="1"/>
  <c r="F438" i="3" a="1"/>
  <c r="E438" i="3" a="1"/>
  <c r="F437" i="3" a="1"/>
  <c r="E437" i="3" a="1"/>
  <c r="F436" i="3" a="1"/>
  <c r="E436" i="3" a="1"/>
  <c r="F435" i="3" a="1"/>
  <c r="E435" i="3" a="1"/>
  <c r="F434" i="3" a="1"/>
  <c r="E434" i="3" a="1"/>
  <c r="F433" i="3" a="1"/>
  <c r="E433" i="3" a="1"/>
  <c r="F432" i="3" a="1"/>
  <c r="E432" i="3" a="1"/>
  <c r="F431" i="3" a="1"/>
  <c r="E431" i="3" a="1"/>
  <c r="F430" i="3" a="1"/>
  <c r="E430" i="3" a="1"/>
  <c r="F429" i="3" a="1"/>
  <c r="E429" i="3" a="1"/>
  <c r="F428" i="3" a="1"/>
  <c r="E428" i="3" a="1"/>
  <c r="F427" i="3" a="1"/>
  <c r="E427" i="3" a="1"/>
  <c r="F426" i="3" a="1"/>
  <c r="E426" i="3" a="1"/>
  <c r="F425" i="3" a="1"/>
  <c r="E425" i="3" a="1"/>
  <c r="F424" i="3" a="1"/>
  <c r="E424" i="3" a="1"/>
  <c r="F423" i="3" a="1"/>
  <c r="E423" i="3" a="1"/>
  <c r="F422" i="3" a="1"/>
  <c r="E422" i="3" a="1"/>
  <c r="F421" i="3" a="1"/>
  <c r="E421" i="3" a="1"/>
  <c r="F420" i="3" a="1"/>
  <c r="E420" i="3" a="1"/>
  <c r="F419" i="3" a="1"/>
  <c r="E419" i="3" a="1"/>
  <c r="F418" i="3" a="1"/>
  <c r="E418" i="3" a="1"/>
  <c r="F417" i="3" a="1"/>
  <c r="E417" i="3" a="1"/>
  <c r="F416" i="3" a="1"/>
  <c r="E416" i="3" a="1"/>
  <c r="F415" i="3" a="1"/>
  <c r="E415" i="3" a="1"/>
  <c r="F414" i="3" a="1"/>
  <c r="E414" i="3" a="1"/>
  <c r="F413" i="3" a="1"/>
  <c r="E413" i="3" a="1"/>
  <c r="F412" i="3" a="1"/>
  <c r="E412" i="3" a="1"/>
  <c r="F411" i="3" a="1"/>
  <c r="E411" i="3" a="1"/>
  <c r="F410" i="3" a="1"/>
  <c r="E410" i="3" a="1"/>
  <c r="F409" i="3" a="1"/>
  <c r="E409" i="3" a="1"/>
  <c r="F408" i="3" a="1"/>
  <c r="E408" i="3" a="1"/>
  <c r="F407" i="3" a="1"/>
  <c r="E407" i="3" a="1"/>
  <c r="F406" i="3" a="1"/>
  <c r="E406" i="3" a="1"/>
  <c r="F405" i="3" a="1"/>
  <c r="E405" i="3" a="1"/>
  <c r="F404" i="3" a="1"/>
  <c r="E404" i="3" a="1"/>
  <c r="F403" i="3" a="1"/>
  <c r="E403" i="3" a="1"/>
  <c r="F402" i="3" a="1"/>
  <c r="E402" i="3" a="1"/>
  <c r="F401" i="3" a="1"/>
  <c r="E401" i="3" a="1"/>
  <c r="F400" i="3" a="1"/>
  <c r="E400" i="3" a="1"/>
  <c r="F399" i="3" a="1"/>
  <c r="E399" i="3" a="1"/>
  <c r="F398" i="3" a="1"/>
  <c r="E398" i="3" a="1"/>
  <c r="F397" i="3" a="1"/>
  <c r="E397" i="3" a="1"/>
  <c r="F396" i="3" a="1"/>
  <c r="E396" i="3" a="1"/>
  <c r="F395" i="3" a="1"/>
  <c r="E395" i="3" a="1"/>
  <c r="F394" i="3" a="1"/>
  <c r="E394" i="3" a="1"/>
  <c r="F393" i="3" a="1"/>
  <c r="E393" i="3" a="1"/>
  <c r="F392" i="3" a="1"/>
  <c r="E392" i="3" a="1"/>
  <c r="F391" i="3" a="1"/>
  <c r="E391" i="3" a="1"/>
  <c r="F390" i="3" a="1"/>
  <c r="E390" i="3" a="1"/>
  <c r="F389" i="3" a="1"/>
  <c r="E389" i="3" a="1"/>
  <c r="F388" i="3" a="1"/>
  <c r="E388" i="3" a="1"/>
  <c r="F387" i="3" a="1"/>
  <c r="E387" i="3" a="1"/>
  <c r="F386" i="3" a="1"/>
  <c r="E386" i="3" a="1"/>
  <c r="F385" i="3" a="1"/>
  <c r="E385" i="3" a="1"/>
  <c r="F384" i="3" a="1"/>
  <c r="E384" i="3" a="1"/>
  <c r="F383" i="3" a="1"/>
  <c r="E383" i="3" a="1"/>
  <c r="F382" i="3" a="1"/>
  <c r="E382" i="3" a="1"/>
  <c r="F381" i="3" a="1"/>
  <c r="E381" i="3" a="1"/>
  <c r="F380" i="3" a="1"/>
  <c r="E380" i="3" a="1"/>
  <c r="F379" i="3" a="1"/>
  <c r="E379" i="3" a="1"/>
  <c r="F378" i="3" a="1"/>
  <c r="E378" i="3" a="1"/>
  <c r="F377" i="3" a="1"/>
  <c r="E377" i="3" a="1"/>
  <c r="F376" i="3" a="1"/>
  <c r="E376" i="3" a="1"/>
  <c r="F375" i="3" a="1"/>
  <c r="E375" i="3" a="1"/>
  <c r="F374" i="3" a="1"/>
  <c r="E374" i="3" a="1"/>
  <c r="F373" i="3" a="1"/>
  <c r="E373" i="3" a="1"/>
  <c r="F372" i="3" a="1"/>
  <c r="E372" i="3" a="1"/>
  <c r="F371" i="3" a="1"/>
  <c r="E371" i="3" a="1"/>
  <c r="F370" i="3" a="1"/>
  <c r="E370" i="3" a="1"/>
  <c r="F369" i="3" a="1"/>
  <c r="E369" i="3" a="1"/>
  <c r="F368" i="3" a="1"/>
  <c r="E368" i="3" a="1"/>
  <c r="F367" i="3" a="1"/>
  <c r="E367" i="3" a="1"/>
  <c r="F366" i="3" a="1"/>
  <c r="E366" i="3" a="1"/>
  <c r="F365" i="3" a="1"/>
  <c r="E365" i="3" a="1"/>
  <c r="F364" i="3" a="1"/>
  <c r="E364" i="3" a="1"/>
  <c r="F363" i="3" a="1"/>
  <c r="E363" i="3" a="1"/>
  <c r="F362" i="3" a="1"/>
  <c r="E362" i="3" a="1"/>
  <c r="F361" i="3" a="1"/>
  <c r="E361" i="3" a="1"/>
  <c r="F360" i="3" a="1"/>
  <c r="E360" i="3" a="1"/>
  <c r="F359" i="3" a="1"/>
  <c r="E359" i="3" a="1"/>
  <c r="F358" i="3" a="1"/>
  <c r="E358" i="3" a="1"/>
  <c r="F357" i="3" a="1"/>
  <c r="E357" i="3" a="1"/>
  <c r="F356" i="3" a="1"/>
  <c r="E356" i="3" a="1"/>
  <c r="F355" i="3" a="1"/>
  <c r="E355" i="3" a="1"/>
  <c r="F354" i="3" a="1"/>
  <c r="E354" i="3" a="1"/>
  <c r="F353" i="3" a="1"/>
  <c r="E353" i="3" a="1"/>
  <c r="F352" i="3" a="1"/>
  <c r="E352" i="3" a="1"/>
  <c r="F351" i="3" a="1"/>
  <c r="E351" i="3" a="1"/>
  <c r="F350" i="3" a="1"/>
  <c r="E350" i="3" a="1"/>
  <c r="F349" i="3" a="1"/>
  <c r="E349" i="3" a="1"/>
  <c r="F348" i="3" a="1"/>
  <c r="E348" i="3" a="1"/>
  <c r="F347" i="3" a="1"/>
  <c r="E347" i="3" a="1"/>
  <c r="F346" i="3" a="1"/>
  <c r="E346" i="3" a="1"/>
  <c r="F345" i="3" a="1"/>
  <c r="E345" i="3" a="1"/>
  <c r="F344" i="3" a="1"/>
  <c r="E344" i="3" a="1"/>
  <c r="F343" i="3" a="1"/>
  <c r="E343" i="3" a="1"/>
  <c r="F342" i="3" a="1"/>
  <c r="E342" i="3" a="1"/>
  <c r="F341" i="3" a="1"/>
  <c r="E341" i="3" a="1"/>
  <c r="F340" i="3" a="1"/>
  <c r="E340" i="3" a="1"/>
  <c r="F339" i="3" a="1"/>
  <c r="E339" i="3" a="1"/>
  <c r="F338" i="3" a="1"/>
  <c r="E338" i="3" a="1"/>
  <c r="F337" i="3" a="1"/>
  <c r="E337" i="3" a="1"/>
  <c r="F336" i="3" a="1"/>
  <c r="E336" i="3" a="1"/>
  <c r="F335" i="3" a="1"/>
  <c r="E335" i="3" a="1"/>
  <c r="F334" i="3" a="1"/>
  <c r="E334" i="3" a="1"/>
  <c r="F333" i="3" a="1"/>
  <c r="E333" i="3" a="1"/>
  <c r="F332" i="3" a="1"/>
  <c r="E332" i="3" a="1"/>
  <c r="F331" i="3" a="1"/>
  <c r="E331" i="3" a="1"/>
  <c r="F330" i="3" a="1"/>
  <c r="E330" i="3" a="1"/>
  <c r="F329" i="3" a="1"/>
  <c r="E329" i="3" a="1"/>
  <c r="F328" i="3" a="1"/>
  <c r="E328" i="3" a="1"/>
  <c r="F327" i="3" a="1"/>
  <c r="E327" i="3" a="1"/>
  <c r="F326" i="3" a="1"/>
  <c r="E326" i="3" a="1"/>
  <c r="F325" i="3" a="1"/>
  <c r="E325" i="3" a="1"/>
  <c r="F324" i="3" a="1"/>
  <c r="E324" i="3" a="1"/>
  <c r="F323" i="3" a="1"/>
  <c r="E323" i="3" a="1"/>
  <c r="F322" i="3" a="1"/>
  <c r="E322" i="3" a="1"/>
  <c r="F321" i="3" a="1"/>
  <c r="E321" i="3" a="1"/>
  <c r="F320" i="3" a="1"/>
  <c r="E320" i="3" a="1"/>
  <c r="F319" i="3" a="1"/>
  <c r="E319" i="3" a="1"/>
  <c r="F318" i="3" a="1"/>
  <c r="E318" i="3" a="1"/>
  <c r="F317" i="3" a="1"/>
  <c r="E317" i="3" a="1"/>
  <c r="F316" i="3" a="1"/>
  <c r="E316" i="3" a="1"/>
  <c r="F315" i="3" a="1"/>
  <c r="E315" i="3" a="1"/>
  <c r="F314" i="3" a="1"/>
  <c r="E314" i="3" a="1"/>
  <c r="F313" i="3" a="1"/>
  <c r="E313" i="3" a="1"/>
  <c r="F312" i="3" a="1"/>
  <c r="E312" i="3" a="1"/>
  <c r="F311" i="3" a="1"/>
  <c r="E311" i="3" a="1"/>
  <c r="F310" i="3" a="1"/>
  <c r="E310" i="3" a="1"/>
  <c r="F309" i="3" a="1"/>
  <c r="E309" i="3" a="1"/>
  <c r="F308" i="3" a="1"/>
  <c r="E308" i="3" a="1"/>
  <c r="F307" i="3" a="1"/>
  <c r="E307" i="3" a="1"/>
  <c r="F306" i="3" a="1"/>
  <c r="E306" i="3" a="1"/>
  <c r="F305" i="3" a="1"/>
  <c r="E305" i="3" a="1"/>
  <c r="F304" i="3" a="1"/>
  <c r="E304" i="3" a="1"/>
  <c r="F303" i="3" a="1"/>
  <c r="E303" i="3" a="1"/>
  <c r="F302" i="3" a="1"/>
  <c r="E302" i="3" a="1"/>
  <c r="F301" i="3" a="1"/>
  <c r="E301" i="3" a="1"/>
  <c r="F300" i="3" a="1"/>
  <c r="E300" i="3" a="1"/>
  <c r="F299" i="3" a="1"/>
  <c r="E299" i="3" a="1"/>
  <c r="F298" i="3" a="1"/>
  <c r="E298" i="3" a="1"/>
  <c r="F297" i="3" a="1"/>
  <c r="E297" i="3" a="1"/>
  <c r="F296" i="3" a="1"/>
  <c r="E296" i="3" a="1"/>
  <c r="F295" i="3" a="1"/>
  <c r="E295" i="3" a="1"/>
  <c r="F294" i="3" a="1"/>
  <c r="E294" i="3" a="1"/>
  <c r="F293" i="3" a="1"/>
  <c r="E293" i="3" a="1"/>
  <c r="F292" i="3" a="1"/>
  <c r="E292" i="3" a="1"/>
  <c r="F291" i="3" a="1"/>
  <c r="E291" i="3" a="1"/>
  <c r="F290" i="3" a="1"/>
  <c r="E290" i="3" a="1"/>
  <c r="F289" i="3" a="1"/>
  <c r="E289" i="3" a="1"/>
  <c r="F288" i="3" a="1"/>
  <c r="E288" i="3" a="1"/>
  <c r="F287" i="3" a="1"/>
  <c r="E287" i="3" a="1"/>
  <c r="F286" i="3" a="1"/>
  <c r="E286" i="3" a="1"/>
  <c r="F285" i="3" a="1"/>
  <c r="E285" i="3" a="1"/>
  <c r="F284" i="3" a="1"/>
  <c r="E284" i="3" a="1"/>
  <c r="F283" i="3" a="1"/>
  <c r="E283" i="3" a="1"/>
  <c r="F282" i="3" a="1"/>
  <c r="E282" i="3" a="1"/>
  <c r="F281" i="3" a="1"/>
  <c r="E281" i="3" a="1"/>
  <c r="F280" i="3" a="1"/>
  <c r="E280" i="3" a="1"/>
  <c r="F279" i="3" a="1"/>
  <c r="E279" i="3" a="1"/>
  <c r="F278" i="3" a="1"/>
  <c r="E278" i="3" a="1"/>
  <c r="F277" i="3" a="1"/>
  <c r="E277" i="3" a="1"/>
  <c r="F276" i="3" a="1"/>
  <c r="E276" i="3" a="1"/>
  <c r="F275" i="3" a="1"/>
  <c r="E275" i="3" a="1"/>
  <c r="F274" i="3" a="1"/>
  <c r="E274" i="3" a="1"/>
  <c r="F273" i="3" a="1"/>
  <c r="E273" i="3" a="1"/>
  <c r="F272" i="3" a="1"/>
  <c r="E272" i="3" a="1"/>
  <c r="F271" i="3" a="1"/>
  <c r="E271" i="3" a="1"/>
  <c r="F270" i="3" a="1"/>
  <c r="E270" i="3" a="1"/>
  <c r="F269" i="3" a="1"/>
  <c r="E269" i="3" a="1"/>
  <c r="F268" i="3" a="1"/>
  <c r="E268" i="3" a="1"/>
  <c r="F267" i="3" a="1"/>
  <c r="E267" i="3" a="1"/>
  <c r="F266" i="3" a="1"/>
  <c r="E266" i="3" a="1"/>
  <c r="F265" i="3" a="1"/>
  <c r="E265" i="3" a="1"/>
  <c r="F264" i="3" a="1"/>
  <c r="E264" i="3" a="1"/>
  <c r="F263" i="3" a="1"/>
  <c r="E263" i="3" a="1"/>
  <c r="F262" i="3" a="1"/>
  <c r="E262" i="3" a="1"/>
  <c r="F261" i="3" a="1"/>
  <c r="E261" i="3" a="1"/>
  <c r="F260" i="3" a="1"/>
  <c r="E260" i="3" a="1"/>
  <c r="F259" i="3" a="1"/>
  <c r="E259" i="3" a="1"/>
  <c r="F258" i="3" a="1"/>
  <c r="E258" i="3" a="1"/>
  <c r="F257" i="3" a="1"/>
  <c r="E257" i="3" a="1"/>
  <c r="F256" i="3" a="1"/>
  <c r="E256" i="3" a="1"/>
  <c r="F255" i="3" a="1"/>
  <c r="E255" i="3" a="1"/>
  <c r="F254" i="3" a="1"/>
  <c r="E254" i="3" a="1"/>
  <c r="F253" i="3" a="1"/>
  <c r="E253" i="3" a="1"/>
  <c r="F252" i="3" a="1"/>
  <c r="E252" i="3" a="1"/>
  <c r="F251" i="3" a="1"/>
  <c r="E251" i="3" a="1"/>
  <c r="F250" i="3" a="1"/>
  <c r="E250" i="3" a="1"/>
  <c r="F249" i="3" a="1"/>
  <c r="E249" i="3" a="1"/>
  <c r="F248" i="3" a="1"/>
  <c r="E248" i="3" a="1"/>
  <c r="F247" i="3" a="1"/>
  <c r="E247" i="3" a="1"/>
  <c r="F246" i="3" a="1"/>
  <c r="E246" i="3" a="1"/>
  <c r="F245" i="3" a="1"/>
  <c r="E245" i="3" a="1"/>
  <c r="F244" i="3" a="1"/>
  <c r="E244" i="3" a="1"/>
  <c r="F243" i="3" a="1"/>
  <c r="E243" i="3" a="1"/>
  <c r="F242" i="3" a="1"/>
  <c r="E242" i="3" a="1"/>
  <c r="F241" i="3" a="1"/>
  <c r="E241" i="3" a="1"/>
  <c r="F240" i="3" a="1"/>
  <c r="E240" i="3" a="1"/>
  <c r="F239" i="3" a="1"/>
  <c r="E239" i="3" a="1"/>
  <c r="F238" i="3" a="1"/>
  <c r="E238" i="3" a="1"/>
  <c r="F237" i="3" a="1"/>
  <c r="E237" i="3" a="1"/>
  <c r="F236" i="3" a="1"/>
  <c r="E236" i="3" a="1"/>
  <c r="F235" i="3" a="1"/>
  <c r="E235" i="3" a="1"/>
  <c r="F234" i="3" a="1"/>
  <c r="E234" i="3" a="1"/>
  <c r="F233" i="3" a="1"/>
  <c r="E233" i="3" a="1"/>
  <c r="F232" i="3" a="1"/>
  <c r="E232" i="3" a="1"/>
  <c r="F231" i="3" a="1"/>
  <c r="E231" i="3" a="1"/>
  <c r="F230" i="3" a="1"/>
  <c r="E230" i="3" a="1"/>
  <c r="F229" i="3" a="1"/>
  <c r="E229" i="3" a="1"/>
  <c r="F228" i="3" a="1"/>
  <c r="E228" i="3" a="1"/>
  <c r="F227" i="3" a="1"/>
  <c r="E227" i="3" a="1"/>
  <c r="F226" i="3" a="1"/>
  <c r="E226" i="3" a="1"/>
  <c r="F225" i="3" a="1"/>
  <c r="E225" i="3" a="1"/>
  <c r="F224" i="3" a="1"/>
  <c r="E224" i="3" a="1"/>
  <c r="F223" i="3" a="1"/>
  <c r="E223" i="3" a="1"/>
  <c r="F222" i="3" a="1"/>
  <c r="E222" i="3" a="1"/>
  <c r="F221" i="3" a="1"/>
  <c r="E221" i="3" a="1"/>
  <c r="F220" i="3" a="1"/>
  <c r="E220" i="3" a="1"/>
  <c r="F219" i="3" a="1"/>
  <c r="E219" i="3" a="1"/>
  <c r="F218" i="3" a="1"/>
  <c r="E218" i="3" a="1"/>
  <c r="F217" i="3" a="1"/>
  <c r="E217" i="3" a="1"/>
  <c r="F216" i="3" a="1"/>
  <c r="E216" i="3" a="1"/>
  <c r="F215" i="3" a="1"/>
  <c r="E215" i="3" a="1"/>
  <c r="F214" i="3" a="1"/>
  <c r="E214" i="3" a="1"/>
  <c r="F213" i="3" a="1"/>
  <c r="E213" i="3" a="1"/>
  <c r="F212" i="3" a="1"/>
  <c r="E212" i="3" a="1"/>
  <c r="F211" i="3" a="1"/>
  <c r="E211" i="3" a="1"/>
  <c r="F210" i="3" a="1"/>
  <c r="E210" i="3" a="1"/>
  <c r="F209" i="3" a="1"/>
  <c r="E209" i="3" a="1"/>
  <c r="F208" i="3" a="1"/>
  <c r="E208" i="3" a="1"/>
  <c r="F207" i="3" a="1"/>
  <c r="E207" i="3" a="1"/>
  <c r="F206" i="3" a="1"/>
  <c r="E206" i="3" a="1"/>
  <c r="F205" i="3" a="1"/>
  <c r="E205" i="3" a="1"/>
  <c r="F204" i="3" a="1"/>
  <c r="E204" i="3" a="1"/>
  <c r="F203" i="3" a="1"/>
  <c r="E203" i="3" a="1"/>
  <c r="F202" i="3" a="1"/>
  <c r="E202" i="3" a="1"/>
  <c r="F201" i="3" a="1"/>
  <c r="E201" i="3" a="1"/>
  <c r="F200" i="3" a="1"/>
  <c r="E200" i="3" a="1"/>
  <c r="F199" i="3" a="1"/>
  <c r="E199" i="3" a="1"/>
  <c r="F198" i="3" a="1"/>
  <c r="E198" i="3" a="1"/>
  <c r="F197" i="3" a="1"/>
  <c r="E197" i="3" a="1"/>
  <c r="F196" i="3" a="1"/>
  <c r="E196" i="3" a="1"/>
  <c r="F195" i="3" a="1"/>
  <c r="E195" i="3" a="1"/>
  <c r="F194" i="3" a="1"/>
  <c r="E194" i="3" a="1"/>
  <c r="F193" i="3" a="1"/>
  <c r="E193" i="3" a="1"/>
  <c r="F192" i="3" a="1"/>
  <c r="E192" i="3" a="1"/>
  <c r="F191" i="3" a="1"/>
  <c r="E191" i="3" a="1"/>
  <c r="F190" i="3" a="1"/>
  <c r="E190" i="3" a="1"/>
  <c r="F189" i="3" a="1"/>
  <c r="E189" i="3" a="1"/>
  <c r="F188" i="3" a="1"/>
  <c r="E188" i="3" a="1"/>
  <c r="F187" i="3" a="1"/>
  <c r="E187" i="3" a="1"/>
  <c r="F186" i="3" a="1"/>
  <c r="E186" i="3" a="1"/>
  <c r="F185" i="3" a="1"/>
  <c r="E185" i="3" a="1"/>
  <c r="F184" i="3" a="1"/>
  <c r="E184" i="3" a="1"/>
  <c r="F183" i="3" a="1"/>
  <c r="E183" i="3" a="1"/>
  <c r="F182" i="3" a="1"/>
  <c r="E182" i="3" a="1"/>
  <c r="F181" i="3" a="1"/>
  <c r="E181" i="3" a="1"/>
  <c r="F180" i="3" a="1"/>
  <c r="E180" i="3" a="1"/>
  <c r="F179" i="3" a="1"/>
  <c r="E179" i="3" a="1"/>
  <c r="F178" i="3" a="1"/>
  <c r="E178" i="3" a="1"/>
  <c r="F177" i="3" a="1"/>
  <c r="E177" i="3" a="1"/>
  <c r="F176" i="3" a="1"/>
  <c r="E176" i="3" a="1"/>
  <c r="F175" i="3" a="1"/>
  <c r="E175" i="3" a="1"/>
  <c r="F174" i="3" a="1"/>
  <c r="E174" i="3" a="1"/>
  <c r="F173" i="3" a="1"/>
  <c r="E173" i="3" a="1"/>
  <c r="F172" i="3" a="1"/>
  <c r="E172" i="3" a="1"/>
  <c r="F171" i="3" a="1"/>
  <c r="E171" i="3" a="1"/>
  <c r="F170" i="3" a="1"/>
  <c r="E170" i="3" a="1"/>
  <c r="F169" i="3" a="1"/>
  <c r="E169" i="3" a="1"/>
  <c r="F168" i="3" a="1"/>
  <c r="E168" i="3" a="1"/>
  <c r="F167" i="3" a="1"/>
  <c r="E167" i="3" a="1"/>
  <c r="F166" i="3" a="1"/>
  <c r="E166" i="3" a="1"/>
  <c r="F165" i="3" a="1"/>
  <c r="E165" i="3" a="1"/>
  <c r="F164" i="3" a="1"/>
  <c r="E164" i="3" a="1"/>
  <c r="F163" i="3" a="1"/>
  <c r="E163" i="3" a="1"/>
  <c r="F162" i="3" a="1"/>
  <c r="E162" i="3" a="1"/>
  <c r="F161" i="3" a="1"/>
  <c r="E161" i="3" a="1"/>
  <c r="F160" i="3" a="1"/>
  <c r="E160" i="3" a="1"/>
  <c r="F159" i="3" a="1"/>
  <c r="E159" i="3" a="1"/>
  <c r="F158" i="3" a="1"/>
  <c r="E158" i="3" a="1"/>
  <c r="F157" i="3" a="1"/>
  <c r="E157" i="3" a="1"/>
  <c r="F156" i="3" a="1"/>
  <c r="E156" i="3" a="1"/>
  <c r="F155" i="3" a="1"/>
  <c r="E155" i="3" a="1"/>
  <c r="F154" i="3" a="1"/>
  <c r="E154" i="3" a="1"/>
  <c r="F153" i="3" a="1"/>
  <c r="E153" i="3" a="1"/>
  <c r="F152" i="3" a="1"/>
  <c r="E152" i="3" a="1"/>
  <c r="F151" i="3" a="1"/>
  <c r="E151" i="3" a="1"/>
  <c r="F150" i="3" a="1"/>
  <c r="E150" i="3" a="1"/>
  <c r="F149" i="3" a="1"/>
  <c r="E149" i="3" a="1"/>
  <c r="F148" i="3" a="1"/>
  <c r="E148" i="3" a="1"/>
  <c r="F147" i="3" a="1"/>
  <c r="E147" i="3" a="1"/>
  <c r="F146" i="3" a="1"/>
  <c r="E146" i="3" a="1"/>
  <c r="F145" i="3" a="1"/>
  <c r="E145" i="3" a="1"/>
  <c r="F144" i="3" a="1"/>
  <c r="E144" i="3" a="1"/>
  <c r="F143" i="3" a="1"/>
  <c r="E143" i="3" a="1"/>
  <c r="F142" i="3" a="1"/>
  <c r="E142" i="3" a="1"/>
  <c r="F141" i="3" a="1"/>
  <c r="E141" i="3" a="1"/>
  <c r="F140" i="3" a="1"/>
  <c r="E140" i="3" a="1"/>
  <c r="F139" i="3" a="1"/>
  <c r="E139" i="3" a="1"/>
  <c r="F138" i="3" a="1"/>
  <c r="E138" i="3" a="1"/>
  <c r="F137" i="3" a="1"/>
  <c r="E137" i="3" a="1"/>
  <c r="F136" i="3" a="1"/>
  <c r="E136" i="3" a="1"/>
  <c r="F135" i="3" a="1"/>
  <c r="E135" i="3" a="1"/>
  <c r="F134" i="3" a="1"/>
  <c r="E134" i="3" a="1"/>
  <c r="F133" i="3" a="1"/>
  <c r="E133" i="3" a="1"/>
  <c r="F132" i="3" a="1"/>
  <c r="E132" i="3" a="1"/>
  <c r="F131" i="3" a="1"/>
  <c r="E131" i="3" a="1"/>
  <c r="F130" i="3" a="1"/>
  <c r="E130" i="3" a="1"/>
  <c r="F129" i="3" a="1"/>
  <c r="E129" i="3" a="1"/>
  <c r="F128" i="3" a="1"/>
  <c r="E128" i="3" a="1"/>
  <c r="F127" i="3" a="1"/>
  <c r="E127" i="3" a="1"/>
  <c r="F126" i="3" a="1"/>
  <c r="E126" i="3" a="1"/>
  <c r="F125" i="3" a="1"/>
  <c r="E125" i="3" a="1"/>
  <c r="F124" i="3" a="1"/>
  <c r="E124" i="3" a="1"/>
  <c r="F123" i="3" a="1"/>
  <c r="E123" i="3" a="1"/>
  <c r="F122" i="3" a="1"/>
  <c r="E122" i="3" a="1"/>
  <c r="F121" i="3" a="1"/>
  <c r="E121" i="3" a="1"/>
  <c r="F120" i="3" a="1"/>
  <c r="E120" i="3" a="1"/>
  <c r="F119" i="3" a="1"/>
  <c r="E119" i="3" a="1"/>
  <c r="F118" i="3" a="1"/>
  <c r="E118" i="3" a="1"/>
  <c r="F117" i="3" a="1"/>
  <c r="E117" i="3" a="1"/>
  <c r="F116" i="3" a="1"/>
  <c r="E116" i="3" a="1"/>
  <c r="F115" i="3" a="1"/>
  <c r="E115" i="3" a="1"/>
  <c r="F114" i="3" a="1"/>
  <c r="E114" i="3" a="1"/>
  <c r="F113" i="3" a="1"/>
  <c r="E113" i="3" a="1"/>
  <c r="F112" i="3" a="1"/>
  <c r="E112" i="3" a="1"/>
  <c r="F111" i="3" a="1"/>
  <c r="E111" i="3" a="1"/>
  <c r="F110" i="3" a="1"/>
  <c r="E110" i="3" a="1"/>
  <c r="F109" i="3" a="1"/>
  <c r="E109" i="3" a="1"/>
  <c r="F108" i="3" a="1"/>
  <c r="E108" i="3" a="1"/>
  <c r="F107" i="3" a="1"/>
  <c r="E107" i="3" a="1"/>
  <c r="F106" i="3" a="1"/>
  <c r="E106" i="3" a="1"/>
  <c r="F105" i="3" a="1"/>
  <c r="E105" i="3" a="1"/>
  <c r="F104" i="3" a="1"/>
  <c r="E104" i="3" a="1"/>
  <c r="F103" i="3" a="1"/>
  <c r="E103" i="3" a="1"/>
  <c r="F102" i="3" a="1"/>
  <c r="E102" i="3" a="1"/>
  <c r="F101" i="3" a="1"/>
  <c r="E101" i="3" a="1"/>
  <c r="F100" i="3" a="1"/>
  <c r="E100" i="3" a="1"/>
  <c r="F99" i="3" a="1"/>
  <c r="E99" i="3" a="1"/>
  <c r="F98" i="3" a="1"/>
  <c r="E98" i="3" a="1"/>
  <c r="F97" i="3" a="1"/>
  <c r="E97" i="3" a="1"/>
  <c r="F96" i="3" a="1"/>
  <c r="E96" i="3" a="1"/>
  <c r="F95" i="3" a="1"/>
  <c r="E95" i="3" a="1"/>
  <c r="F94" i="3" a="1"/>
  <c r="E94" i="3" a="1"/>
  <c r="F93" i="3" a="1"/>
  <c r="E93" i="3" a="1"/>
  <c r="F92" i="3" a="1"/>
  <c r="E92" i="3" a="1"/>
  <c r="F91" i="3" a="1"/>
  <c r="E91" i="3" a="1"/>
  <c r="F90" i="3" a="1"/>
  <c r="E90" i="3" a="1"/>
  <c r="F89" i="3" a="1"/>
  <c r="E89" i="3" a="1"/>
  <c r="F88" i="3" a="1"/>
  <c r="E88" i="3" a="1"/>
  <c r="F87" i="3" a="1"/>
  <c r="E87" i="3" a="1"/>
  <c r="F86" i="3" a="1"/>
  <c r="E86" i="3" a="1"/>
  <c r="F85" i="3" a="1"/>
  <c r="E85" i="3" a="1"/>
  <c r="F84" i="3" a="1"/>
  <c r="E84" i="3" a="1"/>
  <c r="F83" i="3" a="1"/>
  <c r="E83" i="3" a="1"/>
  <c r="F82" i="3" a="1"/>
  <c r="E82" i="3" a="1"/>
  <c r="F81" i="3" a="1"/>
  <c r="E81" i="3" a="1"/>
  <c r="F80" i="3" a="1"/>
  <c r="E80" i="3" a="1"/>
  <c r="F79" i="3" a="1"/>
  <c r="E79" i="3" a="1"/>
  <c r="F78" i="3" a="1"/>
  <c r="E78" i="3" a="1"/>
  <c r="F77" i="3" a="1"/>
  <c r="E77" i="3" a="1"/>
  <c r="F76" i="3" a="1"/>
  <c r="E76" i="3" a="1"/>
  <c r="F75" i="3" a="1"/>
  <c r="E75" i="3" a="1"/>
  <c r="F74" i="3" a="1"/>
  <c r="E74" i="3" a="1"/>
  <c r="F73" i="3" a="1"/>
  <c r="E73" i="3" a="1"/>
  <c r="F72" i="3" a="1"/>
  <c r="E72" i="3" a="1"/>
  <c r="F71" i="3" a="1"/>
  <c r="E71" i="3" a="1"/>
  <c r="F70" i="3" a="1"/>
  <c r="E70" i="3" a="1"/>
  <c r="F69" i="3" a="1"/>
  <c r="E69" i="3" a="1"/>
  <c r="F68" i="3" a="1"/>
  <c r="E68" i="3" a="1"/>
  <c r="F67" i="3" a="1"/>
  <c r="E67" i="3" a="1"/>
  <c r="F66" i="3" a="1"/>
  <c r="E66" i="3" a="1"/>
  <c r="F65" i="3" a="1"/>
  <c r="E65" i="3" a="1"/>
  <c r="F64" i="3" a="1"/>
  <c r="E64" i="3" a="1"/>
  <c r="F63" i="3" a="1"/>
  <c r="E63" i="3" a="1"/>
  <c r="F62" i="3" a="1"/>
  <c r="E62" i="3" a="1"/>
  <c r="F61" i="3" a="1"/>
  <c r="E61" i="3" a="1"/>
  <c r="F60" i="3" a="1"/>
  <c r="E60" i="3" a="1"/>
  <c r="F59" i="3" a="1"/>
  <c r="E59" i="3" a="1"/>
  <c r="F58" i="3" a="1"/>
  <c r="E58" i="3" a="1"/>
  <c r="F57" i="3" a="1"/>
  <c r="E57" i="3" a="1"/>
  <c r="F56" i="3" a="1"/>
  <c r="E56" i="3" a="1"/>
  <c r="F55" i="3" a="1"/>
  <c r="E55" i="3" a="1"/>
  <c r="F54" i="3" a="1"/>
  <c r="E54" i="3" a="1"/>
  <c r="F53" i="3" a="1"/>
  <c r="E53" i="3" a="1"/>
  <c r="F52" i="3" a="1"/>
  <c r="E52" i="3" a="1"/>
  <c r="F51" i="3" a="1"/>
  <c r="E51" i="3" a="1"/>
  <c r="F50" i="3" a="1"/>
  <c r="E50" i="3" a="1"/>
  <c r="F49" i="3" a="1"/>
  <c r="E49" i="3" a="1"/>
  <c r="F48" i="3" a="1"/>
  <c r="E48" i="3" a="1"/>
  <c r="F47" i="3" a="1"/>
  <c r="E47" i="3" a="1"/>
  <c r="F46" i="3" a="1"/>
  <c r="E46" i="3" a="1"/>
  <c r="F45" i="3" a="1"/>
  <c r="E45" i="3" a="1"/>
  <c r="F44" i="3" a="1"/>
  <c r="E44" i="3" a="1"/>
  <c r="F43" i="3" a="1"/>
  <c r="E43" i="3" a="1"/>
  <c r="F42" i="3" a="1"/>
  <c r="E42" i="3" a="1"/>
  <c r="F41" i="3" a="1"/>
  <c r="E41" i="3" a="1"/>
  <c r="F40" i="3" a="1"/>
  <c r="E40" i="3" a="1"/>
  <c r="F39" i="3" a="1"/>
  <c r="E39" i="3" a="1"/>
  <c r="F38" i="3" a="1"/>
  <c r="E38" i="3" a="1"/>
  <c r="F37" i="3" a="1"/>
  <c r="E37" i="3" a="1"/>
  <c r="F36" i="3" a="1"/>
  <c r="E36" i="3" a="1"/>
  <c r="F35" i="3" a="1"/>
  <c r="E35" i="3" a="1"/>
  <c r="F34" i="3" a="1"/>
  <c r="E34" i="3" a="1"/>
  <c r="F33" i="3" a="1"/>
  <c r="E33" i="3" a="1"/>
  <c r="F32" i="3" a="1"/>
  <c r="E32" i="3" a="1"/>
  <c r="F31" i="3" a="1"/>
  <c r="E31" i="3" a="1"/>
  <c r="F30" i="3" a="1"/>
  <c r="E30" i="3" a="1"/>
  <c r="F29" i="3" a="1"/>
  <c r="E29" i="3" a="1"/>
  <c r="F28" i="3" a="1"/>
  <c r="E28" i="3" a="1"/>
  <c r="F27" i="3" a="1"/>
  <c r="E27" i="3" a="1"/>
  <c r="F26" i="3" a="1"/>
  <c r="E26" i="3" a="1"/>
  <c r="F25" i="3" a="1"/>
  <c r="E25" i="3" a="1"/>
  <c r="F24" i="3" a="1"/>
  <c r="E24" i="3" a="1"/>
  <c r="F23" i="3" a="1"/>
  <c r="E23" i="3" a="1"/>
  <c r="F22" i="3" a="1"/>
  <c r="E22" i="3" a="1"/>
  <c r="F21" i="3" a="1"/>
  <c r="E21" i="3" a="1"/>
  <c r="F20" i="3" a="1"/>
  <c r="E20" i="3" a="1"/>
  <c r="F19" i="3" a="1"/>
  <c r="E19" i="3" a="1"/>
  <c r="D493" i="3" a="1"/>
  <c r="D492" i="3" a="1"/>
  <c r="D491" i="3" a="1"/>
  <c r="D490" i="3" a="1"/>
  <c r="D489" i="3" a="1"/>
  <c r="D488" i="3" a="1"/>
  <c r="D487" i="3" a="1"/>
  <c r="D486" i="3" a="1"/>
  <c r="D485" i="3" a="1"/>
  <c r="D484" i="3" a="1"/>
  <c r="D483" i="3" a="1"/>
  <c r="D482" i="3" a="1"/>
  <c r="D481" i="3" a="1"/>
  <c r="D480" i="3" a="1"/>
  <c r="D479" i="3" a="1"/>
  <c r="D478" i="3" a="1"/>
  <c r="D477" i="3" a="1"/>
  <c r="D476" i="3" a="1"/>
  <c r="D475" i="3" a="1"/>
  <c r="D474" i="3" a="1"/>
  <c r="D473" i="3" a="1"/>
  <c r="D472" i="3" a="1"/>
  <c r="D471" i="3" a="1"/>
  <c r="D470" i="3" a="1"/>
  <c r="D469" i="3" a="1"/>
  <c r="D468" i="3" a="1"/>
  <c r="D467" i="3" a="1"/>
  <c r="D466" i="3" a="1"/>
  <c r="D465" i="3" a="1"/>
  <c r="D464" i="3" a="1"/>
  <c r="D463" i="3" a="1"/>
  <c r="D462" i="3" a="1"/>
  <c r="D461" i="3" a="1"/>
  <c r="D460" i="3" a="1"/>
  <c r="D459" i="3" a="1"/>
  <c r="D458" i="3" a="1"/>
  <c r="D457" i="3" a="1"/>
  <c r="D456" i="3" a="1"/>
  <c r="D455" i="3" a="1"/>
  <c r="D454" i="3" a="1"/>
  <c r="D453" i="3" a="1"/>
  <c r="D452" i="3" a="1"/>
  <c r="D451" i="3" a="1"/>
  <c r="D450" i="3" a="1"/>
  <c r="D449" i="3" a="1"/>
  <c r="D448" i="3" a="1"/>
  <c r="D447" i="3" a="1"/>
  <c r="D446" i="3" a="1"/>
  <c r="D445" i="3" a="1"/>
  <c r="D444" i="3" a="1"/>
  <c r="D443" i="3" a="1"/>
  <c r="D442" i="3" a="1"/>
  <c r="D441" i="3" a="1"/>
  <c r="D440" i="3" a="1"/>
  <c r="D439" i="3" a="1"/>
  <c r="D438" i="3" a="1"/>
  <c r="D437" i="3" a="1"/>
  <c r="D436" i="3" a="1"/>
  <c r="D435" i="3" a="1"/>
  <c r="D434" i="3" a="1"/>
  <c r="D433" i="3" a="1"/>
  <c r="D432" i="3" a="1"/>
  <c r="D431" i="3" a="1"/>
  <c r="D430" i="3" a="1"/>
  <c r="D429" i="3" a="1"/>
  <c r="D428" i="3" a="1"/>
  <c r="D427" i="3" a="1"/>
  <c r="D426" i="3" a="1"/>
  <c r="D425" i="3" a="1"/>
  <c r="D424" i="3" a="1"/>
  <c r="D423" i="3" a="1"/>
  <c r="D422" i="3" a="1"/>
  <c r="D421" i="3" a="1"/>
  <c r="D420" i="3" a="1"/>
  <c r="D419" i="3" a="1"/>
  <c r="D418" i="3" a="1"/>
  <c r="D417" i="3" a="1"/>
  <c r="D416" i="3" a="1"/>
  <c r="D415" i="3" a="1"/>
  <c r="D414" i="3" a="1"/>
  <c r="D413" i="3" a="1"/>
  <c r="D412" i="3" a="1"/>
  <c r="D411" i="3" a="1"/>
  <c r="D410" i="3" a="1"/>
  <c r="D409" i="3" a="1"/>
  <c r="D408" i="3" a="1"/>
  <c r="D407" i="3" a="1"/>
  <c r="D406" i="3" a="1"/>
  <c r="D405" i="3" a="1"/>
  <c r="D404" i="3" a="1"/>
  <c r="D403" i="3" a="1"/>
  <c r="D402" i="3" a="1"/>
  <c r="D401" i="3" a="1"/>
  <c r="D400" i="3" a="1"/>
  <c r="D399" i="3" a="1"/>
  <c r="D398" i="3" a="1"/>
  <c r="D397" i="3" a="1"/>
  <c r="D396" i="3" a="1"/>
  <c r="D395" i="3" a="1"/>
  <c r="D394" i="3" a="1"/>
  <c r="D393" i="3" a="1"/>
  <c r="D392" i="3" a="1"/>
  <c r="D391" i="3" a="1"/>
  <c r="D390" i="3" a="1"/>
  <c r="D389" i="3" a="1"/>
  <c r="D388" i="3" a="1"/>
  <c r="D387" i="3" a="1"/>
  <c r="D386" i="3" a="1"/>
  <c r="D385" i="3" a="1"/>
  <c r="D384" i="3" a="1"/>
  <c r="D383" i="3" a="1"/>
  <c r="D382" i="3" a="1"/>
  <c r="D381" i="3" a="1"/>
  <c r="D380" i="3" a="1"/>
  <c r="D379" i="3" a="1"/>
  <c r="D378" i="3" a="1"/>
  <c r="D377" i="3" a="1"/>
  <c r="D376" i="3" a="1"/>
  <c r="D375" i="3" a="1"/>
  <c r="D374" i="3" a="1"/>
  <c r="D373" i="3" a="1"/>
  <c r="D372" i="3" a="1"/>
  <c r="D371" i="3" a="1"/>
  <c r="D370" i="3" a="1"/>
  <c r="D369" i="3" a="1"/>
  <c r="D368" i="3" a="1"/>
  <c r="D367" i="3" a="1"/>
  <c r="D366" i="3" a="1"/>
  <c r="D365" i="3" a="1"/>
  <c r="D364" i="3" a="1"/>
  <c r="D363" i="3" a="1"/>
  <c r="D362" i="3" a="1"/>
  <c r="D361" i="3" a="1"/>
  <c r="D360" i="3" a="1"/>
  <c r="D359" i="3" a="1"/>
  <c r="D358" i="3" a="1"/>
  <c r="D357" i="3" a="1"/>
  <c r="D356" i="3" a="1"/>
  <c r="D355" i="3" a="1"/>
  <c r="D354" i="3" a="1"/>
  <c r="D353" i="3" a="1"/>
  <c r="D352" i="3" a="1"/>
  <c r="D351" i="3" a="1"/>
  <c r="D350" i="3" a="1"/>
  <c r="D349" i="3" a="1"/>
  <c r="D348" i="3" a="1"/>
  <c r="D347" i="3" a="1"/>
  <c r="D346" i="3" a="1"/>
  <c r="D345" i="3" a="1"/>
  <c r="D344" i="3" a="1"/>
  <c r="D343" i="3" a="1"/>
  <c r="D342" i="3" a="1"/>
  <c r="D341" i="3" a="1"/>
  <c r="D340" i="3" a="1"/>
  <c r="D339" i="3" a="1"/>
  <c r="D338" i="3" a="1"/>
  <c r="D337" i="3" a="1"/>
  <c r="D336" i="3" a="1"/>
  <c r="D335" i="3" a="1"/>
  <c r="D334" i="3" a="1"/>
  <c r="D333" i="3" a="1"/>
  <c r="D332" i="3" a="1"/>
  <c r="D331" i="3" a="1"/>
  <c r="D330" i="3" a="1"/>
  <c r="D329" i="3" a="1"/>
  <c r="D328" i="3" a="1"/>
  <c r="D327" i="3" a="1"/>
  <c r="D326" i="3" a="1"/>
  <c r="D325" i="3" a="1"/>
  <c r="D324" i="3" a="1"/>
  <c r="D323" i="3" a="1"/>
  <c r="D322" i="3" a="1"/>
  <c r="D321" i="3" a="1"/>
  <c r="D320" i="3" a="1"/>
  <c r="D319" i="3" a="1"/>
  <c r="D318" i="3" a="1"/>
  <c r="D317" i="3" a="1"/>
  <c r="D316" i="3" a="1"/>
  <c r="D315" i="3" a="1"/>
  <c r="D314" i="3" a="1"/>
  <c r="D313" i="3" a="1"/>
  <c r="D312" i="3" a="1"/>
  <c r="D311" i="3" a="1"/>
  <c r="D310" i="3" a="1"/>
  <c r="D309" i="3" a="1"/>
  <c r="D308" i="3" a="1"/>
  <c r="D307" i="3" a="1"/>
  <c r="D306" i="3" a="1"/>
  <c r="D305" i="3" a="1"/>
  <c r="D304" i="3" a="1"/>
  <c r="D303" i="3" a="1"/>
  <c r="D302" i="3" a="1"/>
  <c r="D301" i="3" a="1"/>
  <c r="D300" i="3" a="1"/>
  <c r="D299" i="3" a="1"/>
  <c r="D298" i="3" a="1"/>
  <c r="D297" i="3" a="1"/>
  <c r="D296" i="3" a="1"/>
  <c r="D295" i="3" a="1"/>
  <c r="D294" i="3" a="1"/>
  <c r="D293" i="3" a="1"/>
  <c r="D292" i="3" a="1"/>
  <c r="D291" i="3" a="1"/>
  <c r="D290" i="3" a="1"/>
  <c r="D289" i="3" a="1"/>
  <c r="D288" i="3" a="1"/>
  <c r="D287" i="3" a="1"/>
  <c r="D286" i="3" a="1"/>
  <c r="D285" i="3" a="1"/>
  <c r="D284" i="3" a="1"/>
  <c r="D283" i="3" a="1"/>
  <c r="D282" i="3" a="1"/>
  <c r="D281" i="3" a="1"/>
  <c r="D280" i="3" a="1"/>
  <c r="D279" i="3" a="1"/>
  <c r="D278" i="3" a="1"/>
  <c r="D277" i="3" a="1"/>
  <c r="D276" i="3" a="1"/>
  <c r="D275" i="3" a="1"/>
  <c r="D274" i="3" a="1"/>
  <c r="D273" i="3" a="1"/>
  <c r="D272" i="3" a="1"/>
  <c r="D271" i="3" a="1"/>
  <c r="D270" i="3" a="1"/>
  <c r="D269" i="3" a="1"/>
  <c r="D268" i="3" a="1"/>
  <c r="D267" i="3" a="1"/>
  <c r="D266" i="3" a="1"/>
  <c r="D265" i="3" a="1"/>
  <c r="D264" i="3" a="1"/>
  <c r="D263" i="3" a="1"/>
  <c r="D262" i="3" a="1"/>
  <c r="D261" i="3" a="1"/>
  <c r="D260" i="3" a="1"/>
  <c r="D259" i="3" a="1"/>
  <c r="D258" i="3" a="1"/>
  <c r="D257" i="3" a="1"/>
  <c r="D256" i="3" a="1"/>
  <c r="D255" i="3" a="1"/>
  <c r="D254" i="3" a="1"/>
  <c r="D253" i="3" a="1"/>
  <c r="D252" i="3" a="1"/>
  <c r="D251" i="3" a="1"/>
  <c r="D250" i="3" a="1"/>
  <c r="D249" i="3" a="1"/>
  <c r="D248" i="3" a="1"/>
  <c r="D247" i="3" a="1"/>
  <c r="D246" i="3" a="1"/>
  <c r="D245" i="3" a="1"/>
  <c r="D244" i="3" a="1"/>
  <c r="D243" i="3" a="1"/>
  <c r="D242" i="3" a="1"/>
  <c r="D241" i="3" a="1"/>
  <c r="D240" i="3" a="1"/>
  <c r="D239" i="3" a="1"/>
  <c r="D238" i="3" a="1"/>
  <c r="D237" i="3" a="1"/>
  <c r="D236" i="3" a="1"/>
  <c r="D235" i="3" a="1"/>
  <c r="D234" i="3" a="1"/>
  <c r="D233" i="3" a="1"/>
  <c r="D232" i="3" a="1"/>
  <c r="D231" i="3" a="1"/>
  <c r="D230" i="3" a="1"/>
  <c r="D229" i="3" a="1"/>
  <c r="D228" i="3" a="1"/>
  <c r="D227" i="3" a="1"/>
  <c r="D226" i="3" a="1"/>
  <c r="D225" i="3" a="1"/>
  <c r="D224" i="3" a="1"/>
  <c r="D223" i="3" a="1"/>
  <c r="D222" i="3" a="1"/>
  <c r="D221" i="3" a="1"/>
  <c r="D220" i="3" a="1"/>
  <c r="D219" i="3" a="1"/>
  <c r="D218" i="3" a="1"/>
  <c r="D217" i="3" a="1"/>
  <c r="D216" i="3" a="1"/>
  <c r="D215" i="3" a="1"/>
  <c r="D214" i="3" a="1"/>
  <c r="D213" i="3" a="1"/>
  <c r="D212" i="3" a="1"/>
  <c r="D211" i="3" a="1"/>
  <c r="D210" i="3" a="1"/>
  <c r="D209" i="3" a="1"/>
  <c r="D208" i="3" a="1"/>
  <c r="D207" i="3" a="1"/>
  <c r="D206" i="3" a="1"/>
  <c r="D205" i="3" a="1"/>
  <c r="D204" i="3" a="1"/>
  <c r="D203" i="3" a="1"/>
  <c r="D202" i="3" a="1"/>
  <c r="D201" i="3" a="1"/>
  <c r="D200" i="3" a="1"/>
  <c r="D199" i="3" a="1"/>
  <c r="D198" i="3" a="1"/>
  <c r="D197" i="3" a="1"/>
  <c r="D196" i="3" a="1"/>
  <c r="D195" i="3" a="1"/>
  <c r="D194" i="3" a="1"/>
  <c r="D193" i="3" a="1"/>
  <c r="D192" i="3" a="1"/>
  <c r="D191" i="3" a="1"/>
  <c r="D190" i="3" a="1"/>
  <c r="D189" i="3" a="1"/>
  <c r="D188" i="3" a="1"/>
  <c r="D187" i="3" a="1"/>
  <c r="D186" i="3" a="1"/>
  <c r="D185" i="3" a="1"/>
  <c r="D184" i="3" a="1"/>
  <c r="D183" i="3" a="1"/>
  <c r="D182" i="3" a="1"/>
  <c r="D181" i="3" a="1"/>
  <c r="D180" i="3" a="1"/>
  <c r="D179" i="3" a="1"/>
  <c r="D178" i="3" a="1"/>
  <c r="D177" i="3" a="1"/>
  <c r="D176" i="3" a="1"/>
  <c r="D175" i="3" a="1"/>
  <c r="D174" i="3" a="1"/>
  <c r="D173" i="3" a="1"/>
  <c r="D172" i="3" a="1"/>
  <c r="D171" i="3" a="1"/>
  <c r="D170" i="3" a="1"/>
  <c r="D169" i="3" a="1"/>
  <c r="D168" i="3" a="1"/>
  <c r="D167" i="3" a="1"/>
  <c r="D166" i="3" a="1"/>
  <c r="D165" i="3" a="1"/>
  <c r="D164" i="3" a="1"/>
  <c r="D163" i="3" a="1"/>
  <c r="D162" i="3" a="1"/>
  <c r="D161" i="3" a="1"/>
  <c r="D160" i="3" a="1"/>
  <c r="D159" i="3" a="1"/>
  <c r="D158" i="3" a="1"/>
  <c r="D157" i="3" a="1"/>
  <c r="D156" i="3" a="1"/>
  <c r="D155" i="3" a="1"/>
  <c r="D154" i="3" a="1"/>
  <c r="D153" i="3" a="1"/>
  <c r="D152" i="3" a="1"/>
  <c r="D151" i="3" a="1"/>
  <c r="D150" i="3" a="1"/>
  <c r="D149" i="3" a="1"/>
  <c r="D148" i="3" a="1"/>
  <c r="D147" i="3" a="1"/>
  <c r="D146" i="3" a="1"/>
  <c r="D145" i="3" a="1"/>
  <c r="D144" i="3" a="1"/>
  <c r="D143" i="3" a="1"/>
  <c r="D142" i="3" a="1"/>
  <c r="D141" i="3" a="1"/>
  <c r="D140" i="3" a="1"/>
  <c r="D139" i="3" a="1"/>
  <c r="D138" i="3" a="1"/>
  <c r="D137" i="3" a="1"/>
  <c r="D136" i="3" a="1"/>
  <c r="D135" i="3" a="1"/>
  <c r="D134" i="3" a="1"/>
  <c r="D133" i="3" a="1"/>
  <c r="D132" i="3" a="1"/>
  <c r="D131" i="3" a="1"/>
  <c r="D130" i="3" a="1"/>
  <c r="D129" i="3" a="1"/>
  <c r="D128" i="3" a="1"/>
  <c r="D127" i="3" a="1"/>
  <c r="D126" i="3" a="1"/>
  <c r="D125" i="3" a="1"/>
  <c r="D124" i="3" a="1"/>
  <c r="D123" i="3" a="1"/>
  <c r="D122" i="3" a="1"/>
  <c r="D121" i="3" a="1"/>
  <c r="D120" i="3" a="1"/>
  <c r="D119" i="3" a="1"/>
  <c r="D118" i="3" a="1"/>
  <c r="D117" i="3" a="1"/>
  <c r="D116" i="3" a="1"/>
  <c r="D115" i="3" a="1"/>
  <c r="D114" i="3" a="1"/>
  <c r="D113" i="3" a="1"/>
  <c r="D112" i="3" a="1"/>
  <c r="D111" i="3" a="1"/>
  <c r="D110" i="3" a="1"/>
  <c r="D109" i="3" a="1"/>
  <c r="D108" i="3" a="1"/>
  <c r="D107" i="3" a="1"/>
  <c r="D106" i="3" a="1"/>
  <c r="D105" i="3" a="1"/>
  <c r="D104" i="3" a="1"/>
  <c r="D103" i="3" a="1"/>
  <c r="D102" i="3" a="1"/>
  <c r="D101" i="3" a="1"/>
  <c r="D100" i="3" a="1"/>
  <c r="D99" i="3" a="1"/>
  <c r="D98" i="3" a="1"/>
  <c r="D97" i="3" a="1"/>
  <c r="D96" i="3" a="1"/>
  <c r="D95" i="3" a="1"/>
  <c r="D94" i="3" a="1"/>
  <c r="D93" i="3" a="1"/>
  <c r="D92" i="3" a="1"/>
  <c r="D91" i="3" a="1"/>
  <c r="D90" i="3" a="1"/>
  <c r="D89" i="3" a="1"/>
  <c r="D88" i="3" a="1"/>
  <c r="D87" i="3" a="1"/>
  <c r="D86" i="3" a="1"/>
  <c r="D85" i="3" a="1"/>
  <c r="D84" i="3" a="1"/>
  <c r="D83" i="3" a="1"/>
  <c r="D82" i="3" a="1"/>
  <c r="D81" i="3" a="1"/>
  <c r="D80" i="3" a="1"/>
  <c r="D79" i="3" a="1"/>
  <c r="D78" i="3" a="1"/>
  <c r="D77" i="3" a="1"/>
  <c r="D76" i="3" a="1"/>
  <c r="D75" i="3" a="1"/>
  <c r="D74" i="3" a="1"/>
  <c r="D73" i="3" a="1"/>
  <c r="D72" i="3" a="1"/>
  <c r="D71" i="3" a="1"/>
  <c r="D70" i="3" a="1"/>
  <c r="D69" i="3" a="1"/>
  <c r="D68" i="3" a="1"/>
  <c r="D67" i="3" a="1"/>
  <c r="D66" i="3" a="1"/>
  <c r="D65" i="3" a="1"/>
  <c r="D64" i="3" a="1"/>
  <c r="D63" i="3" a="1"/>
  <c r="D62" i="3" a="1"/>
  <c r="D61" i="3" a="1"/>
  <c r="D60" i="3" a="1"/>
  <c r="D59" i="3" a="1"/>
  <c r="D58" i="3" a="1"/>
  <c r="D57" i="3" a="1"/>
  <c r="D56" i="3" a="1"/>
  <c r="D55" i="3" a="1"/>
  <c r="D54" i="3" a="1"/>
  <c r="D53" i="3" a="1"/>
  <c r="D52" i="3" a="1"/>
  <c r="D51" i="3" a="1"/>
  <c r="D50" i="3" a="1"/>
  <c r="D49" i="3" a="1"/>
  <c r="D48" i="3" a="1"/>
  <c r="D47" i="3" a="1"/>
  <c r="D46" i="3" a="1"/>
  <c r="D45" i="3" a="1"/>
  <c r="D44" i="3" a="1"/>
  <c r="D43" i="3" a="1"/>
  <c r="D42" i="3" a="1"/>
  <c r="D41" i="3" a="1"/>
  <c r="D40" i="3" a="1"/>
  <c r="D39" i="3" a="1"/>
  <c r="D38" i="3" a="1"/>
  <c r="D37" i="3" a="1"/>
  <c r="D36" i="3" a="1"/>
  <c r="D35" i="3" a="1"/>
  <c r="D34" i="3" a="1"/>
  <c r="D33" i="3" a="1"/>
  <c r="D32" i="3" a="1"/>
  <c r="D31" i="3" a="1"/>
  <c r="D30" i="3" a="1"/>
  <c r="D29" i="3" a="1"/>
  <c r="D28" i="3" a="1"/>
  <c r="D27" i="3" a="1"/>
  <c r="D26" i="3" a="1"/>
  <c r="D25" i="3" a="1"/>
  <c r="D24" i="3" a="1"/>
  <c r="D23" i="3" a="1"/>
  <c r="D22" i="3" a="1"/>
  <c r="D21" i="3" a="1"/>
  <c r="D20" i="3" a="1"/>
  <c r="D19" i="3" a="1"/>
  <c r="D19" i="3" s="1"/>
  <c r="D5" i="3"/>
  <c r="I9" i="3"/>
  <c r="H9" i="3"/>
  <c r="G9" i="3"/>
  <c r="F9" i="3"/>
  <c r="E9" i="3"/>
  <c r="D9" i="3"/>
  <c r="I8" i="3"/>
  <c r="H8" i="3"/>
  <c r="G8" i="3"/>
  <c r="F8" i="3"/>
  <c r="E8" i="3"/>
  <c r="D8" i="3"/>
  <c r="I7" i="3"/>
  <c r="H7" i="3"/>
  <c r="G7" i="3"/>
  <c r="F7" i="3"/>
  <c r="E7" i="3"/>
  <c r="D7" i="3"/>
  <c r="I6" i="3"/>
  <c r="H6" i="3"/>
  <c r="G6" i="3"/>
  <c r="I5" i="3"/>
  <c r="H5" i="3"/>
  <c r="G5" i="3"/>
  <c r="I4" i="3"/>
  <c r="H4" i="3"/>
  <c r="G4" i="3"/>
  <c r="F6" i="3"/>
  <c r="E6" i="3"/>
  <c r="D6" i="3"/>
  <c r="F5" i="3"/>
  <c r="E5" i="3"/>
  <c r="F4" i="3"/>
  <c r="E4" i="3"/>
  <c r="D4" i="3"/>
  <c r="I19" i="3" l="1"/>
  <c r="K20" i="3"/>
  <c r="K31" i="3"/>
  <c r="K43" i="3"/>
  <c r="K53" i="3"/>
  <c r="K23" i="3"/>
  <c r="K33" i="3"/>
  <c r="K40" i="3"/>
  <c r="K50" i="3"/>
  <c r="K58" i="3"/>
  <c r="K24" i="3"/>
  <c r="K34" i="3"/>
  <c r="K41" i="3"/>
  <c r="K51" i="3"/>
  <c r="K59" i="3"/>
  <c r="K25" i="3"/>
  <c r="K35" i="3"/>
  <c r="K45" i="3"/>
  <c r="K56" i="3"/>
  <c r="K21" i="3"/>
  <c r="K29" i="3"/>
  <c r="K37" i="3"/>
  <c r="K47" i="3"/>
  <c r="K55" i="3"/>
  <c r="K27" i="3"/>
  <c r="K38" i="3"/>
  <c r="K48" i="3"/>
  <c r="K22" i="3"/>
  <c r="K32" i="3"/>
  <c r="K44" i="3"/>
  <c r="K54" i="3"/>
  <c r="K30" i="3"/>
  <c r="K42" i="3"/>
  <c r="K52" i="3"/>
  <c r="K26" i="3"/>
  <c r="K36" i="3"/>
  <c r="K46" i="3"/>
  <c r="K57" i="3"/>
  <c r="K28" i="3"/>
  <c r="K39" i="3"/>
  <c r="K49" i="3"/>
  <c r="K67" i="3"/>
  <c r="K79" i="3"/>
  <c r="K90" i="3"/>
  <c r="K100" i="3"/>
  <c r="K111" i="3"/>
  <c r="K123" i="3"/>
  <c r="K133" i="3"/>
  <c r="K144" i="3"/>
  <c r="K156" i="3"/>
  <c r="K166" i="3"/>
  <c r="K176" i="3"/>
  <c r="K189" i="3"/>
  <c r="K199" i="3"/>
  <c r="K209" i="3"/>
  <c r="K219" i="3"/>
  <c r="K232" i="3"/>
  <c r="K242" i="3"/>
  <c r="K252" i="3"/>
  <c r="K263" i="3"/>
  <c r="K274" i="3"/>
  <c r="K283" i="3"/>
  <c r="K293" i="3"/>
  <c r="K303" i="3"/>
  <c r="K316" i="3"/>
  <c r="K325" i="3"/>
  <c r="K335" i="3"/>
  <c r="K347" i="3"/>
  <c r="K358" i="3"/>
  <c r="K369" i="3"/>
  <c r="K382" i="3"/>
  <c r="K395" i="3"/>
  <c r="K407" i="3"/>
  <c r="K415" i="3"/>
  <c r="K427" i="3"/>
  <c r="K436" i="3"/>
  <c r="K449" i="3"/>
  <c r="K460" i="3"/>
  <c r="K470" i="3"/>
  <c r="K481" i="3"/>
  <c r="K492" i="3"/>
  <c r="K66" i="3"/>
  <c r="K75" i="3"/>
  <c r="K87" i="3"/>
  <c r="K99" i="3"/>
  <c r="K109" i="3"/>
  <c r="K119" i="3"/>
  <c r="K132" i="3"/>
  <c r="K141" i="3"/>
  <c r="K152" i="3"/>
  <c r="K164" i="3"/>
  <c r="K174" i="3"/>
  <c r="K184" i="3"/>
  <c r="K196" i="3"/>
  <c r="K206" i="3"/>
  <c r="K217" i="3"/>
  <c r="K226" i="3"/>
  <c r="K238" i="3"/>
  <c r="K249" i="3"/>
  <c r="K259" i="3"/>
  <c r="K269" i="3"/>
  <c r="K282" i="3"/>
  <c r="K292" i="3"/>
  <c r="K302" i="3"/>
  <c r="K315" i="3"/>
  <c r="K326" i="3"/>
  <c r="K338" i="3"/>
  <c r="K352" i="3"/>
  <c r="K361" i="3"/>
  <c r="K371" i="3"/>
  <c r="K384" i="3"/>
  <c r="K393" i="3"/>
  <c r="K403" i="3"/>
  <c r="K417" i="3"/>
  <c r="K429" i="3"/>
  <c r="K437" i="3"/>
  <c r="K450" i="3"/>
  <c r="K462" i="3"/>
  <c r="K471" i="3"/>
  <c r="K482" i="3"/>
  <c r="K68" i="3"/>
  <c r="K77" i="3"/>
  <c r="K85" i="3"/>
  <c r="K92" i="3"/>
  <c r="K102" i="3"/>
  <c r="K113" i="3"/>
  <c r="K122" i="3"/>
  <c r="K130" i="3"/>
  <c r="K137" i="3"/>
  <c r="K145" i="3"/>
  <c r="K155" i="3"/>
  <c r="K163" i="3"/>
  <c r="K169" i="3"/>
  <c r="K180" i="3"/>
  <c r="K188" i="3"/>
  <c r="K197" i="3"/>
  <c r="K205" i="3"/>
  <c r="K214" i="3"/>
  <c r="K223" i="3"/>
  <c r="K230" i="3"/>
  <c r="K239" i="3"/>
  <c r="K248" i="3"/>
  <c r="K256" i="3"/>
  <c r="K265" i="3"/>
  <c r="K272" i="3"/>
  <c r="K281" i="3"/>
  <c r="K291" i="3"/>
  <c r="K300" i="3"/>
  <c r="K308" i="3"/>
  <c r="K314" i="3"/>
  <c r="K324" i="3"/>
  <c r="K333" i="3"/>
  <c r="K340" i="3"/>
  <c r="K345" i="3"/>
  <c r="K355" i="3"/>
  <c r="K366" i="3"/>
  <c r="K374" i="3"/>
  <c r="K380" i="3"/>
  <c r="K390" i="3"/>
  <c r="K399" i="3"/>
  <c r="K409" i="3"/>
  <c r="K414" i="3"/>
  <c r="K423" i="3"/>
  <c r="K433" i="3"/>
  <c r="K442" i="3"/>
  <c r="K447" i="3"/>
  <c r="K456" i="3"/>
  <c r="K465" i="3"/>
  <c r="K475" i="3"/>
  <c r="K483" i="3"/>
  <c r="K490" i="3"/>
  <c r="K69" i="3"/>
  <c r="K78" i="3"/>
  <c r="K84" i="3"/>
  <c r="K91" i="3"/>
  <c r="K101" i="3"/>
  <c r="K110" i="3"/>
  <c r="K118" i="3"/>
  <c r="K125" i="3"/>
  <c r="K135" i="3"/>
  <c r="K146" i="3"/>
  <c r="K154" i="3"/>
  <c r="K162" i="3"/>
  <c r="K171" i="3"/>
  <c r="K179" i="3"/>
  <c r="K187" i="3"/>
  <c r="K195" i="3"/>
  <c r="K202" i="3"/>
  <c r="K211" i="3"/>
  <c r="K221" i="3"/>
  <c r="K229" i="3"/>
  <c r="K236" i="3"/>
  <c r="K245" i="3"/>
  <c r="K254" i="3"/>
  <c r="K261" i="3"/>
  <c r="K271" i="3"/>
  <c r="K280" i="3"/>
  <c r="K290" i="3"/>
  <c r="K304" i="3"/>
  <c r="K312" i="3"/>
  <c r="K322" i="3"/>
  <c r="K331" i="3"/>
  <c r="K337" i="3"/>
  <c r="K348" i="3"/>
  <c r="K356" i="3"/>
  <c r="K367" i="3"/>
  <c r="K377" i="3"/>
  <c r="K383" i="3"/>
  <c r="K391" i="3"/>
  <c r="K400" i="3"/>
  <c r="K410" i="3"/>
  <c r="K418" i="3"/>
  <c r="K425" i="3"/>
  <c r="K434" i="3"/>
  <c r="K443" i="3"/>
  <c r="K452" i="3"/>
  <c r="K458" i="3"/>
  <c r="K468" i="3"/>
  <c r="K477" i="3"/>
  <c r="K486" i="3"/>
  <c r="K60" i="3"/>
  <c r="K70" i="3"/>
  <c r="K80" i="3"/>
  <c r="K88" i="3"/>
  <c r="K94" i="3"/>
  <c r="K103" i="3"/>
  <c r="K112" i="3"/>
  <c r="K120" i="3"/>
  <c r="K127" i="3"/>
  <c r="K134" i="3"/>
  <c r="K143" i="3"/>
  <c r="K151" i="3"/>
  <c r="K161" i="3"/>
  <c r="K168" i="3"/>
  <c r="K177" i="3"/>
  <c r="K185" i="3"/>
  <c r="K194" i="3"/>
  <c r="K203" i="3"/>
  <c r="K212" i="3"/>
  <c r="K220" i="3"/>
  <c r="K228" i="3"/>
  <c r="K237" i="3"/>
  <c r="K247" i="3"/>
  <c r="K255" i="3"/>
  <c r="K264" i="3"/>
  <c r="K270" i="3"/>
  <c r="K279" i="3"/>
  <c r="K289" i="3"/>
  <c r="K298" i="3"/>
  <c r="K305" i="3"/>
  <c r="K313" i="3"/>
  <c r="K323" i="3"/>
  <c r="K334" i="3"/>
  <c r="K342" i="3"/>
  <c r="K349" i="3"/>
  <c r="K357" i="3"/>
  <c r="K365" i="3"/>
  <c r="K372" i="3"/>
  <c r="K379" i="3"/>
  <c r="K388" i="3"/>
  <c r="K398" i="3"/>
  <c r="K404" i="3"/>
  <c r="K412" i="3"/>
  <c r="K422" i="3"/>
  <c r="K431" i="3"/>
  <c r="K439" i="3"/>
  <c r="K446" i="3"/>
  <c r="K455" i="3"/>
  <c r="K464" i="3"/>
  <c r="K474" i="3"/>
  <c r="K480" i="3"/>
  <c r="K488" i="3"/>
  <c r="K65" i="3"/>
  <c r="K76" i="3"/>
  <c r="K89" i="3"/>
  <c r="K97" i="3"/>
  <c r="K108" i="3"/>
  <c r="K121" i="3"/>
  <c r="K131" i="3"/>
  <c r="K142" i="3"/>
  <c r="K153" i="3"/>
  <c r="K165" i="3"/>
  <c r="K175" i="3"/>
  <c r="K186" i="3"/>
  <c r="K198" i="3"/>
  <c r="K208" i="3"/>
  <c r="K218" i="3"/>
  <c r="K231" i="3"/>
  <c r="K243" i="3"/>
  <c r="K253" i="3"/>
  <c r="K266" i="3"/>
  <c r="K276" i="3"/>
  <c r="K286" i="3"/>
  <c r="K296" i="3"/>
  <c r="K297" i="3"/>
  <c r="K310" i="3"/>
  <c r="K318" i="3"/>
  <c r="K328" i="3"/>
  <c r="K343" i="3"/>
  <c r="K353" i="3"/>
  <c r="K364" i="3"/>
  <c r="K376" i="3"/>
  <c r="K387" i="3"/>
  <c r="K397" i="3"/>
  <c r="K408" i="3"/>
  <c r="K420" i="3"/>
  <c r="K430" i="3"/>
  <c r="K441" i="3"/>
  <c r="K453" i="3"/>
  <c r="K463" i="3"/>
  <c r="K473" i="3"/>
  <c r="K485" i="3"/>
  <c r="K493" i="3"/>
  <c r="K61" i="3"/>
  <c r="K72" i="3"/>
  <c r="K81" i="3"/>
  <c r="K95" i="3"/>
  <c r="K104" i="3"/>
  <c r="K114" i="3"/>
  <c r="K126" i="3"/>
  <c r="K138" i="3"/>
  <c r="K149" i="3"/>
  <c r="K158" i="3"/>
  <c r="K173" i="3"/>
  <c r="K182" i="3"/>
  <c r="K192" i="3"/>
  <c r="K204" i="3"/>
  <c r="K215" i="3"/>
  <c r="K225" i="3"/>
  <c r="K235" i="3"/>
  <c r="K246" i="3"/>
  <c r="K257" i="3"/>
  <c r="K268" i="3"/>
  <c r="K278" i="3"/>
  <c r="K288" i="3"/>
  <c r="K301" i="3"/>
  <c r="K311" i="3"/>
  <c r="K321" i="3"/>
  <c r="K332" i="3"/>
  <c r="K344" i="3"/>
  <c r="K354" i="3"/>
  <c r="K363" i="3"/>
  <c r="K373" i="3"/>
  <c r="K385" i="3"/>
  <c r="K396" i="3"/>
  <c r="K406" i="3"/>
  <c r="K419" i="3"/>
  <c r="K428" i="3"/>
  <c r="K438" i="3"/>
  <c r="K448" i="3"/>
  <c r="K459" i="3"/>
  <c r="K469" i="3"/>
  <c r="K479" i="3"/>
  <c r="K491" i="3"/>
  <c r="K62" i="3"/>
  <c r="K71" i="3"/>
  <c r="K82" i="3"/>
  <c r="K93" i="3"/>
  <c r="K105" i="3"/>
  <c r="K116" i="3"/>
  <c r="K128" i="3"/>
  <c r="K139" i="3"/>
  <c r="K148" i="3"/>
  <c r="K159" i="3"/>
  <c r="K170" i="3"/>
  <c r="K181" i="3"/>
  <c r="K191" i="3"/>
  <c r="K201" i="3"/>
  <c r="K213" i="3"/>
  <c r="K224" i="3"/>
  <c r="K234" i="3"/>
  <c r="K244" i="3"/>
  <c r="K258" i="3"/>
  <c r="K267" i="3"/>
  <c r="K277" i="3"/>
  <c r="K287" i="3"/>
  <c r="K299" i="3"/>
  <c r="K309" i="3"/>
  <c r="K319" i="3"/>
  <c r="K329" i="3"/>
  <c r="K339" i="3"/>
  <c r="K350" i="3"/>
  <c r="K360" i="3"/>
  <c r="K370" i="3"/>
  <c r="K381" i="3"/>
  <c r="K392" i="3"/>
  <c r="K402" i="3"/>
  <c r="K413" i="3"/>
  <c r="K424" i="3"/>
  <c r="K435" i="3"/>
  <c r="K445" i="3"/>
  <c r="K457" i="3"/>
  <c r="K467" i="3"/>
  <c r="K478" i="3"/>
  <c r="K489" i="3"/>
  <c r="K64" i="3"/>
  <c r="K74" i="3"/>
  <c r="K86" i="3"/>
  <c r="K98" i="3"/>
  <c r="K107" i="3"/>
  <c r="K117" i="3"/>
  <c r="K129" i="3"/>
  <c r="K140" i="3"/>
  <c r="K150" i="3"/>
  <c r="K160" i="3"/>
  <c r="K172" i="3"/>
  <c r="K183" i="3"/>
  <c r="K193" i="3"/>
  <c r="K207" i="3"/>
  <c r="K216" i="3"/>
  <c r="K227" i="3"/>
  <c r="K240" i="3"/>
  <c r="K251" i="3"/>
  <c r="K260" i="3"/>
  <c r="K273" i="3"/>
  <c r="K284" i="3"/>
  <c r="K295" i="3"/>
  <c r="K307" i="3"/>
  <c r="K320" i="3"/>
  <c r="K330" i="3"/>
  <c r="K341" i="3"/>
  <c r="K351" i="3"/>
  <c r="K362" i="3"/>
  <c r="K375" i="3"/>
  <c r="K386" i="3"/>
  <c r="K394" i="3"/>
  <c r="K405" i="3"/>
  <c r="K416" i="3"/>
  <c r="K426" i="3"/>
  <c r="K440" i="3"/>
  <c r="K451" i="3"/>
  <c r="K461" i="3"/>
  <c r="K472" i="3"/>
  <c r="K484" i="3"/>
  <c r="K63" i="3"/>
  <c r="K73" i="3"/>
  <c r="K83" i="3"/>
  <c r="K96" i="3"/>
  <c r="K106" i="3"/>
  <c r="K115" i="3"/>
  <c r="K124" i="3"/>
  <c r="K136" i="3"/>
  <c r="K147" i="3"/>
  <c r="K157" i="3"/>
  <c r="K167" i="3"/>
  <c r="K178" i="3"/>
  <c r="K190" i="3"/>
  <c r="K200" i="3"/>
  <c r="K210" i="3"/>
  <c r="K222" i="3"/>
  <c r="K233" i="3"/>
  <c r="K241" i="3"/>
  <c r="K250" i="3"/>
  <c r="K262" i="3"/>
  <c r="K275" i="3"/>
  <c r="K285" i="3"/>
  <c r="K294" i="3"/>
  <c r="K306" i="3"/>
  <c r="K317" i="3"/>
  <c r="K327" i="3"/>
  <c r="K336" i="3"/>
  <c r="K346" i="3"/>
  <c r="K359" i="3"/>
  <c r="K368" i="3"/>
  <c r="K378" i="3"/>
  <c r="K389" i="3"/>
  <c r="K401" i="3"/>
  <c r="K411" i="3"/>
  <c r="K421" i="3"/>
  <c r="K432" i="3"/>
  <c r="K444" i="3"/>
  <c r="K454" i="3"/>
  <c r="K466" i="3"/>
  <c r="K476" i="3"/>
  <c r="K487" i="3"/>
  <c r="F493" i="3"/>
  <c r="E488" i="3"/>
  <c r="F482" i="3"/>
  <c r="F477" i="3"/>
  <c r="E472" i="3"/>
  <c r="E466" i="3"/>
  <c r="F460" i="3"/>
  <c r="E455" i="3"/>
  <c r="F449" i="3"/>
  <c r="E444" i="3"/>
  <c r="F438" i="3"/>
  <c r="E433" i="3"/>
  <c r="F427" i="3"/>
  <c r="E422" i="3"/>
  <c r="E417" i="3"/>
  <c r="F411" i="3"/>
  <c r="E406" i="3"/>
  <c r="F400" i="3"/>
  <c r="E395" i="3"/>
  <c r="F389" i="3"/>
  <c r="E384" i="3"/>
  <c r="F378" i="3"/>
  <c r="F373" i="3"/>
  <c r="F367" i="3"/>
  <c r="E362" i="3"/>
  <c r="F356" i="3"/>
  <c r="E351" i="3"/>
  <c r="F345" i="3"/>
  <c r="E340" i="3"/>
  <c r="D491" i="3"/>
  <c r="D373" i="3"/>
  <c r="D361" i="3"/>
  <c r="D349" i="3"/>
  <c r="D488" i="3"/>
  <c r="D369" i="3"/>
  <c r="D357" i="3"/>
  <c r="D346" i="3"/>
  <c r="E493" i="3"/>
  <c r="F487" i="3"/>
  <c r="E482" i="3"/>
  <c r="F476" i="3"/>
  <c r="F471" i="3"/>
  <c r="F466" i="3"/>
  <c r="E461" i="3"/>
  <c r="F455" i="3"/>
  <c r="E450" i="3"/>
  <c r="F444" i="3"/>
  <c r="E439" i="3"/>
  <c r="F433" i="3"/>
  <c r="E428" i="3"/>
  <c r="F422" i="3"/>
  <c r="F416" i="3"/>
  <c r="E411" i="3"/>
  <c r="F405" i="3"/>
  <c r="F399" i="3"/>
  <c r="E394" i="3"/>
  <c r="F388" i="3"/>
  <c r="F383" i="3"/>
  <c r="F377" i="3"/>
  <c r="F372" i="3"/>
  <c r="E367" i="3"/>
  <c r="F361" i="3"/>
  <c r="E356" i="3"/>
  <c r="F350" i="3"/>
  <c r="E345" i="3"/>
  <c r="F339" i="3"/>
  <c r="D483" i="3"/>
  <c r="D376" i="3"/>
  <c r="D364" i="3"/>
  <c r="D352" i="3"/>
  <c r="E492" i="3"/>
  <c r="E487" i="3"/>
  <c r="E481" i="3"/>
  <c r="E476" i="3"/>
  <c r="E470" i="3"/>
  <c r="E465" i="3"/>
  <c r="F458" i="3"/>
  <c r="E453" i="3"/>
  <c r="F447" i="3"/>
  <c r="E441" i="3"/>
  <c r="E436" i="3"/>
  <c r="E431" i="3"/>
  <c r="E425" i="3"/>
  <c r="F419" i="3"/>
  <c r="F413" i="3"/>
  <c r="E408" i="3"/>
  <c r="F402" i="3"/>
  <c r="E397" i="3"/>
  <c r="F391" i="3"/>
  <c r="E386" i="3"/>
  <c r="E380" i="3"/>
  <c r="F368" i="3"/>
  <c r="E363" i="3"/>
  <c r="F358" i="3"/>
  <c r="E352" i="3"/>
  <c r="F346" i="3"/>
  <c r="E341" i="3"/>
  <c r="E336" i="3"/>
  <c r="E21" i="3"/>
  <c r="D487" i="3"/>
  <c r="D366" i="3"/>
  <c r="D355" i="3"/>
  <c r="F491" i="3"/>
  <c r="F484" i="3"/>
  <c r="E480" i="3"/>
  <c r="F474" i="3"/>
  <c r="F468" i="3"/>
  <c r="E463" i="3"/>
  <c r="E457" i="3"/>
  <c r="F451" i="3"/>
  <c r="F446" i="3"/>
  <c r="F441" i="3"/>
  <c r="E435" i="3"/>
  <c r="F429" i="3"/>
  <c r="E424" i="3"/>
  <c r="F418" i="3"/>
  <c r="E412" i="3"/>
  <c r="F406" i="3"/>
  <c r="E401" i="3"/>
  <c r="F395" i="3"/>
  <c r="E390" i="3"/>
  <c r="F384" i="3"/>
  <c r="E379" i="3"/>
  <c r="E373" i="3"/>
  <c r="E368" i="3"/>
  <c r="F362" i="3"/>
  <c r="E357" i="3"/>
  <c r="F351" i="3"/>
  <c r="E346" i="3"/>
  <c r="F340" i="3"/>
  <c r="D490" i="3"/>
  <c r="D370" i="3"/>
  <c r="D358" i="3"/>
  <c r="E490" i="3"/>
  <c r="E486" i="3"/>
  <c r="E479" i="3"/>
  <c r="F473" i="3"/>
  <c r="E469" i="3"/>
  <c r="E464" i="3"/>
  <c r="E459" i="3"/>
  <c r="F453" i="3"/>
  <c r="E448" i="3"/>
  <c r="F442" i="3"/>
  <c r="F436" i="3"/>
  <c r="F430" i="3"/>
  <c r="F425" i="3"/>
  <c r="E420" i="3"/>
  <c r="E414" i="3"/>
  <c r="F408" i="3"/>
  <c r="E403" i="3"/>
  <c r="F397" i="3"/>
  <c r="E392" i="3"/>
  <c r="F386" i="3"/>
  <c r="F381" i="3"/>
  <c r="F375" i="3"/>
  <c r="E370" i="3"/>
  <c r="E364" i="3"/>
  <c r="E358" i="3"/>
  <c r="E353" i="3"/>
  <c r="E347" i="3"/>
  <c r="F341" i="3"/>
  <c r="F335" i="3"/>
  <c r="D486" i="3"/>
  <c r="D367" i="3"/>
  <c r="D354" i="3"/>
  <c r="F488" i="3"/>
  <c r="E483" i="3"/>
  <c r="E477" i="3"/>
  <c r="E471" i="3"/>
  <c r="F465" i="3"/>
  <c r="E460" i="3"/>
  <c r="F454" i="3"/>
  <c r="E449" i="3"/>
  <c r="F443" i="3"/>
  <c r="E438" i="3"/>
  <c r="F432" i="3"/>
  <c r="E427" i="3"/>
  <c r="F421" i="3"/>
  <c r="E416" i="3"/>
  <c r="F410" i="3"/>
  <c r="E405" i="3"/>
  <c r="E400" i="3"/>
  <c r="F394" i="3"/>
  <c r="E389" i="3"/>
  <c r="E383" i="3"/>
  <c r="E378" i="3"/>
  <c r="F371" i="3"/>
  <c r="E366" i="3"/>
  <c r="F360" i="3"/>
  <c r="E355" i="3"/>
  <c r="F349" i="3"/>
  <c r="E344" i="3"/>
  <c r="E339" i="3"/>
  <c r="D492" i="3"/>
  <c r="D372" i="3"/>
  <c r="D360" i="3"/>
  <c r="D347" i="3"/>
  <c r="F489" i="3"/>
  <c r="E484" i="3"/>
  <c r="F478" i="3"/>
  <c r="E473" i="3"/>
  <c r="F467" i="3"/>
  <c r="E462" i="3"/>
  <c r="F456" i="3"/>
  <c r="E451" i="3"/>
  <c r="F445" i="3"/>
  <c r="E440" i="3"/>
  <c r="F434" i="3"/>
  <c r="F428" i="3"/>
  <c r="E423" i="3"/>
  <c r="F417" i="3"/>
  <c r="F412" i="3"/>
  <c r="E407" i="3"/>
  <c r="F401" i="3"/>
  <c r="E396" i="3"/>
  <c r="F390" i="3"/>
  <c r="E385" i="3"/>
  <c r="F380" i="3"/>
  <c r="E375" i="3"/>
  <c r="F369" i="3"/>
  <c r="F364" i="3"/>
  <c r="E359" i="3"/>
  <c r="E354" i="3"/>
  <c r="E348" i="3"/>
  <c r="E343" i="3"/>
  <c r="F337" i="3"/>
  <c r="D484" i="3"/>
  <c r="D377" i="3"/>
  <c r="D365" i="3"/>
  <c r="D353" i="3"/>
  <c r="E491" i="3"/>
  <c r="E485" i="3"/>
  <c r="F480" i="3"/>
  <c r="E475" i="3"/>
  <c r="F469" i="3"/>
  <c r="F463" i="3"/>
  <c r="F457" i="3"/>
  <c r="F452" i="3"/>
  <c r="E447" i="3"/>
  <c r="E442" i="3"/>
  <c r="E437" i="3"/>
  <c r="F431" i="3"/>
  <c r="E426" i="3"/>
  <c r="F420" i="3"/>
  <c r="E415" i="3"/>
  <c r="F409" i="3"/>
  <c r="E404" i="3"/>
  <c r="F398" i="3"/>
  <c r="F392" i="3"/>
  <c r="E387" i="3"/>
  <c r="E381" i="3"/>
  <c r="E376" i="3"/>
  <c r="F370" i="3"/>
  <c r="E365" i="3"/>
  <c r="F359" i="3"/>
  <c r="F353" i="3"/>
  <c r="F348" i="3"/>
  <c r="F342" i="3"/>
  <c r="E337" i="3"/>
  <c r="D489" i="3"/>
  <c r="D368" i="3"/>
  <c r="D356" i="3"/>
  <c r="F490" i="3"/>
  <c r="F485" i="3"/>
  <c r="F479" i="3"/>
  <c r="E474" i="3"/>
  <c r="E468" i="3"/>
  <c r="F462" i="3"/>
  <c r="E458" i="3"/>
  <c r="E452" i="3"/>
  <c r="E446" i="3"/>
  <c r="F440" i="3"/>
  <c r="F435" i="3"/>
  <c r="E430" i="3"/>
  <c r="F424" i="3"/>
  <c r="E419" i="3"/>
  <c r="F414" i="3"/>
  <c r="E409" i="3"/>
  <c r="F403" i="3"/>
  <c r="E398" i="3"/>
  <c r="E393" i="3"/>
  <c r="F387" i="3"/>
  <c r="E382" i="3"/>
  <c r="F376" i="3"/>
  <c r="E371" i="3"/>
  <c r="F365" i="3"/>
  <c r="E360" i="3"/>
  <c r="F354" i="3"/>
  <c r="E349" i="3"/>
  <c r="F343" i="3"/>
  <c r="E338" i="3"/>
  <c r="D374" i="3"/>
  <c r="D362" i="3"/>
  <c r="D350" i="3"/>
  <c r="F492" i="3"/>
  <c r="F486" i="3"/>
  <c r="F481" i="3"/>
  <c r="F475" i="3"/>
  <c r="F470" i="3"/>
  <c r="F464" i="3"/>
  <c r="F459" i="3"/>
  <c r="E454" i="3"/>
  <c r="F448" i="3"/>
  <c r="E443" i="3"/>
  <c r="F437" i="3"/>
  <c r="E432" i="3"/>
  <c r="F426" i="3"/>
  <c r="E421" i="3"/>
  <c r="F415" i="3"/>
  <c r="E410" i="3"/>
  <c r="F404" i="3"/>
  <c r="E399" i="3"/>
  <c r="F393" i="3"/>
  <c r="E388" i="3"/>
  <c r="F382" i="3"/>
  <c r="E377" i="3"/>
  <c r="E372" i="3"/>
  <c r="F366" i="3"/>
  <c r="E361" i="3"/>
  <c r="F355" i="3"/>
  <c r="E350" i="3"/>
  <c r="F344" i="3"/>
  <c r="F338" i="3"/>
  <c r="D485" i="3"/>
  <c r="D375" i="3"/>
  <c r="D363" i="3"/>
  <c r="D351" i="3"/>
  <c r="E489" i="3"/>
  <c r="F483" i="3"/>
  <c r="E478" i="3"/>
  <c r="F472" i="3"/>
  <c r="E467" i="3"/>
  <c r="F461" i="3"/>
  <c r="E456" i="3"/>
  <c r="F450" i="3"/>
  <c r="E445" i="3"/>
  <c r="F439" i="3"/>
  <c r="E434" i="3"/>
  <c r="E429" i="3"/>
  <c r="F423" i="3"/>
  <c r="E418" i="3"/>
  <c r="E413" i="3"/>
  <c r="F407" i="3"/>
  <c r="E402" i="3"/>
  <c r="F396" i="3"/>
  <c r="E391" i="3"/>
  <c r="F385" i="3"/>
  <c r="F379" i="3"/>
  <c r="F374" i="3"/>
  <c r="E374" i="3"/>
  <c r="E369" i="3"/>
  <c r="F363" i="3"/>
  <c r="F357" i="3"/>
  <c r="F352" i="3"/>
  <c r="F347" i="3"/>
  <c r="E342" i="3"/>
  <c r="F336" i="3"/>
  <c r="D493" i="3"/>
  <c r="D371" i="3"/>
  <c r="D359" i="3"/>
  <c r="D348" i="3"/>
  <c r="I487" i="3"/>
  <c r="J480" i="3"/>
  <c r="I477" i="3"/>
  <c r="J464" i="3"/>
  <c r="I461" i="3"/>
  <c r="I458" i="3"/>
  <c r="J451" i="3"/>
  <c r="I448" i="3"/>
  <c r="I445" i="3"/>
  <c r="I442" i="3"/>
  <c r="J435" i="3"/>
  <c r="J432" i="3"/>
  <c r="J429" i="3"/>
  <c r="I426" i="3"/>
  <c r="J423" i="3"/>
  <c r="I420" i="3"/>
  <c r="J413" i="3"/>
  <c r="I410" i="3"/>
  <c r="I407" i="3"/>
  <c r="J400" i="3"/>
  <c r="J394" i="3"/>
  <c r="J391" i="3"/>
  <c r="I388" i="3"/>
  <c r="J381" i="3"/>
  <c r="I378" i="3"/>
  <c r="J370" i="3"/>
  <c r="J363" i="3"/>
  <c r="I352" i="3"/>
  <c r="I345" i="3"/>
  <c r="I340" i="3"/>
  <c r="J336" i="3"/>
  <c r="I332" i="3"/>
  <c r="I321" i="3"/>
  <c r="I314" i="3"/>
  <c r="I311" i="3"/>
  <c r="J307" i="3"/>
  <c r="I304" i="3"/>
  <c r="J297" i="3"/>
  <c r="I294" i="3"/>
  <c r="J290" i="3"/>
  <c r="J283" i="3"/>
  <c r="J279" i="3"/>
  <c r="J269" i="3"/>
  <c r="I258" i="3"/>
  <c r="I255" i="3"/>
  <c r="J248" i="3"/>
  <c r="I245" i="3"/>
  <c r="I241" i="3"/>
  <c r="I238" i="3"/>
  <c r="J234" i="3"/>
  <c r="I231" i="3"/>
  <c r="I224" i="3"/>
  <c r="J220" i="3"/>
  <c r="J213" i="3"/>
  <c r="J202" i="3"/>
  <c r="I198" i="3"/>
  <c r="I191" i="3"/>
  <c r="I183" i="3"/>
  <c r="J175" i="3"/>
  <c r="I172" i="3"/>
  <c r="J168" i="3"/>
  <c r="I164" i="3"/>
  <c r="J157" i="3"/>
  <c r="J153" i="3"/>
  <c r="I146" i="3"/>
  <c r="J141" i="3"/>
  <c r="I138" i="3"/>
  <c r="I134" i="3"/>
  <c r="J126" i="3"/>
  <c r="J116" i="3"/>
  <c r="I114" i="3"/>
  <c r="I110" i="3"/>
  <c r="J106" i="3"/>
  <c r="J60" i="3"/>
  <c r="J49" i="3"/>
  <c r="I41" i="3"/>
  <c r="J37" i="3"/>
  <c r="I26" i="3"/>
  <c r="J22" i="3"/>
  <c r="F333" i="3"/>
  <c r="E328" i="3"/>
  <c r="F322" i="3"/>
  <c r="E317" i="3"/>
  <c r="E311" i="3"/>
  <c r="F299" i="3"/>
  <c r="E293" i="3"/>
  <c r="E288" i="3"/>
  <c r="F282" i="3"/>
  <c r="F277" i="3"/>
  <c r="E271" i="3"/>
  <c r="E265" i="3"/>
  <c r="E259" i="3"/>
  <c r="F252" i="3"/>
  <c r="E247" i="3"/>
  <c r="E242" i="3"/>
  <c r="F235" i="3"/>
  <c r="F229" i="3"/>
  <c r="E224" i="3"/>
  <c r="F218" i="3"/>
  <c r="E212" i="3"/>
  <c r="F205" i="3"/>
  <c r="E200" i="3"/>
  <c r="F194" i="3"/>
  <c r="F188" i="3"/>
  <c r="F183" i="3"/>
  <c r="E178" i="3"/>
  <c r="F172" i="3"/>
  <c r="E168" i="3"/>
  <c r="F162" i="3"/>
  <c r="E157" i="3"/>
  <c r="F152" i="3"/>
  <c r="F147" i="3"/>
  <c r="E141" i="3"/>
  <c r="E135" i="3"/>
  <c r="F128" i="3"/>
  <c r="E122" i="3"/>
  <c r="E116" i="3"/>
  <c r="F110" i="3"/>
  <c r="E105" i="3"/>
  <c r="E99" i="3"/>
  <c r="F92" i="3"/>
  <c r="E87" i="3"/>
  <c r="F81" i="3"/>
  <c r="E75" i="3"/>
  <c r="F69" i="3"/>
  <c r="E64" i="3"/>
  <c r="F57" i="3"/>
  <c r="E51" i="3"/>
  <c r="E44" i="3"/>
  <c r="F37" i="3"/>
  <c r="F31" i="3"/>
  <c r="F25" i="3"/>
  <c r="D276" i="3"/>
  <c r="D263" i="3"/>
  <c r="D249" i="3"/>
  <c r="D235" i="3"/>
  <c r="D221" i="3"/>
  <c r="D207" i="3"/>
  <c r="D195" i="3"/>
  <c r="D180" i="3"/>
  <c r="D167" i="3"/>
  <c r="D152" i="3"/>
  <c r="D139" i="3"/>
  <c r="D127" i="3"/>
  <c r="D99" i="3"/>
  <c r="D87" i="3"/>
  <c r="D73" i="3"/>
  <c r="D60" i="3"/>
  <c r="D48" i="3"/>
  <c r="D33" i="3"/>
  <c r="D20" i="3"/>
  <c r="J98" i="3"/>
  <c r="I98" i="3"/>
  <c r="J97" i="3"/>
  <c r="I97" i="3"/>
  <c r="J96" i="3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J57" i="3"/>
  <c r="I54" i="3"/>
  <c r="I43" i="3"/>
  <c r="J39" i="3"/>
  <c r="I31" i="3"/>
  <c r="J27" i="3"/>
  <c r="E331" i="3"/>
  <c r="F325" i="3"/>
  <c r="E319" i="3"/>
  <c r="E313" i="3"/>
  <c r="F307" i="3"/>
  <c r="F301" i="3"/>
  <c r="E297" i="3"/>
  <c r="E291" i="3"/>
  <c r="F285" i="3"/>
  <c r="E280" i="3"/>
  <c r="F273" i="3"/>
  <c r="E268" i="3"/>
  <c r="E263" i="3"/>
  <c r="F256" i="3"/>
  <c r="F250" i="3"/>
  <c r="F244" i="3"/>
  <c r="E239" i="3"/>
  <c r="F233" i="3"/>
  <c r="E228" i="3"/>
  <c r="E222" i="3"/>
  <c r="F216" i="3"/>
  <c r="F209" i="3"/>
  <c r="E204" i="3"/>
  <c r="F198" i="3"/>
  <c r="F192" i="3"/>
  <c r="F186" i="3"/>
  <c r="E182" i="3"/>
  <c r="E177" i="3"/>
  <c r="F171" i="3"/>
  <c r="E167" i="3"/>
  <c r="F161" i="3"/>
  <c r="F155" i="3"/>
  <c r="F150" i="3"/>
  <c r="E145" i="3"/>
  <c r="F138" i="3"/>
  <c r="F132" i="3"/>
  <c r="F125" i="3"/>
  <c r="F120" i="3"/>
  <c r="F114" i="3"/>
  <c r="F108" i="3"/>
  <c r="F102" i="3"/>
  <c r="F95" i="3"/>
  <c r="E90" i="3"/>
  <c r="F83" i="3"/>
  <c r="F78" i="3"/>
  <c r="F71" i="3"/>
  <c r="F65" i="3"/>
  <c r="F60" i="3"/>
  <c r="F53" i="3"/>
  <c r="E47" i="3"/>
  <c r="F41" i="3"/>
  <c r="E34" i="3"/>
  <c r="F28" i="3"/>
  <c r="F22" i="3"/>
  <c r="D270" i="3"/>
  <c r="D255" i="3"/>
  <c r="D243" i="3"/>
  <c r="D228" i="3"/>
  <c r="D215" i="3"/>
  <c r="D200" i="3"/>
  <c r="D187" i="3"/>
  <c r="D175" i="3"/>
  <c r="D159" i="3"/>
  <c r="D147" i="3"/>
  <c r="D132" i="3"/>
  <c r="D119" i="3"/>
  <c r="D107" i="3"/>
  <c r="D93" i="3"/>
  <c r="D80" i="3"/>
  <c r="D67" i="3"/>
  <c r="D55" i="3"/>
  <c r="D41" i="3"/>
  <c r="D25" i="3"/>
  <c r="F20" i="3"/>
  <c r="E20" i="3"/>
  <c r="F19" i="3"/>
  <c r="E19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66" i="3"/>
  <c r="D253" i="3"/>
  <c r="D239" i="3"/>
  <c r="D226" i="3"/>
  <c r="D210" i="3"/>
  <c r="D197" i="3"/>
  <c r="D185" i="3"/>
  <c r="D171" i="3"/>
  <c r="D156" i="3"/>
  <c r="D143" i="3"/>
  <c r="D129" i="3"/>
  <c r="D116" i="3"/>
  <c r="D103" i="3"/>
  <c r="D90" i="3"/>
  <c r="D77" i="3"/>
  <c r="D63" i="3"/>
  <c r="D51" i="3"/>
  <c r="D37" i="3"/>
  <c r="D22" i="3"/>
  <c r="J493" i="3"/>
  <c r="I493" i="3"/>
  <c r="J488" i="3"/>
  <c r="J481" i="3"/>
  <c r="I478" i="3"/>
  <c r="J471" i="3"/>
  <c r="I468" i="3"/>
  <c r="J461" i="3"/>
  <c r="I454" i="3"/>
  <c r="J450" i="3"/>
  <c r="I447" i="3"/>
  <c r="I443" i="3"/>
  <c r="J439" i="3"/>
  <c r="I436" i="3"/>
  <c r="I429" i="3"/>
  <c r="J421" i="3"/>
  <c r="J410" i="3"/>
  <c r="J399" i="3"/>
  <c r="I396" i="3"/>
  <c r="J392" i="3"/>
  <c r="J388" i="3"/>
  <c r="I385" i="3"/>
  <c r="J378" i="3"/>
  <c r="I367" i="3"/>
  <c r="J361" i="3"/>
  <c r="I358" i="3"/>
  <c r="I356" i="3"/>
  <c r="J347" i="3"/>
  <c r="J344" i="3"/>
  <c r="I342" i="3"/>
  <c r="I339" i="3"/>
  <c r="I336" i="3"/>
  <c r="J328" i="3"/>
  <c r="I325" i="3"/>
  <c r="I319" i="3"/>
  <c r="I316" i="3"/>
  <c r="I307" i="3"/>
  <c r="J303" i="3"/>
  <c r="I299" i="3"/>
  <c r="J295" i="3"/>
  <c r="J287" i="3"/>
  <c r="I284" i="3"/>
  <c r="I281" i="3"/>
  <c r="I266" i="3"/>
  <c r="I263" i="3"/>
  <c r="I260" i="3"/>
  <c r="I257" i="3"/>
  <c r="J250" i="3"/>
  <c r="J247" i="3"/>
  <c r="J238" i="3"/>
  <c r="I235" i="3"/>
  <c r="J228" i="3"/>
  <c r="I223" i="3"/>
  <c r="I220" i="3"/>
  <c r="I217" i="3"/>
  <c r="J210" i="3"/>
  <c r="I205" i="3"/>
  <c r="I199" i="3"/>
  <c r="J195" i="3"/>
  <c r="J187" i="3"/>
  <c r="J185" i="3"/>
  <c r="J179" i="3"/>
  <c r="I173" i="3"/>
  <c r="I168" i="3"/>
  <c r="I165" i="3"/>
  <c r="J162" i="3"/>
  <c r="I153" i="3"/>
  <c r="J150" i="3"/>
  <c r="I142" i="3"/>
  <c r="I140" i="3"/>
  <c r="J136" i="3"/>
  <c r="I133" i="3"/>
  <c r="I128" i="3"/>
  <c r="I124" i="3"/>
  <c r="J117" i="3"/>
  <c r="J113" i="3"/>
  <c r="I107" i="3"/>
  <c r="I104" i="3"/>
  <c r="J99" i="3"/>
  <c r="I56" i="3"/>
  <c r="J52" i="3"/>
  <c r="I49" i="3"/>
  <c r="J42" i="3"/>
  <c r="I39" i="3"/>
  <c r="I35" i="3"/>
  <c r="J32" i="3"/>
  <c r="J28" i="3"/>
  <c r="I21" i="3"/>
  <c r="E334" i="3"/>
  <c r="F328" i="3"/>
  <c r="E323" i="3"/>
  <c r="F318" i="3"/>
  <c r="E314" i="3"/>
  <c r="E309" i="3"/>
  <c r="F303" i="3"/>
  <c r="F298" i="3"/>
  <c r="E294" i="3"/>
  <c r="F287" i="3"/>
  <c r="E282" i="3"/>
  <c r="E277" i="3"/>
  <c r="E272" i="3"/>
  <c r="E266" i="3"/>
  <c r="F261" i="3"/>
  <c r="E257" i="3"/>
  <c r="E253" i="3"/>
  <c r="E248" i="3"/>
  <c r="F242" i="3"/>
  <c r="F236" i="3"/>
  <c r="E232" i="3"/>
  <c r="F227" i="3"/>
  <c r="F222" i="3"/>
  <c r="E218" i="3"/>
  <c r="E213" i="3"/>
  <c r="F207" i="3"/>
  <c r="E202" i="3"/>
  <c r="F197" i="3"/>
  <c r="F193" i="3"/>
  <c r="E189" i="3"/>
  <c r="F182" i="3"/>
  <c r="F175" i="3"/>
  <c r="E170" i="3"/>
  <c r="F163" i="3"/>
  <c r="E158" i="3"/>
  <c r="E150" i="3"/>
  <c r="F144" i="3"/>
  <c r="F141" i="3"/>
  <c r="F136" i="3"/>
  <c r="E132" i="3"/>
  <c r="E129" i="3"/>
  <c r="F123" i="3"/>
  <c r="F117" i="3"/>
  <c r="F113" i="3"/>
  <c r="F107" i="3"/>
  <c r="E102" i="3"/>
  <c r="E98" i="3"/>
  <c r="E93" i="3"/>
  <c r="F87" i="3"/>
  <c r="E82" i="3"/>
  <c r="E77" i="3"/>
  <c r="F74" i="3"/>
  <c r="E69" i="3"/>
  <c r="F61" i="3"/>
  <c r="E58" i="3"/>
  <c r="F52" i="3"/>
  <c r="F48" i="3"/>
  <c r="E45" i="3"/>
  <c r="F39" i="3"/>
  <c r="F35" i="3"/>
  <c r="E32" i="3"/>
  <c r="F26" i="3"/>
  <c r="D278" i="3"/>
  <c r="D268" i="3"/>
  <c r="D260" i="3"/>
  <c r="D251" i="3"/>
  <c r="D241" i="3"/>
  <c r="D234" i="3"/>
  <c r="D223" i="3"/>
  <c r="D213" i="3"/>
  <c r="D206" i="3"/>
  <c r="D194" i="3"/>
  <c r="D183" i="3"/>
  <c r="D174" i="3"/>
  <c r="D166" i="3"/>
  <c r="D155" i="3"/>
  <c r="D145" i="3"/>
  <c r="D137" i="3"/>
  <c r="D125" i="3"/>
  <c r="D115" i="3"/>
  <c r="D104" i="3"/>
  <c r="D97" i="3"/>
  <c r="D85" i="3"/>
  <c r="D75" i="3"/>
  <c r="D69" i="3"/>
  <c r="D57" i="3"/>
  <c r="D46" i="3"/>
  <c r="D35" i="3"/>
  <c r="D30" i="3"/>
  <c r="I484" i="3"/>
  <c r="J477" i="3"/>
  <c r="J474" i="3"/>
  <c r="I471" i="3"/>
  <c r="J467" i="3"/>
  <c r="I464" i="3"/>
  <c r="I460" i="3"/>
  <c r="J453" i="3"/>
  <c r="J449" i="3"/>
  <c r="J442" i="3"/>
  <c r="I439" i="3"/>
  <c r="I432" i="3"/>
  <c r="I428" i="3"/>
  <c r="I425" i="3"/>
  <c r="I415" i="3"/>
  <c r="J407" i="3"/>
  <c r="J404" i="3"/>
  <c r="I401" i="3"/>
  <c r="J397" i="3"/>
  <c r="I393" i="3"/>
  <c r="I390" i="3"/>
  <c r="J386" i="3"/>
  <c r="I383" i="3"/>
  <c r="I377" i="3"/>
  <c r="J374" i="3"/>
  <c r="I371" i="3"/>
  <c r="I368" i="3"/>
  <c r="J365" i="3"/>
  <c r="I362" i="3"/>
  <c r="J358" i="3"/>
  <c r="J355" i="3"/>
  <c r="J352" i="3"/>
  <c r="J349" i="3"/>
  <c r="I341" i="3"/>
  <c r="I333" i="3"/>
  <c r="J330" i="3"/>
  <c r="J325" i="3"/>
  <c r="J313" i="3"/>
  <c r="J310" i="3"/>
  <c r="I308" i="3"/>
  <c r="J305" i="3"/>
  <c r="J285" i="3"/>
  <c r="I282" i="3"/>
  <c r="J276" i="3"/>
  <c r="I273" i="3"/>
  <c r="J267" i="3"/>
  <c r="I262" i="3"/>
  <c r="J255" i="3"/>
  <c r="I252" i="3"/>
  <c r="J245" i="3"/>
  <c r="I237" i="3"/>
  <c r="J233" i="3"/>
  <c r="J230" i="3"/>
  <c r="I227" i="3"/>
  <c r="J217" i="3"/>
  <c r="I214" i="3"/>
  <c r="I208" i="3"/>
  <c r="J205" i="3"/>
  <c r="I202" i="3"/>
  <c r="J199" i="3"/>
  <c r="J196" i="3"/>
  <c r="J193" i="3"/>
  <c r="I188" i="3"/>
  <c r="I185" i="3"/>
  <c r="I179" i="3"/>
  <c r="I176" i="3"/>
  <c r="J173" i="3"/>
  <c r="I170" i="3"/>
  <c r="I167" i="3"/>
  <c r="J164" i="3"/>
  <c r="J159" i="3"/>
  <c r="J149" i="3"/>
  <c r="J144" i="3"/>
  <c r="I139" i="3"/>
  <c r="J130" i="3"/>
  <c r="J127" i="3"/>
  <c r="J124" i="3"/>
  <c r="J121" i="3"/>
  <c r="J118" i="3"/>
  <c r="J111" i="3"/>
  <c r="J108" i="3"/>
  <c r="I106" i="3"/>
  <c r="I103" i="3"/>
  <c r="J100" i="3"/>
  <c r="I58" i="3"/>
  <c r="J54" i="3"/>
  <c r="I47" i="3"/>
  <c r="J40" i="3"/>
  <c r="J33" i="3"/>
  <c r="I30" i="3"/>
  <c r="J26" i="3"/>
  <c r="I20" i="3"/>
  <c r="E332" i="3"/>
  <c r="F326" i="3"/>
  <c r="F321" i="3"/>
  <c r="F316" i="3"/>
  <c r="F311" i="3"/>
  <c r="E306" i="3"/>
  <c r="F300" i="3"/>
  <c r="E295" i="3"/>
  <c r="E290" i="3"/>
  <c r="E284" i="3"/>
  <c r="E279" i="3"/>
  <c r="F275" i="3"/>
  <c r="F270" i="3"/>
  <c r="F265" i="3"/>
  <c r="E260" i="3"/>
  <c r="F255" i="3"/>
  <c r="F251" i="3"/>
  <c r="F245" i="3"/>
  <c r="F239" i="3"/>
  <c r="E235" i="3"/>
  <c r="E230" i="3"/>
  <c r="F224" i="3"/>
  <c r="F219" i="3"/>
  <c r="F214" i="3"/>
  <c r="E211" i="3"/>
  <c r="F206" i="3"/>
  <c r="E201" i="3"/>
  <c r="F195" i="3"/>
  <c r="E191" i="3"/>
  <c r="E185" i="3"/>
  <c r="E179" i="3"/>
  <c r="F173" i="3"/>
  <c r="F165" i="3"/>
  <c r="E159" i="3"/>
  <c r="F153" i="3"/>
  <c r="E148" i="3"/>
  <c r="F142" i="3"/>
  <c r="E138" i="3"/>
  <c r="F134" i="3"/>
  <c r="F129" i="3"/>
  <c r="E124" i="3"/>
  <c r="E119" i="3"/>
  <c r="F116" i="3"/>
  <c r="E111" i="3"/>
  <c r="F105" i="3"/>
  <c r="E100" i="3"/>
  <c r="F94" i="3"/>
  <c r="E89" i="3"/>
  <c r="F84" i="3"/>
  <c r="E81" i="3"/>
  <c r="E76" i="3"/>
  <c r="F70" i="3"/>
  <c r="E65" i="3"/>
  <c r="E59" i="3"/>
  <c r="E56" i="3"/>
  <c r="F51" i="3"/>
  <c r="E46" i="3"/>
  <c r="F40" i="3"/>
  <c r="F38" i="3"/>
  <c r="E33" i="3"/>
  <c r="F27" i="3"/>
  <c r="E23" i="3"/>
  <c r="D273" i="3"/>
  <c r="D264" i="3"/>
  <c r="D252" i="3"/>
  <c r="D245" i="3"/>
  <c r="D236" i="3"/>
  <c r="D224" i="3"/>
  <c r="D219" i="3"/>
  <c r="D208" i="3"/>
  <c r="D198" i="3"/>
  <c r="D188" i="3"/>
  <c r="D179" i="3"/>
  <c r="D168" i="3"/>
  <c r="D160" i="3"/>
  <c r="D151" i="3"/>
  <c r="D140" i="3"/>
  <c r="D128" i="3"/>
  <c r="D123" i="3"/>
  <c r="D112" i="3"/>
  <c r="D111" i="3"/>
  <c r="D101" i="3"/>
  <c r="D89" i="3"/>
  <c r="D83" i="3"/>
  <c r="D72" i="3"/>
  <c r="D61" i="3"/>
  <c r="D52" i="3"/>
  <c r="D44" i="3"/>
  <c r="D34" i="3"/>
  <c r="D28" i="3"/>
  <c r="J487" i="3"/>
  <c r="J484" i="3"/>
  <c r="I481" i="3"/>
  <c r="I474" i="3"/>
  <c r="J470" i="3"/>
  <c r="I463" i="3"/>
  <c r="J455" i="3"/>
  <c r="I452" i="3"/>
  <c r="J445" i="3"/>
  <c r="J437" i="3"/>
  <c r="I433" i="3"/>
  <c r="I430" i="3"/>
  <c r="J418" i="3"/>
  <c r="J412" i="3"/>
  <c r="I409" i="3"/>
  <c r="J401" i="3"/>
  <c r="I398" i="3"/>
  <c r="I391" i="3"/>
  <c r="I387" i="3"/>
  <c r="J380" i="3"/>
  <c r="I374" i="3"/>
  <c r="J371" i="3"/>
  <c r="J368" i="3"/>
  <c r="I360" i="3"/>
  <c r="J356" i="3"/>
  <c r="J353" i="3"/>
  <c r="J350" i="3"/>
  <c r="I347" i="3"/>
  <c r="I344" i="3"/>
  <c r="J341" i="3"/>
  <c r="J338" i="3"/>
  <c r="J335" i="3"/>
  <c r="I330" i="3"/>
  <c r="J327" i="3"/>
  <c r="J324" i="3"/>
  <c r="J321" i="3"/>
  <c r="I313" i="3"/>
  <c r="J309" i="3"/>
  <c r="J306" i="3"/>
  <c r="J296" i="3"/>
  <c r="J293" i="3"/>
  <c r="I287" i="3"/>
  <c r="I280" i="3"/>
  <c r="J277" i="3"/>
  <c r="J274" i="3"/>
  <c r="I271" i="3"/>
  <c r="I264" i="3"/>
  <c r="I261" i="3"/>
  <c r="J258" i="3"/>
  <c r="I251" i="3"/>
  <c r="I248" i="3"/>
  <c r="J244" i="3"/>
  <c r="J241" i="3"/>
  <c r="J231" i="3"/>
  <c r="J225" i="3"/>
  <c r="J222" i="3"/>
  <c r="J219" i="3"/>
  <c r="I216" i="3"/>
  <c r="J209" i="3"/>
  <c r="J203" i="3"/>
  <c r="I201" i="3"/>
  <c r="I193" i="3"/>
  <c r="J190" i="3"/>
  <c r="I187" i="3"/>
  <c r="J182" i="3"/>
  <c r="J170" i="3"/>
  <c r="J167" i="3"/>
  <c r="J161" i="3"/>
  <c r="I156" i="3"/>
  <c r="J151" i="3"/>
  <c r="J148" i="3"/>
  <c r="J145" i="3"/>
  <c r="J140" i="3"/>
  <c r="I137" i="3"/>
  <c r="J134" i="3"/>
  <c r="I131" i="3"/>
  <c r="J128" i="3"/>
  <c r="J123" i="3"/>
  <c r="J120" i="3"/>
  <c r="I117" i="3"/>
  <c r="I113" i="3"/>
  <c r="J110" i="3"/>
  <c r="I102" i="3"/>
  <c r="I99" i="3"/>
  <c r="I60" i="3"/>
  <c r="I57" i="3"/>
  <c r="J53" i="3"/>
  <c r="J45" i="3"/>
  <c r="I42" i="3"/>
  <c r="I32" i="3"/>
  <c r="J25" i="3"/>
  <c r="F334" i="3"/>
  <c r="E329" i="3"/>
  <c r="F323" i="3"/>
  <c r="F317" i="3"/>
  <c r="F313" i="3"/>
  <c r="E308" i="3"/>
  <c r="E303" i="3"/>
  <c r="E298" i="3"/>
  <c r="F292" i="3"/>
  <c r="E287" i="3"/>
  <c r="F281" i="3"/>
  <c r="E276" i="3"/>
  <c r="F271" i="3"/>
  <c r="F267" i="3"/>
  <c r="F262" i="3"/>
  <c r="E258" i="3"/>
  <c r="F253" i="3"/>
  <c r="F247" i="3"/>
  <c r="F241" i="3"/>
  <c r="E237" i="3"/>
  <c r="F231" i="3"/>
  <c r="E226" i="3"/>
  <c r="F220" i="3"/>
  <c r="E216" i="3"/>
  <c r="F212" i="3"/>
  <c r="E207" i="3"/>
  <c r="F201" i="3"/>
  <c r="F196" i="3"/>
  <c r="F191" i="3"/>
  <c r="F187" i="3"/>
  <c r="F180" i="3"/>
  <c r="E175" i="3"/>
  <c r="F168" i="3"/>
  <c r="E163" i="3"/>
  <c r="F157" i="3"/>
  <c r="F148" i="3"/>
  <c r="E144" i="3"/>
  <c r="F139" i="3"/>
  <c r="F135" i="3"/>
  <c r="E130" i="3"/>
  <c r="F126" i="3"/>
  <c r="F122" i="3"/>
  <c r="E117" i="3"/>
  <c r="F112" i="3"/>
  <c r="F106" i="3"/>
  <c r="E101" i="3"/>
  <c r="E97" i="3"/>
  <c r="F93" i="3"/>
  <c r="E88" i="3"/>
  <c r="F82" i="3"/>
  <c r="F76" i="3"/>
  <c r="F72" i="3"/>
  <c r="E68" i="3"/>
  <c r="F63" i="3"/>
  <c r="F58" i="3"/>
  <c r="E54" i="3"/>
  <c r="E50" i="3"/>
  <c r="F45" i="3"/>
  <c r="E40" i="3"/>
  <c r="E36" i="3"/>
  <c r="F32" i="3"/>
  <c r="E27" i="3"/>
  <c r="F21" i="3"/>
  <c r="D265" i="3"/>
  <c r="D258" i="3"/>
  <c r="D248" i="3"/>
  <c r="D237" i="3"/>
  <c r="D229" i="3"/>
  <c r="D220" i="3"/>
  <c r="D209" i="3"/>
  <c r="D201" i="3"/>
  <c r="D192" i="3"/>
  <c r="D181" i="3"/>
  <c r="D173" i="3"/>
  <c r="D165" i="3"/>
  <c r="D154" i="3"/>
  <c r="D142" i="3"/>
  <c r="D134" i="3"/>
  <c r="D126" i="3"/>
  <c r="D113" i="3"/>
  <c r="D100" i="3"/>
  <c r="D88" i="3"/>
  <c r="D81" i="3"/>
  <c r="D70" i="3"/>
  <c r="D59" i="3"/>
  <c r="D47" i="3"/>
  <c r="D38" i="3"/>
  <c r="D29" i="3"/>
  <c r="I492" i="3"/>
  <c r="I490" i="3"/>
  <c r="J485" i="3"/>
  <c r="J478" i="3"/>
  <c r="I475" i="3"/>
  <c r="J468" i="3"/>
  <c r="I465" i="3"/>
  <c r="J458" i="3"/>
  <c r="I455" i="3"/>
  <c r="J448" i="3"/>
  <c r="J441" i="3"/>
  <c r="J433" i="3"/>
  <c r="J426" i="3"/>
  <c r="I423" i="3"/>
  <c r="I419" i="3"/>
  <c r="J415" i="3"/>
  <c r="I404" i="3"/>
  <c r="I397" i="3"/>
  <c r="I394" i="3"/>
  <c r="I386" i="3"/>
  <c r="I376" i="3"/>
  <c r="J373" i="3"/>
  <c r="I365" i="3"/>
  <c r="J359" i="3"/>
  <c r="I351" i="3"/>
  <c r="I348" i="3"/>
  <c r="I337" i="3"/>
  <c r="I334" i="3"/>
  <c r="I329" i="3"/>
  <c r="I326" i="3"/>
  <c r="J320" i="3"/>
  <c r="I317" i="3"/>
  <c r="J314" i="3"/>
  <c r="J308" i="3"/>
  <c r="I302" i="3"/>
  <c r="J298" i="3"/>
  <c r="J294" i="3"/>
  <c r="J292" i="3"/>
  <c r="I289" i="3"/>
  <c r="I286" i="3"/>
  <c r="J280" i="3"/>
  <c r="I268" i="3"/>
  <c r="I265" i="3"/>
  <c r="J262" i="3"/>
  <c r="I259" i="3"/>
  <c r="J249" i="3"/>
  <c r="J246" i="3"/>
  <c r="I243" i="3"/>
  <c r="J239" i="3"/>
  <c r="I236" i="3"/>
  <c r="I234" i="3"/>
  <c r="J227" i="3"/>
  <c r="J224" i="3"/>
  <c r="I221" i="3"/>
  <c r="I218" i="3"/>
  <c r="I215" i="3"/>
  <c r="I212" i="3"/>
  <c r="I209" i="3"/>
  <c r="J206" i="3"/>
  <c r="I203" i="3"/>
  <c r="J197" i="3"/>
  <c r="J194" i="3"/>
  <c r="J186" i="3"/>
  <c r="J180" i="3"/>
  <c r="I163" i="3"/>
  <c r="I160" i="3"/>
  <c r="I157" i="3"/>
  <c r="I154" i="3"/>
  <c r="I151" i="3"/>
  <c r="J143" i="3"/>
  <c r="I132" i="3"/>
  <c r="J129" i="3"/>
  <c r="I121" i="3"/>
  <c r="I111" i="3"/>
  <c r="J107" i="3"/>
  <c r="J105" i="3"/>
  <c r="J102" i="3"/>
  <c r="J59" i="3"/>
  <c r="J56" i="3"/>
  <c r="I52" i="3"/>
  <c r="J48" i="3"/>
  <c r="I45" i="3"/>
  <c r="J38" i="3"/>
  <c r="I36" i="3"/>
  <c r="I33" i="3"/>
  <c r="J29" i="3"/>
  <c r="I22" i="3"/>
  <c r="E335" i="3"/>
  <c r="F330" i="3"/>
  <c r="E325" i="3"/>
  <c r="E320" i="3"/>
  <c r="F315" i="3"/>
  <c r="E310" i="3"/>
  <c r="F305" i="3"/>
  <c r="E305" i="3"/>
  <c r="E300" i="3"/>
  <c r="F294" i="3"/>
  <c r="E289" i="3"/>
  <c r="F283" i="3"/>
  <c r="E278" i="3"/>
  <c r="E275" i="3"/>
  <c r="F269" i="3"/>
  <c r="F264" i="3"/>
  <c r="F259" i="3"/>
  <c r="E255" i="3"/>
  <c r="E250" i="3"/>
  <c r="E245" i="3"/>
  <c r="F240" i="3"/>
  <c r="E236" i="3"/>
  <c r="F230" i="3"/>
  <c r="E225" i="3"/>
  <c r="E220" i="3"/>
  <c r="F215" i="3"/>
  <c r="F211" i="3"/>
  <c r="E206" i="3"/>
  <c r="F200" i="3"/>
  <c r="E195" i="3"/>
  <c r="F189" i="3"/>
  <c r="E184" i="3"/>
  <c r="F178" i="3"/>
  <c r="E173" i="3"/>
  <c r="E165" i="3"/>
  <c r="F158" i="3"/>
  <c r="E153" i="3"/>
  <c r="F146" i="3"/>
  <c r="E142" i="3"/>
  <c r="E136" i="3"/>
  <c r="F131" i="3"/>
  <c r="E128" i="3"/>
  <c r="E123" i="3"/>
  <c r="E118" i="3"/>
  <c r="E115" i="3"/>
  <c r="E108" i="3"/>
  <c r="E104" i="3"/>
  <c r="F99" i="3"/>
  <c r="E94" i="3"/>
  <c r="F88" i="3"/>
  <c r="E84" i="3"/>
  <c r="E78" i="3"/>
  <c r="F75" i="3"/>
  <c r="E70" i="3"/>
  <c r="F64" i="3"/>
  <c r="F59" i="3"/>
  <c r="E57" i="3"/>
  <c r="E52" i="3"/>
  <c r="F46" i="3"/>
  <c r="E41" i="3"/>
  <c r="E39" i="3"/>
  <c r="F33" i="3"/>
  <c r="F30" i="3"/>
  <c r="E26" i="3"/>
  <c r="D277" i="3"/>
  <c r="D267" i="3"/>
  <c r="D259" i="3"/>
  <c r="D250" i="3"/>
  <c r="D238" i="3"/>
  <c r="D231" i="3"/>
  <c r="D222" i="3"/>
  <c r="D212" i="3"/>
  <c r="D202" i="3"/>
  <c r="D193" i="3"/>
  <c r="D182" i="3"/>
  <c r="D170" i="3"/>
  <c r="D164" i="3"/>
  <c r="D153" i="3"/>
  <c r="D141" i="3"/>
  <c r="D135" i="3"/>
  <c r="D124" i="3"/>
  <c r="D114" i="3"/>
  <c r="D102" i="3"/>
  <c r="D94" i="3"/>
  <c r="D84" i="3"/>
  <c r="D74" i="3"/>
  <c r="D62" i="3"/>
  <c r="D49" i="3"/>
  <c r="D43" i="3"/>
  <c r="D32" i="3"/>
  <c r="D26" i="3"/>
  <c r="I486" i="3"/>
  <c r="J482" i="3"/>
  <c r="J475" i="3"/>
  <c r="I469" i="3"/>
  <c r="I466" i="3"/>
  <c r="J459" i="3"/>
  <c r="I456" i="3"/>
  <c r="I450" i="3"/>
  <c r="J446" i="3"/>
  <c r="J440" i="3"/>
  <c r="I437" i="3"/>
  <c r="I434" i="3"/>
  <c r="J427" i="3"/>
  <c r="I424" i="3"/>
  <c r="J417" i="3"/>
  <c r="I414" i="3"/>
  <c r="I411" i="3"/>
  <c r="I408" i="3"/>
  <c r="J405" i="3"/>
  <c r="J398" i="3"/>
  <c r="I395" i="3"/>
  <c r="J385" i="3"/>
  <c r="J382" i="3"/>
  <c r="J379" i="3"/>
  <c r="J375" i="3"/>
  <c r="I372" i="3"/>
  <c r="J357" i="3"/>
  <c r="J354" i="3"/>
  <c r="I346" i="3"/>
  <c r="J342" i="3"/>
  <c r="I338" i="3"/>
  <c r="I331" i="3"/>
  <c r="I327" i="3"/>
  <c r="J323" i="3"/>
  <c r="J319" i="3"/>
  <c r="J315" i="3"/>
  <c r="I312" i="3"/>
  <c r="J301" i="3"/>
  <c r="J291" i="3"/>
  <c r="I288" i="3"/>
  <c r="I285" i="3"/>
  <c r="I278" i="3"/>
  <c r="I275" i="3"/>
  <c r="J271" i="3"/>
  <c r="I267" i="3"/>
  <c r="J260" i="3"/>
  <c r="J253" i="3"/>
  <c r="I250" i="3"/>
  <c r="J243" i="3"/>
  <c r="I240" i="3"/>
  <c r="J236" i="3"/>
  <c r="J226" i="3"/>
  <c r="I219" i="3"/>
  <c r="J215" i="3"/>
  <c r="J208" i="3"/>
  <c r="J204" i="3"/>
  <c r="I197" i="3"/>
  <c r="J189" i="3"/>
  <c r="J181" i="3"/>
  <c r="J178" i="3"/>
  <c r="J174" i="3"/>
  <c r="I171" i="3"/>
  <c r="J163" i="3"/>
  <c r="I159" i="3"/>
  <c r="J155" i="3"/>
  <c r="I152" i="3"/>
  <c r="I148" i="3"/>
  <c r="I136" i="3"/>
  <c r="I129" i="3"/>
  <c r="I126" i="3"/>
  <c r="J119" i="3"/>
  <c r="J109" i="3"/>
  <c r="I105" i="3"/>
  <c r="I101" i="3"/>
  <c r="I59" i="3"/>
  <c r="J55" i="3"/>
  <c r="I48" i="3"/>
  <c r="J44" i="3"/>
  <c r="I37" i="3"/>
  <c r="I29" i="3"/>
  <c r="I25" i="3"/>
  <c r="J21" i="3"/>
  <c r="E333" i="3"/>
  <c r="F327" i="3"/>
  <c r="E322" i="3"/>
  <c r="E316" i="3"/>
  <c r="F310" i="3"/>
  <c r="F304" i="3"/>
  <c r="E299" i="3"/>
  <c r="F293" i="3"/>
  <c r="F288" i="3"/>
  <c r="E283" i="3"/>
  <c r="F276" i="3"/>
  <c r="E270" i="3"/>
  <c r="E264" i="3"/>
  <c r="F258" i="3"/>
  <c r="E252" i="3"/>
  <c r="F246" i="3"/>
  <c r="E241" i="3"/>
  <c r="F234" i="3"/>
  <c r="E229" i="3"/>
  <c r="E223" i="3"/>
  <c r="E217" i="3"/>
  <c r="E210" i="3"/>
  <c r="F204" i="3"/>
  <c r="F199" i="3"/>
  <c r="E194" i="3"/>
  <c r="E188" i="3"/>
  <c r="E183" i="3"/>
  <c r="F177" i="3"/>
  <c r="E172" i="3"/>
  <c r="F167" i="3"/>
  <c r="E162" i="3"/>
  <c r="F156" i="3"/>
  <c r="E152" i="3"/>
  <c r="E147" i="3"/>
  <c r="F140" i="3"/>
  <c r="E134" i="3"/>
  <c r="F127" i="3"/>
  <c r="F121" i="3"/>
  <c r="F115" i="3"/>
  <c r="F109" i="3"/>
  <c r="F103" i="3"/>
  <c r="F97" i="3"/>
  <c r="E92" i="3"/>
  <c r="F86" i="3"/>
  <c r="F80" i="3"/>
  <c r="E74" i="3"/>
  <c r="F68" i="3"/>
  <c r="E63" i="3"/>
  <c r="F55" i="3"/>
  <c r="E49" i="3"/>
  <c r="F43" i="3"/>
  <c r="F36" i="3"/>
  <c r="E30" i="3"/>
  <c r="E24" i="3"/>
  <c r="D272" i="3"/>
  <c r="D257" i="3"/>
  <c r="D244" i="3"/>
  <c r="D230" i="3"/>
  <c r="D216" i="3"/>
  <c r="D203" i="3"/>
  <c r="D189" i="3"/>
  <c r="D177" i="3"/>
  <c r="D162" i="3"/>
  <c r="D149" i="3"/>
  <c r="D136" i="3"/>
  <c r="D121" i="3"/>
  <c r="D109" i="3"/>
  <c r="D96" i="3"/>
  <c r="D82" i="3"/>
  <c r="D68" i="3"/>
  <c r="D56" i="3"/>
  <c r="D42" i="3"/>
  <c r="D27" i="3"/>
  <c r="J486" i="3"/>
  <c r="I483" i="3"/>
  <c r="J479" i="3"/>
  <c r="J476" i="3"/>
  <c r="I472" i="3"/>
  <c r="J465" i="3"/>
  <c r="I462" i="3"/>
  <c r="I459" i="3"/>
  <c r="J452" i="3"/>
  <c r="I449" i="3"/>
  <c r="I446" i="3"/>
  <c r="J434" i="3"/>
  <c r="I431" i="3"/>
  <c r="J424" i="3"/>
  <c r="I421" i="3"/>
  <c r="I418" i="3"/>
  <c r="J414" i="3"/>
  <c r="I412" i="3"/>
  <c r="J402" i="3"/>
  <c r="I399" i="3"/>
  <c r="J389" i="3"/>
  <c r="J383" i="3"/>
  <c r="I380" i="3"/>
  <c r="J376" i="3"/>
  <c r="J372" i="3"/>
  <c r="I369" i="3"/>
  <c r="J364" i="3"/>
  <c r="I361" i="3"/>
  <c r="I354" i="3"/>
  <c r="I350" i="3"/>
  <c r="J346" i="3"/>
  <c r="I343" i="3"/>
  <c r="J339" i="3"/>
  <c r="I335" i="3"/>
  <c r="J331" i="3"/>
  <c r="I323" i="3"/>
  <c r="I320" i="3"/>
  <c r="J316" i="3"/>
  <c r="J312" i="3"/>
  <c r="I309" i="3"/>
  <c r="I305" i="3"/>
  <c r="J299" i="3"/>
  <c r="I296" i="3"/>
  <c r="I292" i="3"/>
  <c r="J288" i="3"/>
  <c r="J281" i="3"/>
  <c r="J278" i="3"/>
  <c r="I274" i="3"/>
  <c r="J270" i="3"/>
  <c r="J263" i="3"/>
  <c r="J256" i="3"/>
  <c r="I253" i="3"/>
  <c r="I246" i="3"/>
  <c r="J242" i="3"/>
  <c r="J235" i="3"/>
  <c r="I232" i="3"/>
  <c r="I228" i="3"/>
  <c r="I225" i="3"/>
  <c r="J218" i="3"/>
  <c r="J214" i="3"/>
  <c r="I211" i="3"/>
  <c r="I207" i="3"/>
  <c r="I200" i="3"/>
  <c r="I196" i="3"/>
  <c r="I192" i="3"/>
  <c r="J188" i="3"/>
  <c r="I184" i="3"/>
  <c r="I177" i="3"/>
  <c r="I174" i="3"/>
  <c r="J169" i="3"/>
  <c r="J166" i="3"/>
  <c r="I162" i="3"/>
  <c r="I158" i="3"/>
  <c r="I147" i="3"/>
  <c r="J142" i="3"/>
  <c r="J138" i="3"/>
  <c r="I135" i="3"/>
  <c r="J125" i="3"/>
  <c r="J122" i="3"/>
  <c r="I116" i="3"/>
  <c r="J112" i="3"/>
  <c r="I109" i="3"/>
  <c r="J58" i="3"/>
  <c r="I51" i="3"/>
  <c r="J47" i="3"/>
  <c r="J43" i="3"/>
  <c r="J35" i="3"/>
  <c r="J31" i="3"/>
  <c r="I28" i="3"/>
  <c r="J24" i="3"/>
  <c r="F332" i="3"/>
  <c r="E327" i="3"/>
  <c r="E321" i="3"/>
  <c r="E315" i="3"/>
  <c r="F309" i="3"/>
  <c r="E304" i="3"/>
  <c r="F297" i="3"/>
  <c r="E292" i="3"/>
  <c r="F286" i="3"/>
  <c r="E281" i="3"/>
  <c r="F274" i="3"/>
  <c r="E269" i="3"/>
  <c r="F263" i="3"/>
  <c r="F257" i="3"/>
  <c r="E251" i="3"/>
  <c r="E246" i="3"/>
  <c r="E240" i="3"/>
  <c r="E234" i="3"/>
  <c r="F228" i="3"/>
  <c r="F223" i="3"/>
  <c r="F217" i="3"/>
  <c r="F210" i="3"/>
  <c r="E205" i="3"/>
  <c r="E199" i="3"/>
  <c r="E193" i="3"/>
  <c r="E186" i="3"/>
  <c r="F181" i="3"/>
  <c r="E176" i="3"/>
  <c r="F166" i="3"/>
  <c r="E161" i="3"/>
  <c r="E155" i="3"/>
  <c r="E151" i="3"/>
  <c r="F145" i="3"/>
  <c r="E139" i="3"/>
  <c r="F133" i="3"/>
  <c r="E126" i="3"/>
  <c r="E121" i="3"/>
  <c r="E113" i="3"/>
  <c r="E109" i="3"/>
  <c r="E103" i="3"/>
  <c r="F96" i="3"/>
  <c r="E91" i="3"/>
  <c r="F85" i="3"/>
  <c r="E79" i="3"/>
  <c r="E73" i="3"/>
  <c r="E67" i="3"/>
  <c r="F62" i="3"/>
  <c r="F56" i="3"/>
  <c r="F50" i="3"/>
  <c r="F44" i="3"/>
  <c r="E38" i="3"/>
  <c r="E31" i="3"/>
  <c r="E25" i="3"/>
  <c r="D274" i="3"/>
  <c r="D261" i="3"/>
  <c r="D246" i="3"/>
  <c r="D232" i="3"/>
  <c r="D217" i="3"/>
  <c r="D204" i="3"/>
  <c r="D176" i="3"/>
  <c r="D161" i="3"/>
  <c r="D148" i="3"/>
  <c r="D131" i="3"/>
  <c r="D118" i="3"/>
  <c r="D106" i="3"/>
  <c r="D92" i="3"/>
  <c r="D78" i="3"/>
  <c r="D64" i="3"/>
  <c r="D50" i="3"/>
  <c r="D36" i="3"/>
  <c r="D21" i="3"/>
  <c r="J491" i="3"/>
  <c r="I488" i="3"/>
  <c r="J472" i="3"/>
  <c r="J469" i="3"/>
  <c r="J462" i="3"/>
  <c r="J456" i="3"/>
  <c r="I453" i="3"/>
  <c r="J443" i="3"/>
  <c r="I440" i="3"/>
  <c r="J436" i="3"/>
  <c r="J430" i="3"/>
  <c r="I427" i="3"/>
  <c r="J420" i="3"/>
  <c r="I417" i="3"/>
  <c r="J411" i="3"/>
  <c r="J408" i="3"/>
  <c r="I405" i="3"/>
  <c r="I402" i="3"/>
  <c r="J395" i="3"/>
  <c r="I392" i="3"/>
  <c r="I389" i="3"/>
  <c r="I382" i="3"/>
  <c r="I379" i="3"/>
  <c r="I375" i="3"/>
  <c r="J367" i="3"/>
  <c r="I364" i="3"/>
  <c r="J360" i="3"/>
  <c r="I357" i="3"/>
  <c r="I353" i="3"/>
  <c r="I349" i="3"/>
  <c r="J345" i="3"/>
  <c r="J334" i="3"/>
  <c r="J326" i="3"/>
  <c r="I322" i="3"/>
  <c r="I318" i="3"/>
  <c r="I303" i="3"/>
  <c r="J300" i="3"/>
  <c r="I297" i="3"/>
  <c r="I290" i="3"/>
  <c r="J286" i="3"/>
  <c r="I283" i="3"/>
  <c r="I279" i="3"/>
  <c r="I276" i="3"/>
  <c r="J272" i="3"/>
  <c r="I269" i="3"/>
  <c r="J265" i="3"/>
  <c r="J261" i="3"/>
  <c r="J254" i="3"/>
  <c r="J251" i="3"/>
  <c r="I244" i="3"/>
  <c r="J237" i="3"/>
  <c r="I230" i="3"/>
  <c r="J223" i="3"/>
  <c r="J216" i="3"/>
  <c r="I213" i="3"/>
  <c r="I210" i="3"/>
  <c r="I206" i="3"/>
  <c r="J198" i="3"/>
  <c r="I195" i="3"/>
  <c r="J191" i="3"/>
  <c r="J183" i="3"/>
  <c r="I180" i="3"/>
  <c r="J176" i="3"/>
  <c r="J172" i="3"/>
  <c r="I169" i="3"/>
  <c r="J165" i="3"/>
  <c r="I161" i="3"/>
  <c r="J154" i="3"/>
  <c r="I150" i="3"/>
  <c r="J146" i="3"/>
  <c r="I143" i="3"/>
  <c r="J135" i="3"/>
  <c r="J131" i="3"/>
  <c r="I127" i="3"/>
  <c r="I125" i="3"/>
  <c r="I118" i="3"/>
  <c r="I115" i="3"/>
  <c r="I108" i="3"/>
  <c r="I100" i="3"/>
  <c r="J50" i="3"/>
  <c r="I46" i="3"/>
  <c r="I34" i="3"/>
  <c r="J30" i="3"/>
  <c r="I23" i="3"/>
  <c r="E330" i="3"/>
  <c r="F324" i="3"/>
  <c r="F319" i="3"/>
  <c r="F312" i="3"/>
  <c r="E307" i="3"/>
  <c r="F302" i="3"/>
  <c r="F296" i="3"/>
  <c r="F291" i="3"/>
  <c r="E285" i="3"/>
  <c r="F279" i="3"/>
  <c r="E273" i="3"/>
  <c r="E267" i="3"/>
  <c r="E261" i="3"/>
  <c r="E254" i="3"/>
  <c r="E249" i="3"/>
  <c r="F243" i="3"/>
  <c r="E238" i="3"/>
  <c r="F232" i="3"/>
  <c r="F226" i="3"/>
  <c r="E221" i="3"/>
  <c r="E214" i="3"/>
  <c r="F208" i="3"/>
  <c r="E203" i="3"/>
  <c r="E197" i="3"/>
  <c r="F190" i="3"/>
  <c r="F185" i="3"/>
  <c r="E180" i="3"/>
  <c r="F174" i="3"/>
  <c r="F169" i="3"/>
  <c r="F164" i="3"/>
  <c r="E160" i="3"/>
  <c r="F154" i="3"/>
  <c r="F149" i="3"/>
  <c r="F143" i="3"/>
  <c r="E137" i="3"/>
  <c r="F130" i="3"/>
  <c r="F124" i="3"/>
  <c r="F118" i="3"/>
  <c r="F111" i="3"/>
  <c r="E106" i="3"/>
  <c r="F100" i="3"/>
  <c r="E95" i="3"/>
  <c r="F89" i="3"/>
  <c r="E83" i="3"/>
  <c r="F77" i="3"/>
  <c r="E71" i="3"/>
  <c r="F66" i="3"/>
  <c r="E61" i="3"/>
  <c r="E53" i="3"/>
  <c r="E48" i="3"/>
  <c r="E42" i="3"/>
  <c r="E35" i="3"/>
  <c r="E29" i="3"/>
  <c r="F23" i="3"/>
  <c r="D271" i="3"/>
  <c r="D256" i="3"/>
  <c r="D242" i="3"/>
  <c r="D227" i="3"/>
  <c r="D214" i="3"/>
  <c r="D199" i="3"/>
  <c r="D186" i="3"/>
  <c r="D172" i="3"/>
  <c r="D158" i="3"/>
  <c r="D144" i="3"/>
  <c r="D130" i="3"/>
  <c r="D117" i="3"/>
  <c r="D105" i="3"/>
  <c r="D91" i="3"/>
  <c r="D76" i="3"/>
  <c r="D65" i="3"/>
  <c r="D53" i="3"/>
  <c r="D39" i="3"/>
  <c r="D24" i="3"/>
  <c r="I491" i="3"/>
  <c r="J489" i="3"/>
  <c r="I489" i="3"/>
  <c r="I485" i="3"/>
  <c r="I482" i="3"/>
  <c r="I479" i="3"/>
  <c r="I476" i="3"/>
  <c r="I473" i="3"/>
  <c r="J466" i="3"/>
  <c r="J457" i="3"/>
  <c r="J454" i="3"/>
  <c r="I451" i="3"/>
  <c r="J444" i="3"/>
  <c r="I441" i="3"/>
  <c r="J438" i="3"/>
  <c r="J431" i="3"/>
  <c r="J428" i="3"/>
  <c r="I422" i="3"/>
  <c r="J419" i="3"/>
  <c r="I416" i="3"/>
  <c r="J409" i="3"/>
  <c r="I406" i="3"/>
  <c r="I403" i="3"/>
  <c r="J390" i="3"/>
  <c r="J387" i="3"/>
  <c r="J384" i="3"/>
  <c r="I381" i="3"/>
  <c r="I370" i="3"/>
  <c r="J366" i="3"/>
  <c r="I363" i="3"/>
  <c r="J351" i="3"/>
  <c r="J343" i="3"/>
  <c r="J340" i="3"/>
  <c r="J332" i="3"/>
  <c r="I328" i="3"/>
  <c r="I324" i="3"/>
  <c r="J317" i="3"/>
  <c r="I310" i="3"/>
  <c r="I306" i="3"/>
  <c r="J302" i="3"/>
  <c r="I300" i="3"/>
  <c r="I293" i="3"/>
  <c r="J289" i="3"/>
  <c r="J282" i="3"/>
  <c r="J275" i="3"/>
  <c r="I272" i="3"/>
  <c r="J268" i="3"/>
  <c r="J264" i="3"/>
  <c r="J257" i="3"/>
  <c r="I254" i="3"/>
  <c r="I247" i="3"/>
  <c r="J240" i="3"/>
  <c r="I233" i="3"/>
  <c r="J229" i="3"/>
  <c r="I226" i="3"/>
  <c r="I222" i="3"/>
  <c r="J212" i="3"/>
  <c r="J201" i="3"/>
  <c r="I194" i="3"/>
  <c r="I190" i="3"/>
  <c r="I186" i="3"/>
  <c r="I182" i="3"/>
  <c r="I178" i="3"/>
  <c r="I175" i="3"/>
  <c r="J171" i="3"/>
  <c r="J160" i="3"/>
  <c r="J156" i="3"/>
  <c r="J152" i="3"/>
  <c r="I149" i="3"/>
  <c r="I145" i="3"/>
  <c r="I141" i="3"/>
  <c r="J137" i="3"/>
  <c r="J133" i="3"/>
  <c r="I130" i="3"/>
  <c r="I123" i="3"/>
  <c r="I120" i="3"/>
  <c r="J114" i="3"/>
  <c r="J103" i="3"/>
  <c r="I61" i="3"/>
  <c r="I53" i="3"/>
  <c r="I50" i="3"/>
  <c r="J46" i="3"/>
  <c r="J41" i="3"/>
  <c r="I38" i="3"/>
  <c r="J34" i="3"/>
  <c r="I27" i="3"/>
  <c r="J23" i="3"/>
  <c r="J19" i="3"/>
  <c r="F329" i="3"/>
  <c r="E324" i="3"/>
  <c r="E318" i="3"/>
  <c r="E312" i="3"/>
  <c r="F306" i="3"/>
  <c r="E301" i="3"/>
  <c r="F295" i="3"/>
  <c r="F289" i="3"/>
  <c r="F284" i="3"/>
  <c r="F278" i="3"/>
  <c r="F272" i="3"/>
  <c r="F266" i="3"/>
  <c r="F260" i="3"/>
  <c r="F254" i="3"/>
  <c r="F248" i="3"/>
  <c r="E243" i="3"/>
  <c r="F237" i="3"/>
  <c r="E231" i="3"/>
  <c r="F225" i="3"/>
  <c r="E219" i="3"/>
  <c r="F213" i="3"/>
  <c r="E208" i="3"/>
  <c r="F202" i="3"/>
  <c r="E196" i="3"/>
  <c r="E190" i="3"/>
  <c r="F184" i="3"/>
  <c r="F179" i="3"/>
  <c r="E174" i="3"/>
  <c r="E169" i="3"/>
  <c r="E164" i="3"/>
  <c r="F159" i="3"/>
  <c r="E154" i="3"/>
  <c r="E149" i="3"/>
  <c r="E143" i="3"/>
  <c r="F137" i="3"/>
  <c r="E131" i="3"/>
  <c r="E125" i="3"/>
  <c r="F119" i="3"/>
  <c r="E112" i="3"/>
  <c r="E107" i="3"/>
  <c r="F101" i="3"/>
  <c r="E96" i="3"/>
  <c r="F90" i="3"/>
  <c r="E85" i="3"/>
  <c r="F79" i="3"/>
  <c r="E72" i="3"/>
  <c r="E66" i="3"/>
  <c r="E60" i="3"/>
  <c r="F54" i="3"/>
  <c r="F47" i="3"/>
  <c r="F42" i="3"/>
  <c r="F34" i="3"/>
  <c r="E28" i="3"/>
  <c r="E22" i="3"/>
  <c r="D269" i="3"/>
  <c r="D254" i="3"/>
  <c r="D240" i="3"/>
  <c r="D225" i="3"/>
  <c r="D211" i="3"/>
  <c r="D196" i="3"/>
  <c r="D184" i="3"/>
  <c r="D169" i="3"/>
  <c r="D157" i="3"/>
  <c r="D146" i="3"/>
  <c r="D133" i="3"/>
  <c r="D120" i="3"/>
  <c r="D108" i="3"/>
  <c r="D95" i="3"/>
  <c r="D79" i="3"/>
  <c r="D66" i="3"/>
  <c r="D54" i="3"/>
  <c r="D40" i="3"/>
  <c r="D23" i="3"/>
  <c r="J492" i="3"/>
  <c r="J490" i="3"/>
  <c r="J483" i="3"/>
  <c r="I480" i="3"/>
  <c r="J473" i="3"/>
  <c r="I470" i="3"/>
  <c r="I467" i="3"/>
  <c r="J463" i="3"/>
  <c r="J460" i="3"/>
  <c r="I457" i="3"/>
  <c r="J447" i="3"/>
  <c r="I444" i="3"/>
  <c r="I438" i="3"/>
  <c r="I435" i="3"/>
  <c r="J425" i="3"/>
  <c r="J422" i="3"/>
  <c r="J416" i="3"/>
  <c r="I413" i="3"/>
  <c r="J406" i="3"/>
  <c r="J403" i="3"/>
  <c r="I400" i="3"/>
  <c r="J396" i="3"/>
  <c r="J393" i="3"/>
  <c r="I384" i="3"/>
  <c r="J377" i="3"/>
  <c r="I373" i="3"/>
  <c r="J369" i="3"/>
  <c r="I366" i="3"/>
  <c r="J362" i="3"/>
  <c r="I359" i="3"/>
  <c r="I355" i="3"/>
  <c r="J348" i="3"/>
  <c r="J337" i="3"/>
  <c r="J333" i="3"/>
  <c r="J329" i="3"/>
  <c r="J322" i="3"/>
  <c r="J318" i="3"/>
  <c r="I315" i="3"/>
  <c r="J311" i="3"/>
  <c r="J304" i="3"/>
  <c r="I301" i="3"/>
  <c r="I298" i="3"/>
  <c r="I295" i="3"/>
  <c r="I291" i="3"/>
  <c r="J284" i="3"/>
  <c r="I277" i="3"/>
  <c r="J273" i="3"/>
  <c r="I270" i="3"/>
  <c r="J266" i="3"/>
  <c r="J259" i="3"/>
  <c r="I256" i="3"/>
  <c r="J252" i="3"/>
  <c r="I249" i="3"/>
  <c r="I242" i="3"/>
  <c r="I239" i="3"/>
  <c r="J232" i="3"/>
  <c r="I229" i="3"/>
  <c r="J221" i="3"/>
  <c r="J211" i="3"/>
  <c r="J207" i="3"/>
  <c r="I204" i="3"/>
  <c r="J200" i="3"/>
  <c r="J192" i="3"/>
  <c r="I189" i="3"/>
  <c r="J184" i="3"/>
  <c r="I181" i="3"/>
  <c r="J177" i="3"/>
  <c r="I166" i="3"/>
  <c r="J158" i="3"/>
  <c r="I155" i="3"/>
  <c r="J147" i="3"/>
  <c r="I144" i="3"/>
  <c r="J139" i="3"/>
  <c r="J132" i="3"/>
  <c r="I122" i="3"/>
  <c r="I119" i="3"/>
  <c r="J115" i="3"/>
  <c r="I112" i="3"/>
  <c r="J104" i="3"/>
  <c r="J101" i="3"/>
  <c r="I55" i="3"/>
  <c r="J51" i="3"/>
  <c r="I44" i="3"/>
  <c r="I40" i="3"/>
  <c r="J36" i="3"/>
  <c r="I24" i="3"/>
  <c r="J20" i="3"/>
  <c r="F331" i="3"/>
  <c r="E326" i="3"/>
  <c r="F320" i="3"/>
  <c r="F314" i="3"/>
  <c r="F308" i="3"/>
  <c r="E302" i="3"/>
  <c r="E296" i="3"/>
  <c r="F290" i="3"/>
  <c r="E286" i="3"/>
  <c r="F280" i="3"/>
  <c r="E274" i="3"/>
  <c r="F268" i="3"/>
  <c r="E262" i="3"/>
  <c r="E256" i="3"/>
  <c r="F249" i="3"/>
  <c r="E244" i="3"/>
  <c r="F238" i="3"/>
  <c r="E233" i="3"/>
  <c r="E227" i="3"/>
  <c r="F221" i="3"/>
  <c r="E215" i="3"/>
  <c r="E209" i="3"/>
  <c r="F203" i="3"/>
  <c r="E198" i="3"/>
  <c r="E192" i="3"/>
  <c r="E187" i="3"/>
  <c r="E181" i="3"/>
  <c r="F176" i="3"/>
  <c r="E171" i="3"/>
  <c r="F170" i="3"/>
  <c r="E166" i="3"/>
  <c r="F160" i="3"/>
  <c r="E156" i="3"/>
  <c r="F151" i="3"/>
  <c r="E146" i="3"/>
  <c r="E140" i="3"/>
  <c r="E133" i="3"/>
  <c r="E127" i="3"/>
  <c r="E120" i="3"/>
  <c r="E114" i="3"/>
  <c r="E110" i="3"/>
  <c r="F104" i="3"/>
  <c r="F98" i="3"/>
  <c r="F91" i="3"/>
  <c r="E86" i="3"/>
  <c r="E80" i="3"/>
  <c r="F73" i="3"/>
  <c r="F67" i="3"/>
  <c r="E62" i="3"/>
  <c r="E55" i="3"/>
  <c r="F49" i="3"/>
  <c r="E43" i="3"/>
  <c r="E37" i="3"/>
  <c r="F29" i="3"/>
  <c r="F24" i="3"/>
  <c r="D275" i="3"/>
  <c r="D262" i="3"/>
  <c r="D247" i="3"/>
  <c r="D233" i="3"/>
  <c r="D218" i="3"/>
  <c r="D205" i="3"/>
  <c r="D191" i="3"/>
  <c r="D190" i="3"/>
  <c r="D178" i="3"/>
  <c r="D163" i="3"/>
  <c r="D150" i="3"/>
  <c r="D138" i="3"/>
  <c r="D122" i="3"/>
  <c r="D110" i="3"/>
  <c r="D98" i="3"/>
  <c r="D86" i="3"/>
  <c r="D71" i="3"/>
  <c r="D58" i="3"/>
  <c r="D45" i="3"/>
  <c r="D3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<sst xmlns="http://schemas.openxmlformats.org/spreadsheetml/2006/main" count="14470" uniqueCount="316">
  <si>
    <t>iteration</t>
  </si>
  <si>
    <t>cases_seen</t>
  </si>
  <si>
    <t>group</t>
  </si>
  <si>
    <t>strategy</t>
  </si>
  <si>
    <t>zone</t>
  </si>
  <si>
    <t>drift</t>
  </si>
  <si>
    <t>dep_threshold</t>
  </si>
  <si>
    <t>loop_threshold</t>
  </si>
  <si>
    <t>significance_threshold</t>
  </si>
  <si>
    <t>fitness_score</t>
  </si>
  <si>
    <t>precision_score</t>
  </si>
  <si>
    <t>structure_score</t>
  </si>
  <si>
    <t>criterion</t>
  </si>
  <si>
    <t>drift_magnitude</t>
  </si>
  <si>
    <t>triggered</t>
  </si>
  <si>
    <t>New credit</t>
  </si>
  <si>
    <t>Fidelity</t>
  </si>
  <si>
    <t>Real-World</t>
  </si>
  <si>
    <t>N/A</t>
  </si>
  <si>
    <t>Optimized (JSD=1.000)</t>
  </si>
  <si>
    <t>Skipped (JSD=0.076)</t>
  </si>
  <si>
    <t>Skipped (JSD=0.084)</t>
  </si>
  <si>
    <t>Skipped (JSD=0.094)</t>
  </si>
  <si>
    <t>Optimized (JSD=0.175)</t>
  </si>
  <si>
    <t>Skipped (JSD=0.073)</t>
  </si>
  <si>
    <t>Skipped (JSD=0.112)</t>
  </si>
  <si>
    <t>Skipped (JSD=0.066)</t>
  </si>
  <si>
    <t>Skipped (JSD=0.083)</t>
  </si>
  <si>
    <t>Skipped (JSD=0.101)</t>
  </si>
  <si>
    <t>Skipped (JSD=0.121)</t>
  </si>
  <si>
    <t>Skipped (JSD=0.142)</t>
  </si>
  <si>
    <t>Optimized (JSD=0.183)</t>
  </si>
  <si>
    <t>Skipped (JSD=0.132)</t>
  </si>
  <si>
    <t>Optimized (JSD=0.171)</t>
  </si>
  <si>
    <t>Skipped (JSD=0.143)</t>
  </si>
  <si>
    <t>Optimized (JSD=0.293)</t>
  </si>
  <si>
    <t>Skipped (JSD=0.116)</t>
  </si>
  <si>
    <t>Optimized (JSD=0.205)</t>
  </si>
  <si>
    <t>Optimized (JSD=0.167)</t>
  </si>
  <si>
    <t>Skipped (JSD=0.093)</t>
  </si>
  <si>
    <t>Skipped (JSD=0.113)</t>
  </si>
  <si>
    <t>Optimized (JSD=0.156)</t>
  </si>
  <si>
    <t>Skipped (JSD=0.129)</t>
  </si>
  <si>
    <t>Optimized (JSD=0.164)</t>
  </si>
  <si>
    <t>Skipped (JSD=0.063)</t>
  </si>
  <si>
    <t>Skipped (JSD=0.147)</t>
  </si>
  <si>
    <t>Skipped (JSD=0.079)</t>
  </si>
  <si>
    <t>Skipped (JSD=0.108)</t>
  </si>
  <si>
    <t>Optimized (JSD=0.173)</t>
  </si>
  <si>
    <t>Skipped (JSD=0.090)</t>
  </si>
  <si>
    <t>Skipped (JSD=0.085)</t>
  </si>
  <si>
    <t>Optimized (JSD=0.160)</t>
  </si>
  <si>
    <t>Skipped (JSD=0.088)</t>
  </si>
  <si>
    <t>Optimized (JSD=0.178)</t>
  </si>
  <si>
    <t>Skipped (JSD=0.138)</t>
  </si>
  <si>
    <t>Optimized (JSD=0.266)</t>
  </si>
  <si>
    <t>Optimized (JSD=0.165)</t>
  </si>
  <si>
    <t>Skipped (JSD=0.054)</t>
  </si>
  <si>
    <t>Skipped (JSD=0.125)</t>
  </si>
  <si>
    <t>Skipped (JSD=0.091)</t>
  </si>
  <si>
    <t>Skipped (JSD=0.107)</t>
  </si>
  <si>
    <t>Optimized (JSD=0.184)</t>
  </si>
  <si>
    <t>Skipped (JSD=0.064)</t>
  </si>
  <si>
    <t>Skipped (JSD=0.111)</t>
  </si>
  <si>
    <t>Skipped (JSD=0.122)</t>
  </si>
  <si>
    <t>Skipped (JSD=0.136)</t>
  </si>
  <si>
    <t>Optimized (JSD=0.154)</t>
  </si>
  <si>
    <t>Skipped (JSD=0.072)</t>
  </si>
  <si>
    <t>Skipped (JSD=0.118)</t>
  </si>
  <si>
    <t>Optimized (JSD=0.163)</t>
  </si>
  <si>
    <t>Optimized (JSD=0.186)</t>
  </si>
  <si>
    <t>Skipped (JSD=0.140)</t>
  </si>
  <si>
    <t>Optimized (JSD=0.207)</t>
  </si>
  <si>
    <t>Skipped (JSD=0.092)</t>
  </si>
  <si>
    <t>Skipped (JSD=0.089)</t>
  </si>
  <si>
    <t>Skipped (JSD=0.126)</t>
  </si>
  <si>
    <t>Skipped (JSD=0.149)</t>
  </si>
  <si>
    <t>Optimized (JSD=0.161)</t>
  </si>
  <si>
    <t>Skipped (JSD=0.096)</t>
  </si>
  <si>
    <t>Skipped (JSD=0.104)</t>
  </si>
  <si>
    <t>Skipped (JSD=0.150)</t>
  </si>
  <si>
    <t>Optimized (JSD=0.181)</t>
  </si>
  <si>
    <t>Skipped (JSD=0.102)</t>
  </si>
  <si>
    <t>Optimized (JSD=0.157)</t>
  </si>
  <si>
    <t>Skipped (JSD=0.114)</t>
  </si>
  <si>
    <t>Skipped (JSD=0.120)</t>
  </si>
  <si>
    <t>Skipped (JSD=0.141)</t>
  </si>
  <si>
    <t>Skipped (JSD=0.134)</t>
  </si>
  <si>
    <t>Skipped (JSD=0.148)</t>
  </si>
  <si>
    <t>Optimized (JSD=0.189)</t>
  </si>
  <si>
    <t>Optimized (JSD=0.158)</t>
  </si>
  <si>
    <t>Skipped (JSD=0.119)</t>
  </si>
  <si>
    <t>Optimized (JSD=0.192)</t>
  </si>
  <si>
    <t>Skipped (JSD=0.105)</t>
  </si>
  <si>
    <t>Skipped (JSD=0.135)</t>
  </si>
  <si>
    <t>Optimized (JSD=0.241)</t>
  </si>
  <si>
    <t>Optimized (JSD=0.150)</t>
  </si>
  <si>
    <t>Skipped (JSD=0.086)</t>
  </si>
  <si>
    <t>Skipped (JSD=0.130)</t>
  </si>
  <si>
    <t>Skipped (JSD=0.103)</t>
  </si>
  <si>
    <t>Skipped (JSD=0.131)</t>
  </si>
  <si>
    <t>Skipped (JSD=0.077)</t>
  </si>
  <si>
    <t>Optimized (JSD=0.151)</t>
  </si>
  <si>
    <t>Skipped (JSD=0.109)</t>
  </si>
  <si>
    <t>Skipped (JSD=0.070)</t>
  </si>
  <si>
    <t>Skipped (JSD=0.139)</t>
  </si>
  <si>
    <t>Skipped (JSD=0.082)</t>
  </si>
  <si>
    <t>Optimized (JSD=0.263)</t>
  </si>
  <si>
    <t>Skipped (JSD=0.115)</t>
  </si>
  <si>
    <t>Optimized (JSD=0.242)</t>
  </si>
  <si>
    <t>Skipped (JSD=0.128)</t>
  </si>
  <si>
    <t>Optimized (JSD=0.177)</t>
  </si>
  <si>
    <t>Skipped (JSD=0.123)</t>
  </si>
  <si>
    <t>Optimized (JSD=0.210)</t>
  </si>
  <si>
    <t>Optimized (JSD=0.243)</t>
  </si>
  <si>
    <t>Skipped (JSD=0.124)</t>
  </si>
  <si>
    <t>Optimized (JSD=0.216)</t>
  </si>
  <si>
    <t>Optimized (JSD=0.190)</t>
  </si>
  <si>
    <t>Skipped (JSD=0.087)</t>
  </si>
  <si>
    <t>Skipped (JSD=0.145)</t>
  </si>
  <si>
    <t>Optimized (JSD=0.162)</t>
  </si>
  <si>
    <t>Optimized (JSD=0.229)</t>
  </si>
  <si>
    <t>Skipped (JSD=0.146)</t>
  </si>
  <si>
    <t>Optimized (JSD=0.212)</t>
  </si>
  <si>
    <t>Optimized (JSD=0.168)</t>
  </si>
  <si>
    <t>Optimized (JSD=0.179)</t>
  </si>
  <si>
    <t>Optimized (JSD=0.182)</t>
  </si>
  <si>
    <t>Optimized (JSD=0.176)</t>
  </si>
  <si>
    <t>Skipped (JSD=0.071)</t>
  </si>
  <si>
    <t>Skipped (JSD=0.097)</t>
  </si>
  <si>
    <t>Optimized (JSD=0.222)</t>
  </si>
  <si>
    <t>Optimized (JSD=0.239)</t>
  </si>
  <si>
    <t>Optimized (JSD=0.204)</t>
  </si>
  <si>
    <t>Optimized (JSD=0.153)</t>
  </si>
  <si>
    <t>Optimized (JSD=0.169)</t>
  </si>
  <si>
    <t>Skipped (JSD=0.144)</t>
  </si>
  <si>
    <t>Skipped (JSD=0.106)</t>
  </si>
  <si>
    <t>Skipped (JSD=0.137)</t>
  </si>
  <si>
    <t>Optimized (JSD=0.166)</t>
  </si>
  <si>
    <t>Skipped (JSD=0.133)</t>
  </si>
  <si>
    <t>Skipped (JSD=0.078)</t>
  </si>
  <si>
    <t>Optimized (JSD=0.198)</t>
  </si>
  <si>
    <t>Skipped (JSD=0.110)</t>
  </si>
  <si>
    <t>Optimized (JSD=0.159)</t>
  </si>
  <si>
    <t>Optimized (JSD=0.237)</t>
  </si>
  <si>
    <t>Optimized (JSD=0.308)</t>
  </si>
  <si>
    <t>Optimized (JSD=0.174)</t>
  </si>
  <si>
    <t>Optimized (JSD=0.152)</t>
  </si>
  <si>
    <t>Optimized (JSD=0.234)</t>
  </si>
  <si>
    <t>Skipped (JSD=0.127)</t>
  </si>
  <si>
    <t>Skipped (JSD=0.095)</t>
  </si>
  <si>
    <t>Optimized (JSD=0.193)</t>
  </si>
  <si>
    <t>Skipped (JSD=0.075)</t>
  </si>
  <si>
    <t>Optimized (JSD=0.201)</t>
  </si>
  <si>
    <t>Skipped (JSD=0.098)</t>
  </si>
  <si>
    <t>Skipped (JSD=0.067)</t>
  </si>
  <si>
    <t>Skipped (JSD=0.099)</t>
  </si>
  <si>
    <t>Optimized (JSD=0.228)</t>
  </si>
  <si>
    <t>Optimized (JSD=0.211)</t>
  </si>
  <si>
    <t>Optimized (JSD=0.269)</t>
  </si>
  <si>
    <t>Skipped (JSD=0.100)</t>
  </si>
  <si>
    <t>Parsimony</t>
  </si>
  <si>
    <t>Strictness</t>
  </si>
  <si>
    <t>Limit raise</t>
  </si>
  <si>
    <t>Skipped (JSD=0.053)</t>
  </si>
  <si>
    <t>Skipped (JSD=0.034)</t>
  </si>
  <si>
    <t>Skipped (JSD=0.020)</t>
  </si>
  <si>
    <t>Skipped (JSD=0.030)</t>
  </si>
  <si>
    <t>Skipped (JSD=0.044)</t>
  </si>
  <si>
    <t>Skipped (JSD=0.061)</t>
  </si>
  <si>
    <t>Skipped (JSD=0.081)</t>
  </si>
  <si>
    <t>Skipped (JSD=0.021)</t>
  </si>
  <si>
    <t>Skipped (JSD=0.025)</t>
  </si>
  <si>
    <t>Skipped (JSD=0.027)</t>
  </si>
  <si>
    <t>Skipped (JSD=0.040)</t>
  </si>
  <si>
    <t>Skipped (JSD=0.058)</t>
  </si>
  <si>
    <t>Skipped (JSD=0.074)</t>
  </si>
  <si>
    <t>Skipped (JSD=0.017)</t>
  </si>
  <si>
    <t>Skipped (JSD=0.032)</t>
  </si>
  <si>
    <t>Skipped (JSD=0.037)</t>
  </si>
  <si>
    <t>Skipped (JSD=0.038)</t>
  </si>
  <si>
    <t>Skipped (JSD=0.046)</t>
  </si>
  <si>
    <t>Skipped (JSD=0.052)</t>
  </si>
  <si>
    <t>Skipped (JSD=0.055)</t>
  </si>
  <si>
    <t>Skipped (JSD=0.059)</t>
  </si>
  <si>
    <t>Skipped (JSD=0.060)</t>
  </si>
  <si>
    <t>Skipped (JSD=0.065)</t>
  </si>
  <si>
    <t>Skipped (JSD=0.068)</t>
  </si>
  <si>
    <t>Skipped (JSD=0.080)</t>
  </si>
  <si>
    <t>Skipped (JSD=0.018)</t>
  </si>
  <si>
    <t>Skipped (JSD=0.036)</t>
  </si>
  <si>
    <t>Skipped (JSD=0.041)</t>
  </si>
  <si>
    <t>Skipped (JSD=0.047)</t>
  </si>
  <si>
    <t>Skipped (JSD=0.048)</t>
  </si>
  <si>
    <t>Skipped (JSD=0.062)</t>
  </si>
  <si>
    <t>Skipped (JSD=0.069)</t>
  </si>
  <si>
    <t>Skipped (JSD=0.019)</t>
  </si>
  <si>
    <t>Skipped (JSD=0.031)</t>
  </si>
  <si>
    <t>Skipped (JSD=0.050)</t>
  </si>
  <si>
    <t>Skipped (JSD=0.009)</t>
  </si>
  <si>
    <t>Skipped (JSD=0.014)</t>
  </si>
  <si>
    <t>Skipped (JSD=0.022)</t>
  </si>
  <si>
    <t>Skipped (JSD=0.023)</t>
  </si>
  <si>
    <t>Skipped (JSD=0.035)</t>
  </si>
  <si>
    <t>Skipped (JSD=0.039)</t>
  </si>
  <si>
    <t>Skipped (JSD=0.056)</t>
  </si>
  <si>
    <t>Skipped (JSD=0.057)</t>
  </si>
  <si>
    <t>Skipped (JSD=0.117)</t>
  </si>
  <si>
    <t>Skipped (JSD=0.015)</t>
  </si>
  <si>
    <t>Skipped (JSD=0.033)</t>
  </si>
  <si>
    <t>Skipped (JSD=0.042)</t>
  </si>
  <si>
    <t>Skipped (JSD=0.049)</t>
  </si>
  <si>
    <t>Skipped (JSD=0.029)</t>
  </si>
  <si>
    <t>Skipped (JSD=0.024)</t>
  </si>
  <si>
    <t>Skipped (JSD=0.051)</t>
  </si>
  <si>
    <t>Skipped (JSD=0.026)</t>
  </si>
  <si>
    <t>Strategy</t>
  </si>
  <si>
    <t>Fitness</t>
  </si>
  <si>
    <t>Precision</t>
  </si>
  <si>
    <t>Structure</t>
  </si>
  <si>
    <t>Variant</t>
  </si>
  <si>
    <t>Mean Fitness</t>
  </si>
  <si>
    <t>Mean Precision</t>
  </si>
  <si>
    <t>Mean Structure</t>
  </si>
  <si>
    <t>Mean τdep</t>
  </si>
  <si>
    <t>Mean τloop</t>
  </si>
  <si>
    <t>Mean τsig</t>
  </si>
  <si>
    <t>Asset 1: Table 8 – Consolidated BPI17 Discovery Profile</t>
  </si>
  <si>
    <t>Asset 2: Figure 8 – Longitudinal Quality &amp; Trigger Synchronization</t>
  </si>
  <si>
    <t>ITERATION</t>
  </si>
  <si>
    <t xml:space="preserve"> </t>
  </si>
  <si>
    <t>drift_threshold</t>
  </si>
  <si>
    <t>Asset 3: Figure 9 – JSD Drift Signal (The "Sensitivity" Plot)</t>
  </si>
  <si>
    <t>Drift magnitude</t>
  </si>
  <si>
    <t>Drift threshold</t>
  </si>
  <si>
    <t>Figure 8 – Longitudinal Quality &amp; Trigger Synchronization -</t>
  </si>
  <si>
    <t>Metric</t>
  </si>
  <si>
    <t>New credit (Variant A)</t>
  </si>
  <si>
    <t>Limit raise (Variant B)</t>
  </si>
  <si>
    <t>Events</t>
  </si>
  <si>
    <t>Cases</t>
  </si>
  <si>
    <t>Unique Traces</t>
  </si>
  <si>
    <t>Avg. Trace Length</t>
  </si>
  <si>
    <t>Density (Events/Case)</t>
  </si>
  <si>
    <t>Page</t>
  </si>
  <si>
    <t>Section</t>
  </si>
  <si>
    <t>Target Reviewer</t>
  </si>
  <si>
    <t>Action Taken (The "Why" and "How")</t>
  </si>
  <si>
    <t>Abstract</t>
  </si>
  <si>
    <t>R1 (Pt 2, 5, 6)</t>
  </si>
  <si>
    <t>Integrated Unified Claims: Updated to include BPI 2017 validation. Balanced the 98% (synthetic) and 72.4% (real-world) savings to avoid overstating.</t>
  </si>
  <si>
    <t>Introduction</t>
  </si>
  <si>
    <t>R1 (Pt 1)</t>
  </si>
  <si>
    <t>Novelty Reframing: Added the "Autonomous Logic-Adaptation Loop" paragraph. Switched focus from simple "integration" to an active agent that realigns discovery logic.</t>
  </si>
  <si>
    <t>III-B: Parametric Model</t>
  </si>
  <si>
    <t>R1 (Pt 4)</t>
  </si>
  <si>
    <t>Notation Sync: Verified that math symbols ($\tau_{dep}$, $\tau_{loop}$, $\tau_{sig}$) match the column headers in the Results tables exactly.</t>
  </si>
  <si>
    <t>III-F: Re-Optimization</t>
  </si>
  <si>
    <t>Methodological Defense: Added a 200-word justification for Grid Search. Cited exhaustive reproducibility in a finite 135-point space as a requirement for scientific validation.</t>
  </si>
  <si>
    <t>IV-C: BPI 17 Setup</t>
  </si>
  <si>
    <t>R1 (Pt 2) / R2</t>
  </si>
  <si>
    <t>NEW SUBSECTION (Data Profiling): Introduced BPI 2017 as a "Stress Test." Included Table 7 with Descriptive Stats (475k events) and explained the high-entropy nature of Variant A.</t>
  </si>
  <si>
    <t>V-D: Practical Utility</t>
  </si>
  <si>
    <t>R1 (Pt 2, 7) / R2</t>
  </si>
  <si>
    <t>NEW SUBSECTION (Results): Analyzed real-world behavior. Inserted Table 8 (Means) and Figures 8 &amp; 9 (Trajectories and Drift Signals).</t>
  </si>
  <si>
    <t>V-D.3: Sensitivity</t>
  </si>
  <si>
    <t>R1 (Pt 5, 7)</t>
  </si>
  <si>
    <t>Deep Insight Narrative: Explicitly addressed the 72.4% savings vs. 98% delta. Explained this as a result of "Stochastic Pulse" sensitivity versus "Episodic Drift" stability.</t>
  </si>
  <si>
    <t>VI-B: Limitations</t>
  </si>
  <si>
    <t>R1 (Pt 7)</t>
  </si>
  <si>
    <t>NEW SUBSECTION: Provided a detailed academic discussion on threshold sensitivity ($\epsilon$) and the window size ($W$) trade-off between inertia and freshness.</t>
  </si>
  <si>
    <t>Global</t>
  </si>
  <si>
    <t>All Sections</t>
  </si>
  <si>
    <t>R1 (Pt 6)</t>
  </si>
  <si>
    <t>Tone &amp; Conciseness: Deleted "heroic" adjectives (very, extremely, unique). Swapped absolute claims ("proves," "perfectly") for moderated ones ("demonstrates," "suggests").</t>
  </si>
  <si>
    <t>Feature</t>
  </si>
  <si>
    <t>S-BAR [7]</t>
  </si>
  <si>
    <t>Adaptive Windowing [8]</t>
  </si>
  <si>
    <t>Prefix-Tree Miners [18]</t>
  </si>
  <si>
    <t>Proposed Framework</t>
  </si>
  <si>
    <t>Ingestion</t>
  </si>
  <si>
    <t>Event Stream</t>
  </si>
  <si>
    <t>Abstraction</t>
  </si>
  <si>
    <t>Aggregated DFGs</t>
  </si>
  <si>
    <t>Sliding Windows</t>
  </si>
  <si>
    <t>Prefix Trees</t>
  </si>
  <si>
    <t>Mini-Cubes (Isolated)</t>
  </si>
  <si>
    <t>Adaptation Target</t>
  </si>
  <si>
    <t>Graph Edge Counts</t>
  </si>
  <si>
    <t>Window/History Size</t>
  </si>
  <si>
    <t>Incremental Updates</t>
  </si>
  <si>
    <t>Logic ()</t>
  </si>
  <si>
    <t>Control Logic</t>
  </si>
  <si>
    <t>Passive</t>
  </si>
  <si>
    <t>Reactive</t>
  </si>
  <si>
    <t>Autonomous / Strategy-Driven</t>
  </si>
  <si>
    <t>Drift Handling</t>
  </si>
  <si>
    <t>Continuous/Aging</t>
  </si>
  <si>
    <t>Threshold-based</t>
  </si>
  <si>
    <t>Incremental Growth</t>
  </si>
  <si>
    <t>Distributional (JSD)</t>
  </si>
  <si>
    <t>Multi-Objective</t>
  </si>
  <si>
    <t>No (Fixed)</t>
  </si>
  <si>
    <t>Yes (F, P, S)</t>
  </si>
  <si>
    <t>Optimization Module</t>
  </si>
  <si>
    <t>Eval. Budget  (Be)</t>
  </si>
  <si>
    <t>Mean Fitness  (F)</t>
  </si>
  <si>
    <t>Mean Precision  (P)</t>
  </si>
  <si>
    <t>Mean Structure  (S)</t>
  </si>
  <si>
    <t>Mean Dep</t>
  </si>
  <si>
    <t>Mean Loop</t>
  </si>
  <si>
    <t>Mean Sig</t>
  </si>
  <si>
    <t>Aggregated Efficiency  (ηagg)</t>
  </si>
  <si>
    <t>Grid Search</t>
  </si>
  <si>
    <t>Genetic Algorithm</t>
  </si>
  <si>
    <t>Bayesian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</si>
</sst>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_-;\-* #,##0.000_-;_-* &quot;-&quot;??_-;_-@_-"/>
    <numFmt numFmtId="165" formatCode="_-* #,##0_-;\-* #,##0_-;_-* &quot;-&quot;??_-;_-@_-"/>
    <numFmt numFmtId="166" formatCode="_-* #,##0.0000_-;\-* #,##0.00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Gill Sans MT"/>
      <family val="2"/>
    </font>
    <font>
      <sz val="8"/>
      <color theme="1"/>
      <name val="Gill Sans MT"/>
      <family val="2"/>
    </font>
    <font>
      <b/>
      <sz val="8"/>
      <name val="Aptos Narrow"/>
      <family val="2"/>
    </font>
    <font>
      <b/>
      <sz val="8"/>
      <color theme="1"/>
      <name val="Aptos Narrow"/>
      <family val="2"/>
    </font>
    <font>
      <b/>
      <sz val="13.5"/>
      <color rgb="FF2B2D31"/>
      <name val="Arial"/>
      <family val="2"/>
    </font>
    <font>
      <sz val="8"/>
      <color theme="1"/>
      <name val="Aptos Narrow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2B2D3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2B2D31"/>
      <name val="Calibri"/>
      <family val="2"/>
      <scheme val="minor"/>
    </font>
    <font>
      <b/>
      <sz val="8"/>
      <color rgb="FF000000"/>
      <name val="Aptos Narrow"/>
      <family val="2"/>
    </font>
    <font>
      <sz val="8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1" applyNumberFormat="1" applyFont="1" applyBorder="1" applyAlignment="1">
      <alignment horizontal="center" vertical="top"/>
    </xf>
    <xf numFmtId="9" fontId="2" fillId="0" borderId="1" xfId="2" applyFont="1" applyBorder="1" applyAlignment="1">
      <alignment horizontal="center" vertical="top"/>
    </xf>
    <xf numFmtId="0" fontId="3" fillId="0" borderId="0" xfId="0" applyFont="1"/>
    <xf numFmtId="164" fontId="3" fillId="0" borderId="0" xfId="1" applyNumberFormat="1" applyFont="1"/>
    <xf numFmtId="9" fontId="3" fillId="0" borderId="0" xfId="2" applyFont="1"/>
    <xf numFmtId="43" fontId="5" fillId="2" borderId="3" xfId="1" applyFont="1" applyFill="1" applyBorder="1" applyAlignment="1">
      <alignment horizontal="left"/>
    </xf>
    <xf numFmtId="9" fontId="0" fillId="0" borderId="0" xfId="2" applyFont="1" applyAlignment="1"/>
    <xf numFmtId="0" fontId="6" fillId="0" borderId="0" xfId="0" applyFont="1" applyAlignment="1">
      <alignment vertical="center"/>
    </xf>
    <xf numFmtId="43" fontId="0" fillId="0" borderId="0" xfId="1" applyFont="1" applyAlignment="1"/>
    <xf numFmtId="165" fontId="0" fillId="0" borderId="0" xfId="1" applyNumberFormat="1" applyFont="1" applyAlignment="1"/>
    <xf numFmtId="165" fontId="5" fillId="2" borderId="3" xfId="1" applyNumberFormat="1" applyFont="1" applyFill="1" applyBorder="1" applyAlignment="1">
      <alignment horizontal="left"/>
    </xf>
    <xf numFmtId="0" fontId="0" fillId="0" borderId="0" xfId="0" applyAlignment="1">
      <alignment vertical="center"/>
    </xf>
    <xf numFmtId="43" fontId="4" fillId="3" borderId="2" xfId="1" applyFont="1" applyFill="1" applyBorder="1" applyAlignment="1">
      <alignment horizontal="center" vertical="center"/>
    </xf>
    <xf numFmtId="165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  <xf numFmtId="43" fontId="0" fillId="0" borderId="0" xfId="1" applyFont="1" applyAlignment="1">
      <alignment vertical="center" wrapText="1"/>
    </xf>
    <xf numFmtId="164" fontId="2" fillId="0" borderId="0" xfId="1" applyNumberFormat="1" applyFont="1" applyBorder="1" applyAlignment="1">
      <alignment horizontal="center" vertical="top"/>
    </xf>
    <xf numFmtId="43" fontId="4" fillId="3" borderId="0" xfId="1" applyFont="1" applyFill="1" applyBorder="1" applyAlignment="1">
      <alignment horizontal="center" vertical="center"/>
    </xf>
    <xf numFmtId="43" fontId="5" fillId="2" borderId="3" xfId="1" applyFont="1" applyFill="1" applyBorder="1" applyAlignment="1">
      <alignment horizontal="center"/>
    </xf>
    <xf numFmtId="43" fontId="7" fillId="2" borderId="3" xfId="1" applyFont="1" applyFill="1" applyBorder="1" applyAlignment="1">
      <alignment horizontal="center"/>
    </xf>
    <xf numFmtId="0" fontId="8" fillId="0" borderId="0" xfId="0" applyFont="1"/>
    <xf numFmtId="3" fontId="0" fillId="0" borderId="0" xfId="0" applyNumberFormat="1"/>
    <xf numFmtId="0" fontId="9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/>
    <xf numFmtId="0" fontId="12" fillId="0" borderId="0" xfId="0" applyFont="1" applyAlignment="1">
      <alignment vertical="center"/>
    </xf>
    <xf numFmtId="0" fontId="12" fillId="0" borderId="0" xfId="0" applyFont="1"/>
    <xf numFmtId="0" fontId="11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13" fillId="0" borderId="0" xfId="1" applyNumberFormat="1" applyFont="1" applyFill="1" applyBorder="1" applyAlignment="1">
      <alignment horizontal="center" vertical="center"/>
    </xf>
    <xf numFmtId="43" fontId="13" fillId="0" borderId="0" xfId="1" applyFont="1" applyFill="1" applyBorder="1" applyAlignment="1">
      <alignment horizontal="center" vertical="center"/>
    </xf>
    <xf numFmtId="166" fontId="13" fillId="0" borderId="0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165" fontId="14" fillId="0" borderId="0" xfId="1" applyNumberFormat="1" applyFont="1" applyFill="1" applyBorder="1" applyAlignment="1">
      <alignment vertical="center"/>
    </xf>
    <xf numFmtId="43" fontId="14" fillId="0" borderId="0" xfId="1" applyFont="1" applyFill="1" applyBorder="1" applyAlignment="1">
      <alignment vertical="center"/>
    </xf>
    <xf numFmtId="166" fontId="14" fillId="0" borderId="0" xfId="1" applyNumberFormat="1" applyFont="1" applyFill="1" applyBorder="1" applyAlignment="1">
      <alignment vertical="center"/>
    </xf>
    <xf numFmtId="43" fontId="13" fillId="0" borderId="0" xfId="1" applyFont="1" applyFill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 sz="1600" b="1">
                <a:solidFill>
                  <a:sysClr val="windowText" lastClr="000000"/>
                </a:solidFill>
              </a:rPr>
              <a:t>(a) New credit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ASSETS!$D$18</c:f>
              <c:strCache>
                <c:ptCount val="1"/>
                <c:pt idx="0">
                  <c:v> Fitness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ASSETS!$C$19:$C$493</c:f>
              <c:numCache>
                <c:formatCode>_-* #,##0_-;\-* #,##0_-;_-* "-"??_-;_-@_-</c:formatCode>
                <c:ptCount val="4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</c:numCache>
            </c:numRef>
          </c:cat>
          <c:val>
            <c:numRef>
              <c:f>ASSETS!$D$19:$D$493</c:f>
              <c:numCache>
                <c:formatCode>_(* #,##0.00_);_(* \(#,##0.00\);_(* "-"??_);_(@_)</c:formatCode>
                <c:ptCount val="475"/>
                <c:pt idx="0">
                  <c:v>0.7931034482758621</c:v>
                </c:pt>
                <c:pt idx="1">
                  <c:v>0.83333333333333337</c:v>
                </c:pt>
                <c:pt idx="2">
                  <c:v>0.78787878787878785</c:v>
                </c:pt>
                <c:pt idx="3">
                  <c:v>0.74358974358974361</c:v>
                </c:pt>
                <c:pt idx="4">
                  <c:v>0.78</c:v>
                </c:pt>
                <c:pt idx="5">
                  <c:v>0.76363636363636367</c:v>
                </c:pt>
                <c:pt idx="6">
                  <c:v>0.73770491803278693</c:v>
                </c:pt>
                <c:pt idx="7">
                  <c:v>0.78947368421052633</c:v>
                </c:pt>
                <c:pt idx="8">
                  <c:v>0.8035714285714286</c:v>
                </c:pt>
                <c:pt idx="9">
                  <c:v>0.81818181818181823</c:v>
                </c:pt>
                <c:pt idx="10">
                  <c:v>0.8214285714285714</c:v>
                </c:pt>
                <c:pt idx="11">
                  <c:v>0.79245283018867929</c:v>
                </c:pt>
                <c:pt idx="12">
                  <c:v>0.75806451612903225</c:v>
                </c:pt>
                <c:pt idx="13">
                  <c:v>0.76190476190476186</c:v>
                </c:pt>
                <c:pt idx="14">
                  <c:v>0.74242424242424243</c:v>
                </c:pt>
                <c:pt idx="15">
                  <c:v>0.72727272727272729</c:v>
                </c:pt>
                <c:pt idx="16">
                  <c:v>0.69696969696969702</c:v>
                </c:pt>
                <c:pt idx="17">
                  <c:v>0.75384615384615383</c:v>
                </c:pt>
                <c:pt idx="18">
                  <c:v>0.74603174603174605</c:v>
                </c:pt>
                <c:pt idx="19">
                  <c:v>0.75409836065573765</c:v>
                </c:pt>
                <c:pt idx="20">
                  <c:v>0.78688524590163933</c:v>
                </c:pt>
                <c:pt idx="21">
                  <c:v>0.734375</c:v>
                </c:pt>
                <c:pt idx="22">
                  <c:v>0.69841269841269837</c:v>
                </c:pt>
                <c:pt idx="23">
                  <c:v>0.75</c:v>
                </c:pt>
                <c:pt idx="24">
                  <c:v>0.76271186440677963</c:v>
                </c:pt>
                <c:pt idx="25">
                  <c:v>0.8</c:v>
                </c:pt>
                <c:pt idx="26">
                  <c:v>0.76190476190476186</c:v>
                </c:pt>
                <c:pt idx="27">
                  <c:v>0.76666666666666672</c:v>
                </c:pt>
                <c:pt idx="28">
                  <c:v>0.734375</c:v>
                </c:pt>
                <c:pt idx="29">
                  <c:v>0.69565217391304346</c:v>
                </c:pt>
                <c:pt idx="30">
                  <c:v>0.70149253731343286</c:v>
                </c:pt>
                <c:pt idx="31">
                  <c:v>0.70588235294117652</c:v>
                </c:pt>
                <c:pt idx="32">
                  <c:v>0.75</c:v>
                </c:pt>
                <c:pt idx="33">
                  <c:v>0.75409836065573765</c:v>
                </c:pt>
                <c:pt idx="34">
                  <c:v>0.75409836065573765</c:v>
                </c:pt>
                <c:pt idx="35">
                  <c:v>0.78947368421052633</c:v>
                </c:pt>
                <c:pt idx="36">
                  <c:v>0.72413793103448276</c:v>
                </c:pt>
                <c:pt idx="37">
                  <c:v>0.68656716417910446</c:v>
                </c:pt>
                <c:pt idx="38">
                  <c:v>0.69230769230769229</c:v>
                </c:pt>
                <c:pt idx="39">
                  <c:v>0.676056338028169</c:v>
                </c:pt>
                <c:pt idx="40">
                  <c:v>0.676056338028169</c:v>
                </c:pt>
                <c:pt idx="41">
                  <c:v>0.7384615384615385</c:v>
                </c:pt>
                <c:pt idx="42">
                  <c:v>0.640625</c:v>
                </c:pt>
                <c:pt idx="43">
                  <c:v>0.74576271186440679</c:v>
                </c:pt>
                <c:pt idx="44">
                  <c:v>0.72131147540983609</c:v>
                </c:pt>
                <c:pt idx="45">
                  <c:v>0.734375</c:v>
                </c:pt>
                <c:pt idx="46">
                  <c:v>0.73770491803278693</c:v>
                </c:pt>
                <c:pt idx="47">
                  <c:v>0.65671641791044777</c:v>
                </c:pt>
                <c:pt idx="48">
                  <c:v>0.734375</c:v>
                </c:pt>
                <c:pt idx="49">
                  <c:v>0.80645161290322576</c:v>
                </c:pt>
                <c:pt idx="50">
                  <c:v>0.74603174603174605</c:v>
                </c:pt>
                <c:pt idx="51">
                  <c:v>0.77192982456140347</c:v>
                </c:pt>
                <c:pt idx="52">
                  <c:v>0.74509803921568629</c:v>
                </c:pt>
                <c:pt idx="53">
                  <c:v>0.73684210526315785</c:v>
                </c:pt>
                <c:pt idx="54">
                  <c:v>0.78947368421052633</c:v>
                </c:pt>
                <c:pt idx="55">
                  <c:v>0.75438596491228072</c:v>
                </c:pt>
                <c:pt idx="56">
                  <c:v>0.75</c:v>
                </c:pt>
                <c:pt idx="57">
                  <c:v>0.65079365079365081</c:v>
                </c:pt>
                <c:pt idx="58">
                  <c:v>0.6271186440677966</c:v>
                </c:pt>
                <c:pt idx="59">
                  <c:v>0.69090909090909092</c:v>
                </c:pt>
                <c:pt idx="60">
                  <c:v>0.75</c:v>
                </c:pt>
                <c:pt idx="61">
                  <c:v>0.70491803278688525</c:v>
                </c:pt>
                <c:pt idx="62">
                  <c:v>0.734375</c:v>
                </c:pt>
                <c:pt idx="63">
                  <c:v>0.7</c:v>
                </c:pt>
                <c:pt idx="64">
                  <c:v>0.70149253731343286</c:v>
                </c:pt>
                <c:pt idx="65">
                  <c:v>0.671875</c:v>
                </c:pt>
                <c:pt idx="66">
                  <c:v>0.67142857142857137</c:v>
                </c:pt>
                <c:pt idx="67">
                  <c:v>0.72058823529411764</c:v>
                </c:pt>
                <c:pt idx="68">
                  <c:v>0.765625</c:v>
                </c:pt>
                <c:pt idx="69">
                  <c:v>0.6470588235294118</c:v>
                </c:pt>
                <c:pt idx="70">
                  <c:v>0.69696969696969702</c:v>
                </c:pt>
                <c:pt idx="71">
                  <c:v>0.68493150684931503</c:v>
                </c:pt>
                <c:pt idx="72">
                  <c:v>0.69863013698630139</c:v>
                </c:pt>
                <c:pt idx="73">
                  <c:v>0.73972602739726023</c:v>
                </c:pt>
                <c:pt idx="74">
                  <c:v>0.70422535211267601</c:v>
                </c:pt>
                <c:pt idx="75">
                  <c:v>0.69444444444444442</c:v>
                </c:pt>
                <c:pt idx="76">
                  <c:v>0.70149253731343286</c:v>
                </c:pt>
                <c:pt idx="77">
                  <c:v>0.72058823529411764</c:v>
                </c:pt>
                <c:pt idx="78">
                  <c:v>0.71666666666666667</c:v>
                </c:pt>
                <c:pt idx="79">
                  <c:v>0.73134328358208955</c:v>
                </c:pt>
                <c:pt idx="80">
                  <c:v>0.69696969696969702</c:v>
                </c:pt>
                <c:pt idx="81">
                  <c:v>0.70769230769230773</c:v>
                </c:pt>
                <c:pt idx="82">
                  <c:v>0.78688524590163933</c:v>
                </c:pt>
                <c:pt idx="83">
                  <c:v>0.73770491803278693</c:v>
                </c:pt>
                <c:pt idx="84">
                  <c:v>0.7142857142857143</c:v>
                </c:pt>
                <c:pt idx="85">
                  <c:v>0.73015873015873012</c:v>
                </c:pt>
                <c:pt idx="86">
                  <c:v>0.734375</c:v>
                </c:pt>
                <c:pt idx="87">
                  <c:v>0.734375</c:v>
                </c:pt>
                <c:pt idx="88">
                  <c:v>0.75757575757575757</c:v>
                </c:pt>
                <c:pt idx="89">
                  <c:v>0.70149253731343286</c:v>
                </c:pt>
                <c:pt idx="90">
                  <c:v>0.69696969696969702</c:v>
                </c:pt>
                <c:pt idx="91">
                  <c:v>0.7142857142857143</c:v>
                </c:pt>
                <c:pt idx="92">
                  <c:v>0.70175438596491224</c:v>
                </c:pt>
                <c:pt idx="93">
                  <c:v>0.73684210526315785</c:v>
                </c:pt>
                <c:pt idx="94">
                  <c:v>0.69491525423728817</c:v>
                </c:pt>
                <c:pt idx="95">
                  <c:v>0.73770491803278693</c:v>
                </c:pt>
                <c:pt idx="96">
                  <c:v>0.72058823529411764</c:v>
                </c:pt>
                <c:pt idx="97">
                  <c:v>0.72058823529411764</c:v>
                </c:pt>
                <c:pt idx="98">
                  <c:v>0.6875</c:v>
                </c:pt>
                <c:pt idx="99">
                  <c:v>0.75</c:v>
                </c:pt>
                <c:pt idx="100">
                  <c:v>0.76190476190476186</c:v>
                </c:pt>
                <c:pt idx="101">
                  <c:v>0.76119402985074625</c:v>
                </c:pt>
                <c:pt idx="102">
                  <c:v>0.73913043478260865</c:v>
                </c:pt>
                <c:pt idx="103">
                  <c:v>0.72222222222222221</c:v>
                </c:pt>
                <c:pt idx="104">
                  <c:v>0.7</c:v>
                </c:pt>
                <c:pt idx="105">
                  <c:v>0.7142857142857143</c:v>
                </c:pt>
                <c:pt idx="106">
                  <c:v>0.75757575757575757</c:v>
                </c:pt>
                <c:pt idx="107">
                  <c:v>0.77777777777777779</c:v>
                </c:pt>
                <c:pt idx="108">
                  <c:v>0.70491803278688525</c:v>
                </c:pt>
                <c:pt idx="109">
                  <c:v>0.72131147540983609</c:v>
                </c:pt>
                <c:pt idx="110">
                  <c:v>0.70769230769230773</c:v>
                </c:pt>
                <c:pt idx="111">
                  <c:v>0.7384615384615385</c:v>
                </c:pt>
                <c:pt idx="112">
                  <c:v>0.70967741935483875</c:v>
                </c:pt>
                <c:pt idx="113">
                  <c:v>0.7142857142857143</c:v>
                </c:pt>
                <c:pt idx="114">
                  <c:v>0.71212121212121215</c:v>
                </c:pt>
                <c:pt idx="115">
                  <c:v>0.69230769230769229</c:v>
                </c:pt>
                <c:pt idx="116">
                  <c:v>0.74626865671641796</c:v>
                </c:pt>
                <c:pt idx="117">
                  <c:v>0.71212121212121215</c:v>
                </c:pt>
                <c:pt idx="118">
                  <c:v>0.75384615384615383</c:v>
                </c:pt>
                <c:pt idx="119">
                  <c:v>0.71875</c:v>
                </c:pt>
                <c:pt idx="120">
                  <c:v>0.69354838709677424</c:v>
                </c:pt>
                <c:pt idx="121">
                  <c:v>0.7142857142857143</c:v>
                </c:pt>
                <c:pt idx="122">
                  <c:v>0.76271186440677963</c:v>
                </c:pt>
                <c:pt idx="123">
                  <c:v>0.80701754385964908</c:v>
                </c:pt>
                <c:pt idx="124">
                  <c:v>0.80327868852459017</c:v>
                </c:pt>
                <c:pt idx="125">
                  <c:v>0.76119402985074625</c:v>
                </c:pt>
                <c:pt idx="126">
                  <c:v>0.676056338028169</c:v>
                </c:pt>
                <c:pt idx="127">
                  <c:v>0.625</c:v>
                </c:pt>
                <c:pt idx="128">
                  <c:v>0.71875</c:v>
                </c:pt>
                <c:pt idx="129">
                  <c:v>0.72580645161290325</c:v>
                </c:pt>
                <c:pt idx="130">
                  <c:v>0.75409836065573765</c:v>
                </c:pt>
                <c:pt idx="131">
                  <c:v>0.7931034482758621</c:v>
                </c:pt>
                <c:pt idx="132">
                  <c:v>0.7142857142857143</c:v>
                </c:pt>
                <c:pt idx="133">
                  <c:v>0.74137931034482762</c:v>
                </c:pt>
                <c:pt idx="134">
                  <c:v>0.77611940298507465</c:v>
                </c:pt>
                <c:pt idx="135">
                  <c:v>0.73913043478260865</c:v>
                </c:pt>
                <c:pt idx="136">
                  <c:v>0.73913043478260865</c:v>
                </c:pt>
                <c:pt idx="137">
                  <c:v>0.75384615384615383</c:v>
                </c:pt>
                <c:pt idx="138">
                  <c:v>0.75862068965517238</c:v>
                </c:pt>
                <c:pt idx="139">
                  <c:v>0.72131147540983609</c:v>
                </c:pt>
                <c:pt idx="140">
                  <c:v>0.71875</c:v>
                </c:pt>
                <c:pt idx="141">
                  <c:v>0.74242424242424243</c:v>
                </c:pt>
                <c:pt idx="142">
                  <c:v>0.734375</c:v>
                </c:pt>
                <c:pt idx="143">
                  <c:v>0.7384615384615385</c:v>
                </c:pt>
                <c:pt idx="144">
                  <c:v>0.70422535211267601</c:v>
                </c:pt>
                <c:pt idx="145">
                  <c:v>0.74285714285714288</c:v>
                </c:pt>
                <c:pt idx="146">
                  <c:v>0.71014492753623193</c:v>
                </c:pt>
                <c:pt idx="147">
                  <c:v>0.69354838709677424</c:v>
                </c:pt>
                <c:pt idx="148">
                  <c:v>0.67164179104477617</c:v>
                </c:pt>
                <c:pt idx="149">
                  <c:v>0.68493150684931503</c:v>
                </c:pt>
                <c:pt idx="150">
                  <c:v>0.74647887323943662</c:v>
                </c:pt>
                <c:pt idx="151">
                  <c:v>0.76470588235294112</c:v>
                </c:pt>
                <c:pt idx="152">
                  <c:v>0.73134328358208955</c:v>
                </c:pt>
                <c:pt idx="153">
                  <c:v>0.71212121212121215</c:v>
                </c:pt>
                <c:pt idx="154">
                  <c:v>0.70422535211267601</c:v>
                </c:pt>
                <c:pt idx="155">
                  <c:v>0.72222222222222221</c:v>
                </c:pt>
                <c:pt idx="156">
                  <c:v>0.70833333333333337</c:v>
                </c:pt>
                <c:pt idx="157">
                  <c:v>0.6901408450704225</c:v>
                </c:pt>
                <c:pt idx="158">
                  <c:v>0.72058823529411764</c:v>
                </c:pt>
                <c:pt idx="159">
                  <c:v>0.70588235294117652</c:v>
                </c:pt>
                <c:pt idx="160">
                  <c:v>0.765625</c:v>
                </c:pt>
                <c:pt idx="161">
                  <c:v>0.7</c:v>
                </c:pt>
                <c:pt idx="162">
                  <c:v>0.60869565217391308</c:v>
                </c:pt>
                <c:pt idx="163">
                  <c:v>0.63157894736842102</c:v>
                </c:pt>
                <c:pt idx="164">
                  <c:v>0.62337662337662336</c:v>
                </c:pt>
                <c:pt idx="165">
                  <c:v>0.68571428571428572</c:v>
                </c:pt>
                <c:pt idx="166">
                  <c:v>0.71641791044776115</c:v>
                </c:pt>
                <c:pt idx="167">
                  <c:v>0.70149253731343286</c:v>
                </c:pt>
                <c:pt idx="168">
                  <c:v>0.77419354838709675</c:v>
                </c:pt>
                <c:pt idx="169">
                  <c:v>0.77419354838709675</c:v>
                </c:pt>
                <c:pt idx="170">
                  <c:v>0.72580645161290325</c:v>
                </c:pt>
                <c:pt idx="171">
                  <c:v>0.70967741935483875</c:v>
                </c:pt>
                <c:pt idx="172">
                  <c:v>0.71212121212121215</c:v>
                </c:pt>
                <c:pt idx="173">
                  <c:v>0.74603174603174605</c:v>
                </c:pt>
                <c:pt idx="174">
                  <c:v>0.74193548387096775</c:v>
                </c:pt>
                <c:pt idx="175">
                  <c:v>0.76190476190476186</c:v>
                </c:pt>
                <c:pt idx="176">
                  <c:v>0.75</c:v>
                </c:pt>
                <c:pt idx="177">
                  <c:v>0.77192982456140347</c:v>
                </c:pt>
                <c:pt idx="178">
                  <c:v>0.72881355932203384</c:v>
                </c:pt>
                <c:pt idx="179">
                  <c:v>0.77419354838709675</c:v>
                </c:pt>
                <c:pt idx="180">
                  <c:v>0.74626865671641796</c:v>
                </c:pt>
                <c:pt idx="181">
                  <c:v>0.76119402985074625</c:v>
                </c:pt>
                <c:pt idx="182">
                  <c:v>0.75806451612903225</c:v>
                </c:pt>
                <c:pt idx="183">
                  <c:v>0.69354838709677424</c:v>
                </c:pt>
                <c:pt idx="184">
                  <c:v>0.7</c:v>
                </c:pt>
                <c:pt idx="185">
                  <c:v>0.74576271186440679</c:v>
                </c:pt>
                <c:pt idx="186">
                  <c:v>0.69491525423728817</c:v>
                </c:pt>
                <c:pt idx="187">
                  <c:v>0.7</c:v>
                </c:pt>
                <c:pt idx="188">
                  <c:v>0.69354838709677424</c:v>
                </c:pt>
                <c:pt idx="189">
                  <c:v>0.69696969696969702</c:v>
                </c:pt>
                <c:pt idx="190">
                  <c:v>0.67741935483870963</c:v>
                </c:pt>
                <c:pt idx="191">
                  <c:v>0.71186440677966101</c:v>
                </c:pt>
                <c:pt idx="192">
                  <c:v>0.76271186440677963</c:v>
                </c:pt>
                <c:pt idx="193">
                  <c:v>0.74545454545454548</c:v>
                </c:pt>
                <c:pt idx="194">
                  <c:v>0.73770491803278693</c:v>
                </c:pt>
                <c:pt idx="195">
                  <c:v>0.69354838709677424</c:v>
                </c:pt>
                <c:pt idx="196">
                  <c:v>0.68181818181818177</c:v>
                </c:pt>
                <c:pt idx="197">
                  <c:v>0.79104477611940294</c:v>
                </c:pt>
                <c:pt idx="198">
                  <c:v>0.71641791044776115</c:v>
                </c:pt>
                <c:pt idx="199">
                  <c:v>0.73770491803278693</c:v>
                </c:pt>
                <c:pt idx="200">
                  <c:v>0.70491803278688525</c:v>
                </c:pt>
                <c:pt idx="201">
                  <c:v>0.76271186440677963</c:v>
                </c:pt>
                <c:pt idx="202">
                  <c:v>0.71186440677966101</c:v>
                </c:pt>
                <c:pt idx="203">
                  <c:v>0.703125</c:v>
                </c:pt>
                <c:pt idx="204">
                  <c:v>0.68181818181818177</c:v>
                </c:pt>
                <c:pt idx="205">
                  <c:v>0.66666666666666663</c:v>
                </c:pt>
                <c:pt idx="206">
                  <c:v>0.68656716417910446</c:v>
                </c:pt>
                <c:pt idx="207">
                  <c:v>0.73770491803278693</c:v>
                </c:pt>
                <c:pt idx="208">
                  <c:v>0.80769230769230771</c:v>
                </c:pt>
                <c:pt idx="209">
                  <c:v>0.77083333333333337</c:v>
                </c:pt>
                <c:pt idx="210">
                  <c:v>0.76470588235294112</c:v>
                </c:pt>
                <c:pt idx="211">
                  <c:v>0.70909090909090911</c:v>
                </c:pt>
                <c:pt idx="212">
                  <c:v>0.70175438596491224</c:v>
                </c:pt>
                <c:pt idx="213">
                  <c:v>0.65671641791044777</c:v>
                </c:pt>
                <c:pt idx="214">
                  <c:v>0.65714285714285714</c:v>
                </c:pt>
                <c:pt idx="215">
                  <c:v>0.70149253731343286</c:v>
                </c:pt>
                <c:pt idx="216">
                  <c:v>0.69117647058823528</c:v>
                </c:pt>
                <c:pt idx="217">
                  <c:v>0.68571428571428572</c:v>
                </c:pt>
                <c:pt idx="218">
                  <c:v>0.70588235294117652</c:v>
                </c:pt>
                <c:pt idx="219">
                  <c:v>0.73015873015873012</c:v>
                </c:pt>
                <c:pt idx="220">
                  <c:v>0.73015873015873012</c:v>
                </c:pt>
                <c:pt idx="221">
                  <c:v>0.70149253731343286</c:v>
                </c:pt>
                <c:pt idx="222">
                  <c:v>0.69230769230769229</c:v>
                </c:pt>
                <c:pt idx="223">
                  <c:v>0.69696969696969702</c:v>
                </c:pt>
                <c:pt idx="224">
                  <c:v>0.76271186440677963</c:v>
                </c:pt>
                <c:pt idx="225">
                  <c:v>0.7142857142857143</c:v>
                </c:pt>
                <c:pt idx="226">
                  <c:v>0.67164179104477617</c:v>
                </c:pt>
                <c:pt idx="227">
                  <c:v>0.67123287671232879</c:v>
                </c:pt>
                <c:pt idx="228">
                  <c:v>0.73239436619718312</c:v>
                </c:pt>
                <c:pt idx="229">
                  <c:v>0.74626865671641796</c:v>
                </c:pt>
                <c:pt idx="230">
                  <c:v>0.74603174603174605</c:v>
                </c:pt>
                <c:pt idx="231">
                  <c:v>0.76271186440677963</c:v>
                </c:pt>
                <c:pt idx="232">
                  <c:v>0.83333333333333337</c:v>
                </c:pt>
                <c:pt idx="233">
                  <c:v>0.76363636363636367</c:v>
                </c:pt>
                <c:pt idx="234">
                  <c:v>0.79032258064516125</c:v>
                </c:pt>
                <c:pt idx="235">
                  <c:v>0.72307692307692306</c:v>
                </c:pt>
                <c:pt idx="236">
                  <c:v>0.734375</c:v>
                </c:pt>
                <c:pt idx="237">
                  <c:v>0.73134328358208955</c:v>
                </c:pt>
                <c:pt idx="238">
                  <c:v>0.70588235294117652</c:v>
                </c:pt>
                <c:pt idx="239">
                  <c:v>0.68571428571428572</c:v>
                </c:pt>
                <c:pt idx="240">
                  <c:v>0.69696969696969702</c:v>
                </c:pt>
                <c:pt idx="241">
                  <c:v>0.63492063492063489</c:v>
                </c:pt>
                <c:pt idx="242">
                  <c:v>0.6428571428571429</c:v>
                </c:pt>
                <c:pt idx="243">
                  <c:v>0.69565217391304346</c:v>
                </c:pt>
                <c:pt idx="244">
                  <c:v>0.73770491803278693</c:v>
                </c:pt>
                <c:pt idx="245">
                  <c:v>0.78333333333333333</c:v>
                </c:pt>
                <c:pt idx="246">
                  <c:v>0.79365079365079361</c:v>
                </c:pt>
                <c:pt idx="247">
                  <c:v>0.72307692307692306</c:v>
                </c:pt>
                <c:pt idx="248">
                  <c:v>0.6875</c:v>
                </c:pt>
                <c:pt idx="249">
                  <c:v>0.74603174603174605</c:v>
                </c:pt>
                <c:pt idx="250">
                  <c:v>0.72580645161290325</c:v>
                </c:pt>
                <c:pt idx="251">
                  <c:v>0.75806451612903225</c:v>
                </c:pt>
                <c:pt idx="252">
                  <c:v>0.73684210526315785</c:v>
                </c:pt>
                <c:pt idx="253">
                  <c:v>0.6785714285714286</c:v>
                </c:pt>
                <c:pt idx="254">
                  <c:v>0.64912280701754388</c:v>
                </c:pt>
                <c:pt idx="255">
                  <c:v>0.69841269841269837</c:v>
                </c:pt>
                <c:pt idx="256">
                  <c:v>0.73913043478260865</c:v>
                </c:pt>
                <c:pt idx="257">
                  <c:v>0.7</c:v>
                </c:pt>
                <c:pt idx="258">
                  <c:v>0.7</c:v>
                </c:pt>
                <c:pt idx="259">
                  <c:v>0.69841269841269837</c:v>
                </c:pt>
                <c:pt idx="260">
                  <c:v>0.71186440677966101</c:v>
                </c:pt>
                <c:pt idx="261">
                  <c:v>0.71186440677966101</c:v>
                </c:pt>
                <c:pt idx="262">
                  <c:v>0.68181818181818177</c:v>
                </c:pt>
                <c:pt idx="263">
                  <c:v>0.75757575757575757</c:v>
                </c:pt>
                <c:pt idx="264">
                  <c:v>0.71875</c:v>
                </c:pt>
                <c:pt idx="265">
                  <c:v>0.73770491803278693</c:v>
                </c:pt>
                <c:pt idx="266">
                  <c:v>0.68333333333333335</c:v>
                </c:pt>
                <c:pt idx="267">
                  <c:v>0.7142857142857143</c:v>
                </c:pt>
                <c:pt idx="268">
                  <c:v>0.68965517241379315</c:v>
                </c:pt>
                <c:pt idx="269">
                  <c:v>0.69354838709677424</c:v>
                </c:pt>
                <c:pt idx="270">
                  <c:v>0.69230769230769229</c:v>
                </c:pt>
                <c:pt idx="271">
                  <c:v>0.72580645161290325</c:v>
                </c:pt>
                <c:pt idx="272">
                  <c:v>0.71186440677966101</c:v>
                </c:pt>
                <c:pt idx="273">
                  <c:v>0.76271186440677963</c:v>
                </c:pt>
                <c:pt idx="274">
                  <c:v>0.67213114754098358</c:v>
                </c:pt>
                <c:pt idx="275">
                  <c:v>0.69696969696969702</c:v>
                </c:pt>
                <c:pt idx="276">
                  <c:v>0.73333333333333328</c:v>
                </c:pt>
                <c:pt idx="277">
                  <c:v>0.73015873015873012</c:v>
                </c:pt>
                <c:pt idx="278">
                  <c:v>0.77777777777777779</c:v>
                </c:pt>
                <c:pt idx="279">
                  <c:v>0.78688524590163933</c:v>
                </c:pt>
                <c:pt idx="280">
                  <c:v>0.75409836065573765</c:v>
                </c:pt>
                <c:pt idx="281">
                  <c:v>0.73770491803278693</c:v>
                </c:pt>
                <c:pt idx="282">
                  <c:v>0.73333333333333328</c:v>
                </c:pt>
                <c:pt idx="283">
                  <c:v>0.68656716417910446</c:v>
                </c:pt>
                <c:pt idx="284">
                  <c:v>0.69117647058823528</c:v>
                </c:pt>
                <c:pt idx="285">
                  <c:v>0.71875</c:v>
                </c:pt>
                <c:pt idx="286">
                  <c:v>0.66666666666666663</c:v>
                </c:pt>
                <c:pt idx="287">
                  <c:v>0.65573770491803274</c:v>
                </c:pt>
                <c:pt idx="288">
                  <c:v>0.67647058823529416</c:v>
                </c:pt>
                <c:pt idx="289">
                  <c:v>0.71212121212121215</c:v>
                </c:pt>
                <c:pt idx="290">
                  <c:v>0.73770491803278693</c:v>
                </c:pt>
                <c:pt idx="291">
                  <c:v>0.70491803278688525</c:v>
                </c:pt>
                <c:pt idx="292">
                  <c:v>0.74242424242424243</c:v>
                </c:pt>
                <c:pt idx="293">
                  <c:v>0.73913043478260865</c:v>
                </c:pt>
                <c:pt idx="294">
                  <c:v>0.71232876712328763</c:v>
                </c:pt>
                <c:pt idx="295">
                  <c:v>0.65714285714285714</c:v>
                </c:pt>
                <c:pt idx="296">
                  <c:v>0.65217391304347827</c:v>
                </c:pt>
                <c:pt idx="297">
                  <c:v>0.65151515151515149</c:v>
                </c:pt>
                <c:pt idx="298">
                  <c:v>0.6901408450704225</c:v>
                </c:pt>
                <c:pt idx="299">
                  <c:v>0.69565217391304346</c:v>
                </c:pt>
                <c:pt idx="300">
                  <c:v>0.67692307692307696</c:v>
                </c:pt>
                <c:pt idx="301">
                  <c:v>0.71186440677966101</c:v>
                </c:pt>
                <c:pt idx="302">
                  <c:v>0.63492063492063489</c:v>
                </c:pt>
                <c:pt idx="303">
                  <c:v>0.7</c:v>
                </c:pt>
                <c:pt idx="304">
                  <c:v>0.69354838709677424</c:v>
                </c:pt>
                <c:pt idx="305">
                  <c:v>0.70769230769230773</c:v>
                </c:pt>
                <c:pt idx="306">
                  <c:v>0.734375</c:v>
                </c:pt>
                <c:pt idx="307">
                  <c:v>0.74626865671641796</c:v>
                </c:pt>
                <c:pt idx="308">
                  <c:v>0.7846153846153846</c:v>
                </c:pt>
                <c:pt idx="309">
                  <c:v>0.73333333333333328</c:v>
                </c:pt>
                <c:pt idx="310">
                  <c:v>0.67241379310344829</c:v>
                </c:pt>
                <c:pt idx="311">
                  <c:v>0.7</c:v>
                </c:pt>
                <c:pt idx="312">
                  <c:v>0.65573770491803274</c:v>
                </c:pt>
                <c:pt idx="313">
                  <c:v>0.68253968253968256</c:v>
                </c:pt>
                <c:pt idx="314">
                  <c:v>0.70149253731343286</c:v>
                </c:pt>
                <c:pt idx="315">
                  <c:v>0.70769230769230773</c:v>
                </c:pt>
                <c:pt idx="316">
                  <c:v>0.703125</c:v>
                </c:pt>
                <c:pt idx="317">
                  <c:v>0.81034482758620685</c:v>
                </c:pt>
                <c:pt idx="318">
                  <c:v>0.7142857142857143</c:v>
                </c:pt>
                <c:pt idx="319">
                  <c:v>0.734375</c:v>
                </c:pt>
                <c:pt idx="320">
                  <c:v>0.69565217391304346</c:v>
                </c:pt>
                <c:pt idx="321">
                  <c:v>0.734375</c:v>
                </c:pt>
                <c:pt idx="322">
                  <c:v>0.72413793103448276</c:v>
                </c:pt>
                <c:pt idx="323">
                  <c:v>0.77777777777777779</c:v>
                </c:pt>
                <c:pt idx="324">
                  <c:v>0.69117647058823528</c:v>
                </c:pt>
                <c:pt idx="325">
                  <c:v>0.69444444444444442</c:v>
                </c:pt>
                <c:pt idx="326">
                  <c:v>0.69565217391304346</c:v>
                </c:pt>
                <c:pt idx="327">
                  <c:v>0.7384615384615385</c:v>
                </c:pt>
                <c:pt idx="328">
                  <c:v>0.74137931034482762</c:v>
                </c:pt>
                <c:pt idx="329">
                  <c:v>0.7192982456140351</c:v>
                </c:pt>
                <c:pt idx="330">
                  <c:v>0.72131147540983609</c:v>
                </c:pt>
                <c:pt idx="331">
                  <c:v>0.7321428571428571</c:v>
                </c:pt>
                <c:pt idx="332">
                  <c:v>0.68181818181818177</c:v>
                </c:pt>
                <c:pt idx="333">
                  <c:v>0.71212121212121215</c:v>
                </c:pt>
                <c:pt idx="334">
                  <c:v>0.72881355932203384</c:v>
                </c:pt>
                <c:pt idx="335">
                  <c:v>0.7142857142857143</c:v>
                </c:pt>
                <c:pt idx="336">
                  <c:v>0.75757575757575757</c:v>
                </c:pt>
                <c:pt idx="337">
                  <c:v>0.73134328358208955</c:v>
                </c:pt>
                <c:pt idx="338">
                  <c:v>0.73333333333333328</c:v>
                </c:pt>
                <c:pt idx="339">
                  <c:v>0.74193548387096775</c:v>
                </c:pt>
                <c:pt idx="340">
                  <c:v>0.6875</c:v>
                </c:pt>
                <c:pt idx="341">
                  <c:v>0.69230769230769229</c:v>
                </c:pt>
                <c:pt idx="342">
                  <c:v>0.70491803278688525</c:v>
                </c:pt>
                <c:pt idx="343">
                  <c:v>0.72580645161290325</c:v>
                </c:pt>
                <c:pt idx="344">
                  <c:v>0.72580645161290325</c:v>
                </c:pt>
                <c:pt idx="345">
                  <c:v>0.73770491803278693</c:v>
                </c:pt>
                <c:pt idx="346">
                  <c:v>0.67213114754098358</c:v>
                </c:pt>
                <c:pt idx="347">
                  <c:v>0.676056338028169</c:v>
                </c:pt>
                <c:pt idx="348">
                  <c:v>0.7142857142857143</c:v>
                </c:pt>
                <c:pt idx="349">
                  <c:v>0.68181818181818177</c:v>
                </c:pt>
                <c:pt idx="350">
                  <c:v>0.7384615384615385</c:v>
                </c:pt>
                <c:pt idx="351">
                  <c:v>0.67164179104477617</c:v>
                </c:pt>
                <c:pt idx="352">
                  <c:v>0.71641791044776115</c:v>
                </c:pt>
                <c:pt idx="353">
                  <c:v>0.65753424657534243</c:v>
                </c:pt>
                <c:pt idx="354">
                  <c:v>0.66666666666666663</c:v>
                </c:pt>
                <c:pt idx="355">
                  <c:v>0.67164179104477617</c:v>
                </c:pt>
                <c:pt idx="356">
                  <c:v>0.77586206896551724</c:v>
                </c:pt>
                <c:pt idx="357">
                  <c:v>0.72881355932203384</c:v>
                </c:pt>
                <c:pt idx="358">
                  <c:v>0.69230769230769229</c:v>
                </c:pt>
                <c:pt idx="359">
                  <c:v>0.67692307692307696</c:v>
                </c:pt>
                <c:pt idx="360">
                  <c:v>0.74242424242424243</c:v>
                </c:pt>
                <c:pt idx="361">
                  <c:v>0.76190476190476186</c:v>
                </c:pt>
                <c:pt idx="362">
                  <c:v>0.703125</c:v>
                </c:pt>
                <c:pt idx="363">
                  <c:v>0.65625</c:v>
                </c:pt>
                <c:pt idx="364">
                  <c:v>0.7142857142857143</c:v>
                </c:pt>
                <c:pt idx="365">
                  <c:v>0.75862068965517238</c:v>
                </c:pt>
                <c:pt idx="366">
                  <c:v>0.78688524590163933</c:v>
                </c:pt>
                <c:pt idx="367">
                  <c:v>0.765625</c:v>
                </c:pt>
                <c:pt idx="368">
                  <c:v>0.70149253731343286</c:v>
                </c:pt>
                <c:pt idx="369">
                  <c:v>0.73529411764705888</c:v>
                </c:pt>
                <c:pt idx="370">
                  <c:v>0.72857142857142854</c:v>
                </c:pt>
                <c:pt idx="371">
                  <c:v>0.69696969696969702</c:v>
                </c:pt>
                <c:pt idx="372">
                  <c:v>0.7384615384615385</c:v>
                </c:pt>
                <c:pt idx="373">
                  <c:v>0.676056338028169</c:v>
                </c:pt>
                <c:pt idx="374">
                  <c:v>0.71666666666666667</c:v>
                </c:pt>
                <c:pt idx="375">
                  <c:v>0.67241379310344829</c:v>
                </c:pt>
                <c:pt idx="376">
                  <c:v>0.7678571428571429</c:v>
                </c:pt>
                <c:pt idx="377">
                  <c:v>0.73333333333333328</c:v>
                </c:pt>
                <c:pt idx="378">
                  <c:v>0.73770491803278693</c:v>
                </c:pt>
                <c:pt idx="379">
                  <c:v>0.75438596491228072</c:v>
                </c:pt>
                <c:pt idx="380">
                  <c:v>0.76666666666666672</c:v>
                </c:pt>
                <c:pt idx="381">
                  <c:v>0.79032258064516125</c:v>
                </c:pt>
                <c:pt idx="382">
                  <c:v>0.7384615384615385</c:v>
                </c:pt>
                <c:pt idx="383">
                  <c:v>0.703125</c:v>
                </c:pt>
                <c:pt idx="384">
                  <c:v>0.73015873015873012</c:v>
                </c:pt>
                <c:pt idx="385">
                  <c:v>0.71186440677966101</c:v>
                </c:pt>
                <c:pt idx="386">
                  <c:v>0.68181818181818177</c:v>
                </c:pt>
                <c:pt idx="387">
                  <c:v>0.76190476190476186</c:v>
                </c:pt>
                <c:pt idx="388">
                  <c:v>0.70588235294117652</c:v>
                </c:pt>
                <c:pt idx="389">
                  <c:v>0.76119402985074625</c:v>
                </c:pt>
                <c:pt idx="390">
                  <c:v>0.7142857142857143</c:v>
                </c:pt>
                <c:pt idx="391">
                  <c:v>0.66666666666666663</c:v>
                </c:pt>
                <c:pt idx="392">
                  <c:v>0.6619718309859155</c:v>
                </c:pt>
                <c:pt idx="393">
                  <c:v>0.66666666666666663</c:v>
                </c:pt>
                <c:pt idx="394">
                  <c:v>0.73015873015873012</c:v>
                </c:pt>
                <c:pt idx="395">
                  <c:v>0.77586206896551724</c:v>
                </c:pt>
                <c:pt idx="396">
                  <c:v>0.7068965517241379</c:v>
                </c:pt>
                <c:pt idx="397">
                  <c:v>0.64912280701754388</c:v>
                </c:pt>
                <c:pt idx="398">
                  <c:v>0.63492063492063489</c:v>
                </c:pt>
                <c:pt idx="399">
                  <c:v>0.625</c:v>
                </c:pt>
                <c:pt idx="400">
                  <c:v>0.69117647058823528</c:v>
                </c:pt>
                <c:pt idx="401">
                  <c:v>0.73913043478260865</c:v>
                </c:pt>
                <c:pt idx="402">
                  <c:v>0.69230769230769229</c:v>
                </c:pt>
                <c:pt idx="403">
                  <c:v>0.72580645161290325</c:v>
                </c:pt>
                <c:pt idx="404">
                  <c:v>0.74576271186440679</c:v>
                </c:pt>
                <c:pt idx="405">
                  <c:v>0.77586206896551724</c:v>
                </c:pt>
                <c:pt idx="406">
                  <c:v>0.67692307692307696</c:v>
                </c:pt>
                <c:pt idx="407">
                  <c:v>0.70769230769230773</c:v>
                </c:pt>
                <c:pt idx="408">
                  <c:v>0.69696969696969702</c:v>
                </c:pt>
                <c:pt idx="409">
                  <c:v>0.61764705882352944</c:v>
                </c:pt>
                <c:pt idx="410">
                  <c:v>0.6428571428571429</c:v>
                </c:pt>
                <c:pt idx="411">
                  <c:v>0.61971830985915488</c:v>
                </c:pt>
                <c:pt idx="412">
                  <c:v>0.64473684210526316</c:v>
                </c:pt>
                <c:pt idx="413">
                  <c:v>0.67142857142857137</c:v>
                </c:pt>
                <c:pt idx="414">
                  <c:v>0.703125</c:v>
                </c:pt>
                <c:pt idx="415">
                  <c:v>0.72580645161290325</c:v>
                </c:pt>
                <c:pt idx="416">
                  <c:v>0.68965517241379315</c:v>
                </c:pt>
                <c:pt idx="417">
                  <c:v>0.7</c:v>
                </c:pt>
                <c:pt idx="418">
                  <c:v>0.69230769230769229</c:v>
                </c:pt>
                <c:pt idx="419">
                  <c:v>0.65625</c:v>
                </c:pt>
                <c:pt idx="420">
                  <c:v>0.70769230769230773</c:v>
                </c:pt>
                <c:pt idx="421">
                  <c:v>0.71666666666666667</c:v>
                </c:pt>
                <c:pt idx="422">
                  <c:v>0.6470588235294118</c:v>
                </c:pt>
                <c:pt idx="423">
                  <c:v>0.71212121212121215</c:v>
                </c:pt>
                <c:pt idx="424">
                  <c:v>0.70491803278688525</c:v>
                </c:pt>
                <c:pt idx="425">
                  <c:v>0.76666666666666672</c:v>
                </c:pt>
                <c:pt idx="426">
                  <c:v>0.78688524590163933</c:v>
                </c:pt>
                <c:pt idx="427">
                  <c:v>0.77611940298507465</c:v>
                </c:pt>
                <c:pt idx="428">
                  <c:v>0.72727272727272729</c:v>
                </c:pt>
                <c:pt idx="429">
                  <c:v>0.765625</c:v>
                </c:pt>
                <c:pt idx="430">
                  <c:v>0.76271186440677963</c:v>
                </c:pt>
                <c:pt idx="431">
                  <c:v>0.69230769230769229</c:v>
                </c:pt>
                <c:pt idx="432">
                  <c:v>0.6901408450704225</c:v>
                </c:pt>
                <c:pt idx="433">
                  <c:v>0.68571428571428572</c:v>
                </c:pt>
                <c:pt idx="434">
                  <c:v>0.72307692307692306</c:v>
                </c:pt>
                <c:pt idx="435">
                  <c:v>0.70967741935483875</c:v>
                </c:pt>
                <c:pt idx="436">
                  <c:v>0.75</c:v>
                </c:pt>
                <c:pt idx="437">
                  <c:v>0.61971830985915488</c:v>
                </c:pt>
                <c:pt idx="438">
                  <c:v>0.67567567567567566</c:v>
                </c:pt>
                <c:pt idx="439">
                  <c:v>0.65789473684210531</c:v>
                </c:pt>
                <c:pt idx="440">
                  <c:v>0.67567567567567566</c:v>
                </c:pt>
                <c:pt idx="441">
                  <c:v>0.676056338028169</c:v>
                </c:pt>
                <c:pt idx="442">
                  <c:v>0.73134328358208955</c:v>
                </c:pt>
                <c:pt idx="443">
                  <c:v>0.72580645161290325</c:v>
                </c:pt>
                <c:pt idx="444">
                  <c:v>0.78260869565217395</c:v>
                </c:pt>
                <c:pt idx="445">
                  <c:v>0.74647887323943662</c:v>
                </c:pt>
                <c:pt idx="446">
                  <c:v>0.72222222222222221</c:v>
                </c:pt>
                <c:pt idx="447">
                  <c:v>0.75</c:v>
                </c:pt>
                <c:pt idx="448">
                  <c:v>0.73684210526315785</c:v>
                </c:pt>
                <c:pt idx="449">
                  <c:v>0.75</c:v>
                </c:pt>
                <c:pt idx="450">
                  <c:v>0.73134328358208955</c:v>
                </c:pt>
                <c:pt idx="451">
                  <c:v>0.69841269841269837</c:v>
                </c:pt>
                <c:pt idx="452">
                  <c:v>0.66176470588235292</c:v>
                </c:pt>
                <c:pt idx="453">
                  <c:v>0.68181818181818177</c:v>
                </c:pt>
                <c:pt idx="454">
                  <c:v>0.69230769230769229</c:v>
                </c:pt>
                <c:pt idx="455">
                  <c:v>0.70769230769230773</c:v>
                </c:pt>
                <c:pt idx="456">
                  <c:v>0.72307692307692306</c:v>
                </c:pt>
                <c:pt idx="457">
                  <c:v>0.65714285714285714</c:v>
                </c:pt>
                <c:pt idx="458">
                  <c:v>0.66666666666666663</c:v>
                </c:pt>
                <c:pt idx="459">
                  <c:v>0.7</c:v>
                </c:pt>
                <c:pt idx="460">
                  <c:v>0.71641791044776115</c:v>
                </c:pt>
                <c:pt idx="461">
                  <c:v>0.69696969696969702</c:v>
                </c:pt>
                <c:pt idx="462">
                  <c:v>0.72727272727272729</c:v>
                </c:pt>
                <c:pt idx="463">
                  <c:v>0.71014492753623193</c:v>
                </c:pt>
                <c:pt idx="464">
                  <c:v>0.734375</c:v>
                </c:pt>
                <c:pt idx="465">
                  <c:v>0.75</c:v>
                </c:pt>
                <c:pt idx="466">
                  <c:v>0.77966101694915257</c:v>
                </c:pt>
                <c:pt idx="467">
                  <c:v>0.65079365079365081</c:v>
                </c:pt>
                <c:pt idx="468">
                  <c:v>0.6428571428571429</c:v>
                </c:pt>
                <c:pt idx="469">
                  <c:v>0.6901408450704225</c:v>
                </c:pt>
                <c:pt idx="470">
                  <c:v>0.68253968253968256</c:v>
                </c:pt>
                <c:pt idx="471">
                  <c:v>0.66666666666666663</c:v>
                </c:pt>
                <c:pt idx="472">
                  <c:v>0.61428571428571432</c:v>
                </c:pt>
                <c:pt idx="473">
                  <c:v>0.6376811594202898</c:v>
                </c:pt>
                <c:pt idx="474">
                  <c:v>0.6875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41-474C-AF79-D987EABE440C}"/>
            </c:ext>
          </c:extLst>
        </c:ser>
        <c:ser>
          <c:idx val="1"/>
          <c:order val="1"/>
          <c:tx>
            <c:strRef>
              <c:f>ASSETS!$E$18</c:f>
              <c:strCache>
                <c:ptCount val="1"/>
                <c:pt idx="0">
                  <c:v> Precision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ASSETS!$C$19:$C$493</c:f>
              <c:numCache>
                <c:formatCode>_-* #,##0_-;\-* #,##0_-;_-* "-"??_-;_-@_-</c:formatCode>
                <c:ptCount val="4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</c:numCache>
            </c:numRef>
          </c:cat>
          <c:val>
            <c:numRef>
              <c:f>ASSETS!$E$19:$E$493</c:f>
              <c:numCache>
                <c:formatCode>_(* #,##0.00_);_(* \(#,##0.00\);_(* "-"??_);_(@_)</c:formatCode>
                <c:ptCount val="475"/>
                <c:pt idx="0">
                  <c:v>0.89333333333333342</c:v>
                </c:pt>
                <c:pt idx="1">
                  <c:v>0.90384615384615397</c:v>
                </c:pt>
                <c:pt idx="2">
                  <c:v>0.91461538461538461</c:v>
                </c:pt>
                <c:pt idx="3">
                  <c:v>0.91384615384615386</c:v>
                </c:pt>
                <c:pt idx="4">
                  <c:v>0.91153846153846163</c:v>
                </c:pt>
                <c:pt idx="5">
                  <c:v>0.91062500000000013</c:v>
                </c:pt>
                <c:pt idx="6">
                  <c:v>0.916190476190476</c:v>
                </c:pt>
                <c:pt idx="7">
                  <c:v>0.80833333333333324</c:v>
                </c:pt>
                <c:pt idx="8">
                  <c:v>0.85769230769230753</c:v>
                </c:pt>
                <c:pt idx="9">
                  <c:v>0.86241379310344812</c:v>
                </c:pt>
                <c:pt idx="10">
                  <c:v>0.86517241379310317</c:v>
                </c:pt>
                <c:pt idx="11">
                  <c:v>0.89296296296296296</c:v>
                </c:pt>
                <c:pt idx="12">
                  <c:v>0.92680000000000007</c:v>
                </c:pt>
                <c:pt idx="13">
                  <c:v>0.92119999999999991</c:v>
                </c:pt>
                <c:pt idx="14">
                  <c:v>0.86314285714285699</c:v>
                </c:pt>
                <c:pt idx="15">
                  <c:v>0.86806451612903202</c:v>
                </c:pt>
                <c:pt idx="16">
                  <c:v>0.87166666666666659</c:v>
                </c:pt>
                <c:pt idx="17">
                  <c:v>0.86392857142857127</c:v>
                </c:pt>
                <c:pt idx="18">
                  <c:v>0.85999999999999988</c:v>
                </c:pt>
                <c:pt idx="19">
                  <c:v>0.88791666666666647</c:v>
                </c:pt>
                <c:pt idx="20">
                  <c:v>0.89038461538461522</c:v>
                </c:pt>
                <c:pt idx="21">
                  <c:v>0.866206896551724</c:v>
                </c:pt>
                <c:pt idx="22">
                  <c:v>0.89892857142857152</c:v>
                </c:pt>
                <c:pt idx="23">
                  <c:v>0.85999999999999988</c:v>
                </c:pt>
                <c:pt idx="24">
                  <c:v>0.8524242424242422</c:v>
                </c:pt>
                <c:pt idx="25">
                  <c:v>0.84142857142857164</c:v>
                </c:pt>
                <c:pt idx="26">
                  <c:v>0.84870967741935466</c:v>
                </c:pt>
                <c:pt idx="27">
                  <c:v>0.88130434782608691</c:v>
                </c:pt>
                <c:pt idx="28">
                  <c:v>0.86033333333333306</c:v>
                </c:pt>
                <c:pt idx="29">
                  <c:v>0.85499999999999976</c:v>
                </c:pt>
                <c:pt idx="30">
                  <c:v>0.8330303030303029</c:v>
                </c:pt>
                <c:pt idx="31">
                  <c:v>0.86483870967741905</c:v>
                </c:pt>
                <c:pt idx="32">
                  <c:v>0.86666666666666636</c:v>
                </c:pt>
                <c:pt idx="33">
                  <c:v>0.86529411764705855</c:v>
                </c:pt>
                <c:pt idx="34">
                  <c:v>0.85923076923076913</c:v>
                </c:pt>
                <c:pt idx="35">
                  <c:v>0.85090909090909073</c:v>
                </c:pt>
                <c:pt idx="36">
                  <c:v>0.85312499999999991</c:v>
                </c:pt>
                <c:pt idx="37">
                  <c:v>0.86031249999999981</c:v>
                </c:pt>
                <c:pt idx="38">
                  <c:v>0.86482758620689637</c:v>
                </c:pt>
                <c:pt idx="39">
                  <c:v>0.86357142857142843</c:v>
                </c:pt>
                <c:pt idx="40">
                  <c:v>0.86535714285714271</c:v>
                </c:pt>
                <c:pt idx="41">
                  <c:v>0.83035714285714268</c:v>
                </c:pt>
                <c:pt idx="42">
                  <c:v>0.86517241379310328</c:v>
                </c:pt>
                <c:pt idx="43">
                  <c:v>0.83718749999999986</c:v>
                </c:pt>
                <c:pt idx="44">
                  <c:v>0.83843749999999995</c:v>
                </c:pt>
                <c:pt idx="45">
                  <c:v>0.83566666666666667</c:v>
                </c:pt>
                <c:pt idx="46">
                  <c:v>0.86749999999999983</c:v>
                </c:pt>
                <c:pt idx="47">
                  <c:v>0.86269230769230765</c:v>
                </c:pt>
                <c:pt idx="48">
                  <c:v>0.84033333333333315</c:v>
                </c:pt>
                <c:pt idx="49">
                  <c:v>0.86666666666666659</c:v>
                </c:pt>
                <c:pt idx="50">
                  <c:v>0.83482758620689634</c:v>
                </c:pt>
                <c:pt idx="51">
                  <c:v>0.88919999999999977</c:v>
                </c:pt>
                <c:pt idx="52">
                  <c:v>0.86413793103448266</c:v>
                </c:pt>
                <c:pt idx="53">
                  <c:v>0.86</c:v>
                </c:pt>
                <c:pt idx="54">
                  <c:v>0.85939393939393904</c:v>
                </c:pt>
                <c:pt idx="55">
                  <c:v>0.86424242424242437</c:v>
                </c:pt>
                <c:pt idx="56">
                  <c:v>0.87225806451612897</c:v>
                </c:pt>
                <c:pt idx="57">
                  <c:v>0.86517241379310361</c:v>
                </c:pt>
                <c:pt idx="58">
                  <c:v>0.88583333333333325</c:v>
                </c:pt>
                <c:pt idx="59">
                  <c:v>0.8528</c:v>
                </c:pt>
                <c:pt idx="60">
                  <c:v>0.88333333333333341</c:v>
                </c:pt>
                <c:pt idx="61">
                  <c:v>0.89307692307692288</c:v>
                </c:pt>
                <c:pt idx="62">
                  <c:v>0.89444444444444438</c:v>
                </c:pt>
                <c:pt idx="63">
                  <c:v>0.8899999999999999</c:v>
                </c:pt>
                <c:pt idx="64">
                  <c:v>0.89551724137931021</c:v>
                </c:pt>
                <c:pt idx="65">
                  <c:v>0.89571428571428535</c:v>
                </c:pt>
                <c:pt idx="66">
                  <c:v>0.87066666666666648</c:v>
                </c:pt>
                <c:pt idx="67">
                  <c:v>0.86363636363636342</c:v>
                </c:pt>
                <c:pt idx="68">
                  <c:v>0.86515151515151489</c:v>
                </c:pt>
                <c:pt idx="69">
                  <c:v>0.86062499999999997</c:v>
                </c:pt>
                <c:pt idx="70">
                  <c:v>0.86399999999999977</c:v>
                </c:pt>
                <c:pt idx="71">
                  <c:v>0.8703333333333334</c:v>
                </c:pt>
                <c:pt idx="72">
                  <c:v>0.87354838709677407</c:v>
                </c:pt>
                <c:pt idx="73">
                  <c:v>0.84843750000000007</c:v>
                </c:pt>
                <c:pt idx="74">
                  <c:v>0.85257142857142854</c:v>
                </c:pt>
                <c:pt idx="75">
                  <c:v>0.89499999999999991</c:v>
                </c:pt>
                <c:pt idx="76">
                  <c:v>0.88879999999999992</c:v>
                </c:pt>
                <c:pt idx="77">
                  <c:v>0.89222222222222225</c:v>
                </c:pt>
                <c:pt idx="78">
                  <c:v>0.89461538461538437</c:v>
                </c:pt>
                <c:pt idx="79">
                  <c:v>0.89666666666666628</c:v>
                </c:pt>
                <c:pt idx="80">
                  <c:v>0.86678571428571405</c:v>
                </c:pt>
                <c:pt idx="81">
                  <c:v>0.86793103448275843</c:v>
                </c:pt>
                <c:pt idx="82">
                  <c:v>0.86535714285714271</c:v>
                </c:pt>
                <c:pt idx="83">
                  <c:v>0.86107142857142827</c:v>
                </c:pt>
                <c:pt idx="84">
                  <c:v>0.85499999999999976</c:v>
                </c:pt>
                <c:pt idx="85">
                  <c:v>0.88043478260869545</c:v>
                </c:pt>
                <c:pt idx="86">
                  <c:v>0.84583333333333321</c:v>
                </c:pt>
                <c:pt idx="87">
                  <c:v>0.88458333333333317</c:v>
                </c:pt>
                <c:pt idx="88">
                  <c:v>0.85538461538461541</c:v>
                </c:pt>
                <c:pt idx="89">
                  <c:v>0.8919999999999999</c:v>
                </c:pt>
                <c:pt idx="90">
                  <c:v>0.87096774193548376</c:v>
                </c:pt>
                <c:pt idx="91">
                  <c:v>0.89857142857142858</c:v>
                </c:pt>
                <c:pt idx="92">
                  <c:v>0.89192307692307682</c:v>
                </c:pt>
                <c:pt idx="93">
                  <c:v>0.85366666666666657</c:v>
                </c:pt>
                <c:pt idx="94">
                  <c:v>0.82</c:v>
                </c:pt>
                <c:pt idx="95">
                  <c:v>0.84689655172413769</c:v>
                </c:pt>
                <c:pt idx="96">
                  <c:v>0.85548387096774192</c:v>
                </c:pt>
                <c:pt idx="97">
                  <c:v>0.86515151515151512</c:v>
                </c:pt>
                <c:pt idx="98">
                  <c:v>0.87156250000000002</c:v>
                </c:pt>
                <c:pt idx="99">
                  <c:v>0.84468749999999992</c:v>
                </c:pt>
                <c:pt idx="100">
                  <c:v>0.87249999999999994</c:v>
                </c:pt>
                <c:pt idx="101">
                  <c:v>0.87187499999999984</c:v>
                </c:pt>
                <c:pt idx="102">
                  <c:v>0.8655172413793103</c:v>
                </c:pt>
                <c:pt idx="103">
                  <c:v>0.87066666666666648</c:v>
                </c:pt>
                <c:pt idx="104">
                  <c:v>0.87233333333333329</c:v>
                </c:pt>
                <c:pt idx="105">
                  <c:v>0.87366666666666648</c:v>
                </c:pt>
                <c:pt idx="106">
                  <c:v>0.87374999999999992</c:v>
                </c:pt>
                <c:pt idx="107">
                  <c:v>0.86249999999999982</c:v>
                </c:pt>
                <c:pt idx="108">
                  <c:v>0.8588888888888887</c:v>
                </c:pt>
                <c:pt idx="109">
                  <c:v>0.85799999999999998</c:v>
                </c:pt>
                <c:pt idx="110">
                  <c:v>0.85799999999999976</c:v>
                </c:pt>
                <c:pt idx="111">
                  <c:v>0.86242424242424232</c:v>
                </c:pt>
                <c:pt idx="112">
                  <c:v>0.86285714285714255</c:v>
                </c:pt>
                <c:pt idx="113">
                  <c:v>0.869705882352941</c:v>
                </c:pt>
                <c:pt idx="114">
                  <c:v>0.89678571428571396</c:v>
                </c:pt>
                <c:pt idx="115">
                  <c:v>0.88692307692307704</c:v>
                </c:pt>
                <c:pt idx="116">
                  <c:v>0.85384615384615381</c:v>
                </c:pt>
                <c:pt idx="117">
                  <c:v>0.88884615384615395</c:v>
                </c:pt>
                <c:pt idx="118">
                  <c:v>0.85692307692307679</c:v>
                </c:pt>
                <c:pt idx="119">
                  <c:v>0.86424242424242403</c:v>
                </c:pt>
                <c:pt idx="120">
                  <c:v>0.86205882352941154</c:v>
                </c:pt>
                <c:pt idx="121">
                  <c:v>0.86111111111111072</c:v>
                </c:pt>
                <c:pt idx="122">
                  <c:v>0.86482758620689648</c:v>
                </c:pt>
                <c:pt idx="123">
                  <c:v>0.85636363636363633</c:v>
                </c:pt>
                <c:pt idx="124">
                  <c:v>0.88454545454545441</c:v>
                </c:pt>
                <c:pt idx="125">
                  <c:v>0.85322580645161261</c:v>
                </c:pt>
                <c:pt idx="126">
                  <c:v>0.8117142857142855</c:v>
                </c:pt>
                <c:pt idx="127">
                  <c:v>0.85851851851851846</c:v>
                </c:pt>
                <c:pt idx="128">
                  <c:v>0.86657142857142833</c:v>
                </c:pt>
                <c:pt idx="129">
                  <c:v>0.87142857142857133</c:v>
                </c:pt>
                <c:pt idx="130">
                  <c:v>0.86944444444444446</c:v>
                </c:pt>
                <c:pt idx="131">
                  <c:v>0.88848484848484854</c:v>
                </c:pt>
                <c:pt idx="132">
                  <c:v>0.89307692307692321</c:v>
                </c:pt>
                <c:pt idx="133">
                  <c:v>0.89714285714285702</c:v>
                </c:pt>
                <c:pt idx="134">
                  <c:v>0.87225806451612886</c:v>
                </c:pt>
                <c:pt idx="135">
                  <c:v>0.89838709677419359</c:v>
                </c:pt>
                <c:pt idx="136">
                  <c:v>0.87312499999999971</c:v>
                </c:pt>
                <c:pt idx="137">
                  <c:v>0.89259259259259227</c:v>
                </c:pt>
                <c:pt idx="138">
                  <c:v>0.86111111111111094</c:v>
                </c:pt>
                <c:pt idx="139">
                  <c:v>0.88958333333333306</c:v>
                </c:pt>
                <c:pt idx="140">
                  <c:v>0.86303030303030281</c:v>
                </c:pt>
                <c:pt idx="141">
                  <c:v>0.86942857142857122</c:v>
                </c:pt>
                <c:pt idx="142">
                  <c:v>0.86999999999999977</c:v>
                </c:pt>
                <c:pt idx="143">
                  <c:v>0.84829268292682913</c:v>
                </c:pt>
                <c:pt idx="144">
                  <c:v>0.82351351351351343</c:v>
                </c:pt>
                <c:pt idx="145">
                  <c:v>0.80323529411764694</c:v>
                </c:pt>
                <c:pt idx="146">
                  <c:v>0.82838709677419342</c:v>
                </c:pt>
                <c:pt idx="147">
                  <c:v>0.85233333333333294</c:v>
                </c:pt>
                <c:pt idx="148">
                  <c:v>0.86705882352941166</c:v>
                </c:pt>
                <c:pt idx="149">
                  <c:v>0.82842105263157884</c:v>
                </c:pt>
                <c:pt idx="150">
                  <c:v>0.83128205128205113</c:v>
                </c:pt>
                <c:pt idx="151">
                  <c:v>0.87096774193548376</c:v>
                </c:pt>
                <c:pt idx="152">
                  <c:v>0.86965517241379298</c:v>
                </c:pt>
                <c:pt idx="153">
                  <c:v>0.86724137931034495</c:v>
                </c:pt>
                <c:pt idx="154">
                  <c:v>0.87161290322580642</c:v>
                </c:pt>
                <c:pt idx="155">
                  <c:v>0.87290322580645141</c:v>
                </c:pt>
                <c:pt idx="156">
                  <c:v>0.87499999999999989</c:v>
                </c:pt>
                <c:pt idx="157">
                  <c:v>0.87874999999999981</c:v>
                </c:pt>
                <c:pt idx="158">
                  <c:v>0.87757575757575745</c:v>
                </c:pt>
                <c:pt idx="159">
                  <c:v>0.8650000000000001</c:v>
                </c:pt>
                <c:pt idx="160">
                  <c:v>0.88</c:v>
                </c:pt>
                <c:pt idx="161">
                  <c:v>0.84843749999999984</c:v>
                </c:pt>
                <c:pt idx="162">
                  <c:v>0.8600000000000001</c:v>
                </c:pt>
                <c:pt idx="163">
                  <c:v>0.84617647058823497</c:v>
                </c:pt>
                <c:pt idx="164">
                  <c:v>0.83558823529411741</c:v>
                </c:pt>
                <c:pt idx="165">
                  <c:v>0.83888888888888868</c:v>
                </c:pt>
                <c:pt idx="166">
                  <c:v>0.8408823529411763</c:v>
                </c:pt>
                <c:pt idx="167">
                  <c:v>0.8194444444444442</c:v>
                </c:pt>
                <c:pt idx="168">
                  <c:v>0.84361111111111109</c:v>
                </c:pt>
                <c:pt idx="169">
                  <c:v>0.84485714285714264</c:v>
                </c:pt>
                <c:pt idx="170">
                  <c:v>0.86971428571428544</c:v>
                </c:pt>
                <c:pt idx="171">
                  <c:v>0.87057142857142844</c:v>
                </c:pt>
                <c:pt idx="172">
                  <c:v>0.86783783783783741</c:v>
                </c:pt>
                <c:pt idx="173">
                  <c:v>0.86899999999999977</c:v>
                </c:pt>
                <c:pt idx="174">
                  <c:v>0.86392857142857127</c:v>
                </c:pt>
                <c:pt idx="175">
                  <c:v>0.86621621621621592</c:v>
                </c:pt>
                <c:pt idx="176">
                  <c:v>0.86305555555555535</c:v>
                </c:pt>
                <c:pt idx="177">
                  <c:v>0.8616129032258063</c:v>
                </c:pt>
                <c:pt idx="178">
                  <c:v>0.85968749999999994</c:v>
                </c:pt>
                <c:pt idx="179">
                  <c:v>0.82666666666666655</c:v>
                </c:pt>
                <c:pt idx="180">
                  <c:v>0.83382352941176441</c:v>
                </c:pt>
                <c:pt idx="181">
                  <c:v>0.84236842105263132</c:v>
                </c:pt>
                <c:pt idx="182">
                  <c:v>0.89379310344827556</c:v>
                </c:pt>
                <c:pt idx="183">
                  <c:v>0.86266666666666636</c:v>
                </c:pt>
                <c:pt idx="184">
                  <c:v>0.85588235294117621</c:v>
                </c:pt>
                <c:pt idx="185">
                  <c:v>0.85205882352941154</c:v>
                </c:pt>
                <c:pt idx="186">
                  <c:v>0.85161290322580618</c:v>
                </c:pt>
                <c:pt idx="187">
                  <c:v>0.84419354838709648</c:v>
                </c:pt>
                <c:pt idx="188">
                  <c:v>0.85071428571428542</c:v>
                </c:pt>
                <c:pt idx="189">
                  <c:v>0.85241379310344811</c:v>
                </c:pt>
                <c:pt idx="190">
                  <c:v>0.85571428571428554</c:v>
                </c:pt>
                <c:pt idx="191">
                  <c:v>0.86156249999999979</c:v>
                </c:pt>
                <c:pt idx="192">
                  <c:v>0.86030303030303013</c:v>
                </c:pt>
                <c:pt idx="193">
                  <c:v>0.86066666666666669</c:v>
                </c:pt>
                <c:pt idx="194">
                  <c:v>0.86281249999999987</c:v>
                </c:pt>
                <c:pt idx="195">
                  <c:v>0.85483870967741915</c:v>
                </c:pt>
                <c:pt idx="196">
                  <c:v>0.86185185185185187</c:v>
                </c:pt>
                <c:pt idx="197">
                  <c:v>0.83068965517241378</c:v>
                </c:pt>
                <c:pt idx="198">
                  <c:v>0.8665624999999999</c:v>
                </c:pt>
                <c:pt idx="199">
                  <c:v>0.85571428571428565</c:v>
                </c:pt>
                <c:pt idx="200">
                  <c:v>0.86437499999999989</c:v>
                </c:pt>
                <c:pt idx="201">
                  <c:v>0.85781249999999987</c:v>
                </c:pt>
                <c:pt idx="202">
                  <c:v>0.85925925925925928</c:v>
                </c:pt>
                <c:pt idx="203">
                  <c:v>0.85444444444444434</c:v>
                </c:pt>
                <c:pt idx="204">
                  <c:v>0.82592592592592584</c:v>
                </c:pt>
                <c:pt idx="205">
                  <c:v>0.85482758620689625</c:v>
                </c:pt>
                <c:pt idx="206">
                  <c:v>0.89076923076923054</c:v>
                </c:pt>
                <c:pt idx="207">
                  <c:v>0.88608695652173908</c:v>
                </c:pt>
                <c:pt idx="208">
                  <c:v>0.84481481481481491</c:v>
                </c:pt>
                <c:pt idx="209">
                  <c:v>0.83535714285714258</c:v>
                </c:pt>
                <c:pt idx="210">
                  <c:v>0.8407407407407409</c:v>
                </c:pt>
                <c:pt idx="211">
                  <c:v>0.84896551724137925</c:v>
                </c:pt>
                <c:pt idx="212">
                  <c:v>0.85518518518518494</c:v>
                </c:pt>
                <c:pt idx="213">
                  <c:v>0.8538461538461537</c:v>
                </c:pt>
                <c:pt idx="214">
                  <c:v>0.86299999999999977</c:v>
                </c:pt>
                <c:pt idx="215">
                  <c:v>0.86709677419354825</c:v>
                </c:pt>
                <c:pt idx="216">
                  <c:v>0.87187499999999973</c:v>
                </c:pt>
                <c:pt idx="217">
                  <c:v>0.87312499999999982</c:v>
                </c:pt>
                <c:pt idx="218">
                  <c:v>0.83551724137931027</c:v>
                </c:pt>
                <c:pt idx="219">
                  <c:v>0.85843749999999974</c:v>
                </c:pt>
                <c:pt idx="220">
                  <c:v>0.8899999999999999</c:v>
                </c:pt>
                <c:pt idx="221">
                  <c:v>0.88260869565217381</c:v>
                </c:pt>
                <c:pt idx="222">
                  <c:v>0.85153846153846124</c:v>
                </c:pt>
                <c:pt idx="223">
                  <c:v>0.85827586206896533</c:v>
                </c:pt>
                <c:pt idx="224">
                  <c:v>0.8613793103448274</c:v>
                </c:pt>
                <c:pt idx="225">
                  <c:v>0.86448275862068968</c:v>
                </c:pt>
                <c:pt idx="226">
                  <c:v>0.85679999999999978</c:v>
                </c:pt>
                <c:pt idx="227">
                  <c:v>0.86833333333333329</c:v>
                </c:pt>
                <c:pt idx="228">
                  <c:v>0.86733333333333318</c:v>
                </c:pt>
                <c:pt idx="229">
                  <c:v>0.86866666666666648</c:v>
                </c:pt>
                <c:pt idx="230">
                  <c:v>0.86172413793103442</c:v>
                </c:pt>
                <c:pt idx="231">
                  <c:v>0.88586206896551711</c:v>
                </c:pt>
                <c:pt idx="232">
                  <c:v>0.84821428571428559</c:v>
                </c:pt>
                <c:pt idx="233">
                  <c:v>0.87526315789473697</c:v>
                </c:pt>
                <c:pt idx="234">
                  <c:v>0.85468749999999982</c:v>
                </c:pt>
                <c:pt idx="235">
                  <c:v>0.85558823529411732</c:v>
                </c:pt>
                <c:pt idx="236">
                  <c:v>0.86114285714285699</c:v>
                </c:pt>
                <c:pt idx="237">
                  <c:v>0.85882352941176443</c:v>
                </c:pt>
                <c:pt idx="238">
                  <c:v>0.89</c:v>
                </c:pt>
                <c:pt idx="239">
                  <c:v>0.89481481481481484</c:v>
                </c:pt>
                <c:pt idx="240">
                  <c:v>0.8655172413793103</c:v>
                </c:pt>
                <c:pt idx="241">
                  <c:v>0.85774193548387112</c:v>
                </c:pt>
                <c:pt idx="242">
                  <c:v>0.86562499999999976</c:v>
                </c:pt>
                <c:pt idx="243">
                  <c:v>0.85499999999999998</c:v>
                </c:pt>
                <c:pt idx="244">
                  <c:v>0.8603846153846153</c:v>
                </c:pt>
                <c:pt idx="245">
                  <c:v>0.86677419354838681</c:v>
                </c:pt>
                <c:pt idx="246">
                  <c:v>0.86562499999999976</c:v>
                </c:pt>
                <c:pt idx="247">
                  <c:v>0.86099999999999999</c:v>
                </c:pt>
                <c:pt idx="248">
                  <c:v>0.88879999999999981</c:v>
                </c:pt>
                <c:pt idx="249">
                  <c:v>0.86074074074074058</c:v>
                </c:pt>
                <c:pt idx="250">
                  <c:v>0.85999999999999965</c:v>
                </c:pt>
                <c:pt idx="251">
                  <c:v>0.85531249999999992</c:v>
                </c:pt>
                <c:pt idx="252">
                  <c:v>0.85133333333333316</c:v>
                </c:pt>
                <c:pt idx="253">
                  <c:v>0.88679999999999981</c:v>
                </c:pt>
                <c:pt idx="254">
                  <c:v>0.85119999999999996</c:v>
                </c:pt>
                <c:pt idx="255">
                  <c:v>0.8919230769230766</c:v>
                </c:pt>
                <c:pt idx="256">
                  <c:v>0.85846153846153839</c:v>
                </c:pt>
                <c:pt idx="257">
                  <c:v>0.85843749999999974</c:v>
                </c:pt>
                <c:pt idx="258">
                  <c:v>0.85062499999999974</c:v>
                </c:pt>
                <c:pt idx="259">
                  <c:v>0.85299999999999976</c:v>
                </c:pt>
                <c:pt idx="260">
                  <c:v>0.89037037037037003</c:v>
                </c:pt>
                <c:pt idx="261">
                  <c:v>0.89192307692307682</c:v>
                </c:pt>
                <c:pt idx="262">
                  <c:v>0.86058823529411754</c:v>
                </c:pt>
                <c:pt idx="263">
                  <c:v>0.85781249999999964</c:v>
                </c:pt>
                <c:pt idx="264">
                  <c:v>0.85379310344827575</c:v>
                </c:pt>
                <c:pt idx="265">
                  <c:v>0.85</c:v>
                </c:pt>
                <c:pt idx="266">
                  <c:v>0.85071428571428565</c:v>
                </c:pt>
                <c:pt idx="267">
                  <c:v>0.8514285714285712</c:v>
                </c:pt>
                <c:pt idx="268">
                  <c:v>0.86269230769230743</c:v>
                </c:pt>
                <c:pt idx="269">
                  <c:v>0.86115384615384605</c:v>
                </c:pt>
                <c:pt idx="270">
                  <c:v>0.85884615384615359</c:v>
                </c:pt>
                <c:pt idx="271">
                  <c:v>0.82259259259259254</c:v>
                </c:pt>
                <c:pt idx="272">
                  <c:v>0.85555555555555529</c:v>
                </c:pt>
                <c:pt idx="273">
                  <c:v>0.85615384615384593</c:v>
                </c:pt>
                <c:pt idx="274">
                  <c:v>0.85812500000000003</c:v>
                </c:pt>
                <c:pt idx="275">
                  <c:v>0.85709677419354824</c:v>
                </c:pt>
                <c:pt idx="276">
                  <c:v>0.8336363636363634</c:v>
                </c:pt>
                <c:pt idx="277">
                  <c:v>0.86310344827586194</c:v>
                </c:pt>
                <c:pt idx="278">
                  <c:v>0.86448275862068968</c:v>
                </c:pt>
                <c:pt idx="279">
                  <c:v>0.8574074074074074</c:v>
                </c:pt>
                <c:pt idx="280">
                  <c:v>0.85777777777777742</c:v>
                </c:pt>
                <c:pt idx="281">
                  <c:v>0.85559999999999992</c:v>
                </c:pt>
                <c:pt idx="282">
                  <c:v>0.86466666666666681</c:v>
                </c:pt>
                <c:pt idx="283">
                  <c:v>0.82655172413793088</c:v>
                </c:pt>
                <c:pt idx="284">
                  <c:v>0.85439999999999983</c:v>
                </c:pt>
                <c:pt idx="285">
                  <c:v>0.85041666666666649</c:v>
                </c:pt>
                <c:pt idx="286">
                  <c:v>0.8541935483870966</c:v>
                </c:pt>
                <c:pt idx="287">
                  <c:v>0.85777777777777753</c:v>
                </c:pt>
                <c:pt idx="288">
                  <c:v>0.82892857142857124</c:v>
                </c:pt>
                <c:pt idx="289">
                  <c:v>0.82451612903225791</c:v>
                </c:pt>
                <c:pt idx="290">
                  <c:v>0.81999999999999973</c:v>
                </c:pt>
                <c:pt idx="291">
                  <c:v>0.84555555555555539</c:v>
                </c:pt>
                <c:pt idx="292">
                  <c:v>0.82323529411764695</c:v>
                </c:pt>
                <c:pt idx="293">
                  <c:v>0.85354838709677394</c:v>
                </c:pt>
                <c:pt idx="294">
                  <c:v>0.85851851851851824</c:v>
                </c:pt>
                <c:pt idx="295">
                  <c:v>0.85479999999999978</c:v>
                </c:pt>
                <c:pt idx="296">
                  <c:v>0.86074074074074058</c:v>
                </c:pt>
                <c:pt idx="297">
                  <c:v>0.89423076923076894</c:v>
                </c:pt>
                <c:pt idx="298">
                  <c:v>0.86548387096774149</c:v>
                </c:pt>
                <c:pt idx="299">
                  <c:v>0.85437499999999988</c:v>
                </c:pt>
                <c:pt idx="300">
                  <c:v>0.85533333333333306</c:v>
                </c:pt>
                <c:pt idx="301">
                  <c:v>0.84966666666666657</c:v>
                </c:pt>
                <c:pt idx="302">
                  <c:v>0.8606451612903222</c:v>
                </c:pt>
                <c:pt idx="303">
                  <c:v>0.88826086956521721</c:v>
                </c:pt>
                <c:pt idx="304">
                  <c:v>0.8603846153846153</c:v>
                </c:pt>
                <c:pt idx="305">
                  <c:v>0.86185185185185176</c:v>
                </c:pt>
                <c:pt idx="306">
                  <c:v>0.86272727272727245</c:v>
                </c:pt>
                <c:pt idx="307">
                  <c:v>0.8596969696969694</c:v>
                </c:pt>
                <c:pt idx="308">
                  <c:v>0.8581249999999998</c:v>
                </c:pt>
                <c:pt idx="309">
                  <c:v>0.85099999999999953</c:v>
                </c:pt>
                <c:pt idx="310">
                  <c:v>0.85299999999999976</c:v>
                </c:pt>
                <c:pt idx="311">
                  <c:v>0.88416666666666666</c:v>
                </c:pt>
                <c:pt idx="312">
                  <c:v>0.85279999999999978</c:v>
                </c:pt>
                <c:pt idx="313">
                  <c:v>0.85423076923076902</c:v>
                </c:pt>
                <c:pt idx="314">
                  <c:v>0.85928571428571399</c:v>
                </c:pt>
                <c:pt idx="315">
                  <c:v>0.85444444444444434</c:v>
                </c:pt>
                <c:pt idx="316">
                  <c:v>0.85363636363636342</c:v>
                </c:pt>
                <c:pt idx="317">
                  <c:v>0.85624999999999973</c:v>
                </c:pt>
                <c:pt idx="318">
                  <c:v>0.8553124999999997</c:v>
                </c:pt>
                <c:pt idx="319">
                  <c:v>0.85624999999999973</c:v>
                </c:pt>
                <c:pt idx="320">
                  <c:v>0.85333333333333328</c:v>
                </c:pt>
                <c:pt idx="321">
                  <c:v>0.85310344827586182</c:v>
                </c:pt>
                <c:pt idx="322">
                  <c:v>0.85079999999999989</c:v>
                </c:pt>
                <c:pt idx="323">
                  <c:v>0.84857142857142842</c:v>
                </c:pt>
                <c:pt idx="324">
                  <c:v>0.81793103448275861</c:v>
                </c:pt>
                <c:pt idx="325">
                  <c:v>0.82258064516129026</c:v>
                </c:pt>
                <c:pt idx="326">
                  <c:v>0.84533333333333316</c:v>
                </c:pt>
                <c:pt idx="327">
                  <c:v>0.84733333333333327</c:v>
                </c:pt>
                <c:pt idx="328">
                  <c:v>0.88799999999999979</c:v>
                </c:pt>
                <c:pt idx="329">
                  <c:v>0.88565217391304341</c:v>
                </c:pt>
                <c:pt idx="330">
                  <c:v>0.88719999999999988</c:v>
                </c:pt>
                <c:pt idx="331">
                  <c:v>0.85333333333333328</c:v>
                </c:pt>
                <c:pt idx="332">
                  <c:v>0.85468749999999993</c:v>
                </c:pt>
                <c:pt idx="333">
                  <c:v>0.84166666666666634</c:v>
                </c:pt>
                <c:pt idx="334">
                  <c:v>0.84999999999999976</c:v>
                </c:pt>
                <c:pt idx="335">
                  <c:v>0.88130434782608691</c:v>
                </c:pt>
                <c:pt idx="336">
                  <c:v>0.85678571428571426</c:v>
                </c:pt>
                <c:pt idx="337">
                  <c:v>0.85343750000000007</c:v>
                </c:pt>
                <c:pt idx="338">
                  <c:v>0.85742857142857121</c:v>
                </c:pt>
                <c:pt idx="339">
                  <c:v>0.88884615384615395</c:v>
                </c:pt>
                <c:pt idx="340">
                  <c:v>0.86064516129032231</c:v>
                </c:pt>
                <c:pt idx="341">
                  <c:v>0.86093749999999991</c:v>
                </c:pt>
                <c:pt idx="342">
                  <c:v>0.83090909090909082</c:v>
                </c:pt>
                <c:pt idx="343">
                  <c:v>0.83272727272727254</c:v>
                </c:pt>
                <c:pt idx="344">
                  <c:v>0.82939393939393924</c:v>
                </c:pt>
                <c:pt idx="345">
                  <c:v>0.85571428571428565</c:v>
                </c:pt>
                <c:pt idx="346">
                  <c:v>0.85153846153846147</c:v>
                </c:pt>
                <c:pt idx="347">
                  <c:v>0.85066666666666646</c:v>
                </c:pt>
                <c:pt idx="348">
                  <c:v>0.85531249999999981</c:v>
                </c:pt>
                <c:pt idx="349">
                  <c:v>0.85612903225806447</c:v>
                </c:pt>
                <c:pt idx="350">
                  <c:v>0.85962962962962952</c:v>
                </c:pt>
                <c:pt idx="351">
                  <c:v>0.85269230769230764</c:v>
                </c:pt>
                <c:pt idx="352">
                  <c:v>0.82115384615384612</c:v>
                </c:pt>
                <c:pt idx="353">
                  <c:v>0.85878787878787832</c:v>
                </c:pt>
                <c:pt idx="354">
                  <c:v>0.85967741935483832</c:v>
                </c:pt>
                <c:pt idx="355">
                  <c:v>0.85941176470588199</c:v>
                </c:pt>
                <c:pt idx="356">
                  <c:v>0.85653846153846136</c:v>
                </c:pt>
                <c:pt idx="357">
                  <c:v>0.86310344827586216</c:v>
                </c:pt>
                <c:pt idx="358">
                  <c:v>0.82928571428571407</c:v>
                </c:pt>
                <c:pt idx="359">
                  <c:v>0.8588888888888887</c:v>
                </c:pt>
                <c:pt idx="360">
                  <c:v>0.86148148148148129</c:v>
                </c:pt>
                <c:pt idx="361">
                  <c:v>0.89178571428571407</c:v>
                </c:pt>
                <c:pt idx="362">
                  <c:v>0.85538461538461519</c:v>
                </c:pt>
                <c:pt idx="363">
                  <c:v>0.85538461538461508</c:v>
                </c:pt>
                <c:pt idx="364">
                  <c:v>0.84678571428571447</c:v>
                </c:pt>
                <c:pt idx="365">
                  <c:v>0.85699999999999976</c:v>
                </c:pt>
                <c:pt idx="366">
                  <c:v>0.88959999999999995</c:v>
                </c:pt>
                <c:pt idx="367">
                  <c:v>0.8614285714285711</c:v>
                </c:pt>
                <c:pt idx="368">
                  <c:v>0.86142857142857132</c:v>
                </c:pt>
                <c:pt idx="369">
                  <c:v>0.85461538461538433</c:v>
                </c:pt>
                <c:pt idx="370">
                  <c:v>0.82296296296296267</c:v>
                </c:pt>
                <c:pt idx="371">
                  <c:v>0.82499999999999984</c:v>
                </c:pt>
                <c:pt idx="372">
                  <c:v>0.86205882352941166</c:v>
                </c:pt>
                <c:pt idx="373">
                  <c:v>0.85624999999999962</c:v>
                </c:pt>
                <c:pt idx="374">
                  <c:v>0.88800000000000001</c:v>
                </c:pt>
                <c:pt idx="375">
                  <c:v>0.87999999999999989</c:v>
                </c:pt>
                <c:pt idx="376">
                  <c:v>0.87636363636363623</c:v>
                </c:pt>
                <c:pt idx="377">
                  <c:v>0.84458333333333302</c:v>
                </c:pt>
                <c:pt idx="378">
                  <c:v>0.85124999999999984</c:v>
                </c:pt>
                <c:pt idx="379">
                  <c:v>0.85344827586206873</c:v>
                </c:pt>
                <c:pt idx="380">
                  <c:v>0.88874999999999982</c:v>
                </c:pt>
                <c:pt idx="381">
                  <c:v>0.8548</c:v>
                </c:pt>
                <c:pt idx="382">
                  <c:v>0.8567999999999999</c:v>
                </c:pt>
                <c:pt idx="383">
                  <c:v>0.85466666666666646</c:v>
                </c:pt>
                <c:pt idx="384">
                  <c:v>0.84966666666666646</c:v>
                </c:pt>
                <c:pt idx="385">
                  <c:v>0.88</c:v>
                </c:pt>
                <c:pt idx="386">
                  <c:v>0.88190476190476186</c:v>
                </c:pt>
                <c:pt idx="387">
                  <c:v>0.87809523809523804</c:v>
                </c:pt>
                <c:pt idx="388">
                  <c:v>0.85419354838709649</c:v>
                </c:pt>
                <c:pt idx="389">
                  <c:v>0.85593749999999991</c:v>
                </c:pt>
                <c:pt idx="390">
                  <c:v>0.85999999999999988</c:v>
                </c:pt>
                <c:pt idx="391">
                  <c:v>0.83382352941176463</c:v>
                </c:pt>
                <c:pt idx="392">
                  <c:v>0.83575757575757559</c:v>
                </c:pt>
                <c:pt idx="393">
                  <c:v>0.89384615384615396</c:v>
                </c:pt>
                <c:pt idx="394">
                  <c:v>0.89159999999999995</c:v>
                </c:pt>
                <c:pt idx="395">
                  <c:v>0.8822727272727271</c:v>
                </c:pt>
                <c:pt idx="396">
                  <c:v>0.84374999999999989</c:v>
                </c:pt>
                <c:pt idx="397">
                  <c:v>0.83999999999999986</c:v>
                </c:pt>
                <c:pt idx="398">
                  <c:v>0.85533333333333306</c:v>
                </c:pt>
                <c:pt idx="399">
                  <c:v>0.86093749999999991</c:v>
                </c:pt>
                <c:pt idx="400">
                  <c:v>0.8610714285714286</c:v>
                </c:pt>
                <c:pt idx="401">
                  <c:v>0.86111111111111094</c:v>
                </c:pt>
                <c:pt idx="402">
                  <c:v>0.86448275862068968</c:v>
                </c:pt>
                <c:pt idx="403">
                  <c:v>0.86264705882352921</c:v>
                </c:pt>
                <c:pt idx="404">
                  <c:v>0.86034482758620678</c:v>
                </c:pt>
                <c:pt idx="405">
                  <c:v>0.85370370370370374</c:v>
                </c:pt>
                <c:pt idx="406">
                  <c:v>0.82074074074074077</c:v>
                </c:pt>
                <c:pt idx="407">
                  <c:v>0.88652173913043464</c:v>
                </c:pt>
                <c:pt idx="408">
                  <c:v>0.89076923076923065</c:v>
                </c:pt>
                <c:pt idx="409">
                  <c:v>0.88961538461538425</c:v>
                </c:pt>
                <c:pt idx="410">
                  <c:v>0.86071428571428554</c:v>
                </c:pt>
                <c:pt idx="411">
                  <c:v>0.85703703703703693</c:v>
                </c:pt>
                <c:pt idx="412">
                  <c:v>0.85851851851851835</c:v>
                </c:pt>
                <c:pt idx="413">
                  <c:v>0.85925925925925895</c:v>
                </c:pt>
                <c:pt idx="414">
                  <c:v>0.85290322580645139</c:v>
                </c:pt>
                <c:pt idx="415">
                  <c:v>0.84928571428571409</c:v>
                </c:pt>
                <c:pt idx="416">
                  <c:v>0.84310344827586181</c:v>
                </c:pt>
                <c:pt idx="417">
                  <c:v>0.85333333333333328</c:v>
                </c:pt>
                <c:pt idx="418">
                  <c:v>0.82593749999999988</c:v>
                </c:pt>
                <c:pt idx="419">
                  <c:v>0.85935483870967744</c:v>
                </c:pt>
                <c:pt idx="420">
                  <c:v>0.86499999999999977</c:v>
                </c:pt>
                <c:pt idx="421">
                  <c:v>0.86121212121212121</c:v>
                </c:pt>
                <c:pt idx="422">
                  <c:v>0.86071428571428565</c:v>
                </c:pt>
                <c:pt idx="423">
                  <c:v>0.85615384615384593</c:v>
                </c:pt>
                <c:pt idx="424">
                  <c:v>0.88739130434782598</c:v>
                </c:pt>
                <c:pt idx="425">
                  <c:v>0.85399999999999987</c:v>
                </c:pt>
                <c:pt idx="426">
                  <c:v>0.85233333333333305</c:v>
                </c:pt>
                <c:pt idx="427">
                  <c:v>0.86</c:v>
                </c:pt>
                <c:pt idx="428">
                  <c:v>0.86111111111111094</c:v>
                </c:pt>
                <c:pt idx="429">
                  <c:v>0.86933333333333318</c:v>
                </c:pt>
                <c:pt idx="430">
                  <c:v>0.86464285714285705</c:v>
                </c:pt>
                <c:pt idx="431">
                  <c:v>0.86833333333333307</c:v>
                </c:pt>
                <c:pt idx="432">
                  <c:v>0.86448275862068935</c:v>
                </c:pt>
                <c:pt idx="433">
                  <c:v>0.85962962962962941</c:v>
                </c:pt>
                <c:pt idx="434">
                  <c:v>0.86071428571428565</c:v>
                </c:pt>
                <c:pt idx="435">
                  <c:v>0.85214285714285698</c:v>
                </c:pt>
                <c:pt idx="436">
                  <c:v>0.84925925925925894</c:v>
                </c:pt>
                <c:pt idx="437">
                  <c:v>0.85531249999999981</c:v>
                </c:pt>
                <c:pt idx="438">
                  <c:v>0.83437499999999976</c:v>
                </c:pt>
                <c:pt idx="439">
                  <c:v>0.8609374999999998</c:v>
                </c:pt>
                <c:pt idx="440">
                  <c:v>0.8632142857142856</c:v>
                </c:pt>
                <c:pt idx="441">
                  <c:v>0.87000000000000022</c:v>
                </c:pt>
                <c:pt idx="442">
                  <c:v>0.86727272727272686</c:v>
                </c:pt>
                <c:pt idx="443">
                  <c:v>0.86058823529411732</c:v>
                </c:pt>
                <c:pt idx="444">
                  <c:v>0.85709677419354824</c:v>
                </c:pt>
                <c:pt idx="445">
                  <c:v>0.85363636363636342</c:v>
                </c:pt>
                <c:pt idx="446">
                  <c:v>0.83444444444444421</c:v>
                </c:pt>
                <c:pt idx="447">
                  <c:v>0.86454545454545451</c:v>
                </c:pt>
                <c:pt idx="448">
                  <c:v>0.86757575757575756</c:v>
                </c:pt>
                <c:pt idx="449">
                  <c:v>0.86636363636363645</c:v>
                </c:pt>
                <c:pt idx="450">
                  <c:v>0.8651428571428571</c:v>
                </c:pt>
                <c:pt idx="451">
                  <c:v>0.86085714285714288</c:v>
                </c:pt>
                <c:pt idx="452">
                  <c:v>0.85888888888888859</c:v>
                </c:pt>
                <c:pt idx="453">
                  <c:v>0.85545454545454536</c:v>
                </c:pt>
                <c:pt idx="454">
                  <c:v>0.85937499999999978</c:v>
                </c:pt>
                <c:pt idx="455">
                  <c:v>0.86225806451612885</c:v>
                </c:pt>
                <c:pt idx="456">
                  <c:v>0.86413793103448266</c:v>
                </c:pt>
                <c:pt idx="457">
                  <c:v>0.86259259259259247</c:v>
                </c:pt>
                <c:pt idx="458">
                  <c:v>0.89793103448275857</c:v>
                </c:pt>
                <c:pt idx="459">
                  <c:v>0.86793103448275843</c:v>
                </c:pt>
                <c:pt idx="460">
                  <c:v>0.8637499999999998</c:v>
                </c:pt>
                <c:pt idx="461">
                  <c:v>0.83033333333333337</c:v>
                </c:pt>
                <c:pt idx="462">
                  <c:v>0.82933333333333326</c:v>
                </c:pt>
                <c:pt idx="463">
                  <c:v>0.86312499999999981</c:v>
                </c:pt>
                <c:pt idx="464">
                  <c:v>0.86909090909090914</c:v>
                </c:pt>
                <c:pt idx="465">
                  <c:v>0.87249999999999994</c:v>
                </c:pt>
                <c:pt idx="466">
                  <c:v>0.87099999999999989</c:v>
                </c:pt>
                <c:pt idx="467">
                  <c:v>0.86346153846153817</c:v>
                </c:pt>
                <c:pt idx="468">
                  <c:v>0.86303030303030304</c:v>
                </c:pt>
                <c:pt idx="469">
                  <c:v>0.86162162162162148</c:v>
                </c:pt>
                <c:pt idx="470">
                  <c:v>0.86212121212121229</c:v>
                </c:pt>
                <c:pt idx="471">
                  <c:v>0.88799999999999979</c:v>
                </c:pt>
                <c:pt idx="472">
                  <c:v>0.88807692307692321</c:v>
                </c:pt>
                <c:pt idx="473">
                  <c:v>0.88400000000000001</c:v>
                </c:pt>
                <c:pt idx="474">
                  <c:v>0.8859999999999999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41-474C-AF79-D987EABE440C}"/>
            </c:ext>
          </c:extLst>
        </c:ser>
        <c:ser>
          <c:idx val="2"/>
          <c:order val="2"/>
          <c:tx>
            <c:strRef>
              <c:f>ASSETS!$F$18</c:f>
              <c:strCache>
                <c:ptCount val="1"/>
                <c:pt idx="0">
                  <c:v> Structure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ASSETS!$C$19:$C$493</c:f>
              <c:numCache>
                <c:formatCode>_-* #,##0_-;\-* #,##0_-;_-* "-"??_-;_-@_-</c:formatCode>
                <c:ptCount val="4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</c:numCache>
            </c:numRef>
          </c:cat>
          <c:val>
            <c:numRef>
              <c:f>ASSETS!$F$19:$F$493</c:f>
              <c:numCache>
                <c:formatCode>_(* #,##0.00_);_(* \(#,##0.00\);_(* "-"??_);_(@_)</c:formatCode>
                <c:ptCount val="475"/>
                <c:pt idx="0">
                  <c:v>0.62648630485914658</c:v>
                </c:pt>
                <c:pt idx="1">
                  <c:v>0.61966780000860411</c:v>
                </c:pt>
                <c:pt idx="2">
                  <c:v>0.67339137957176209</c:v>
                </c:pt>
                <c:pt idx="3">
                  <c:v>0.75632295059425425</c:v>
                </c:pt>
                <c:pt idx="4">
                  <c:v>0.83007178059112108</c:v>
                </c:pt>
                <c:pt idx="5">
                  <c:v>0.79701591853759812</c:v>
                </c:pt>
                <c:pt idx="6">
                  <c:v>0.79961604062340885</c:v>
                </c:pt>
                <c:pt idx="7">
                  <c:v>0.70023615215432866</c:v>
                </c:pt>
                <c:pt idx="8">
                  <c:v>0.76026256280931237</c:v>
                </c:pt>
                <c:pt idx="9">
                  <c:v>0.76494363564693535</c:v>
                </c:pt>
                <c:pt idx="10">
                  <c:v>0.64914904534774498</c:v>
                </c:pt>
                <c:pt idx="11">
                  <c:v>0.70483801152192127</c:v>
                </c:pt>
                <c:pt idx="12">
                  <c:v>0.73487869229477021</c:v>
                </c:pt>
                <c:pt idx="13">
                  <c:v>0.72608880036483125</c:v>
                </c:pt>
                <c:pt idx="14">
                  <c:v>0.72376619553915944</c:v>
                </c:pt>
                <c:pt idx="15">
                  <c:v>0.71630546687056951</c:v>
                </c:pt>
                <c:pt idx="16">
                  <c:v>0.64766338039127447</c:v>
                </c:pt>
                <c:pt idx="17">
                  <c:v>0.59907245679541943</c:v>
                </c:pt>
                <c:pt idx="18">
                  <c:v>0.63964323771621301</c:v>
                </c:pt>
                <c:pt idx="19">
                  <c:v>0.70963105355242728</c:v>
                </c:pt>
                <c:pt idx="20">
                  <c:v>0.73254685135616782</c:v>
                </c:pt>
                <c:pt idx="21">
                  <c:v>0.66070044523479154</c:v>
                </c:pt>
                <c:pt idx="22">
                  <c:v>0.75128324897000553</c:v>
                </c:pt>
                <c:pt idx="23">
                  <c:v>0.64125624318619523</c:v>
                </c:pt>
                <c:pt idx="24">
                  <c:v>0.7317146318677179</c:v>
                </c:pt>
                <c:pt idx="25">
                  <c:v>0.82696263410263071</c:v>
                </c:pt>
                <c:pt idx="26">
                  <c:v>0.73565012098812421</c:v>
                </c:pt>
                <c:pt idx="27">
                  <c:v>0.8563889721821738</c:v>
                </c:pt>
                <c:pt idx="28">
                  <c:v>0.75362286816010637</c:v>
                </c:pt>
                <c:pt idx="29">
                  <c:v>0.75736738105431578</c:v>
                </c:pt>
                <c:pt idx="30">
                  <c:v>0.69755571988706944</c:v>
                </c:pt>
                <c:pt idx="31">
                  <c:v>0.737184478200273</c:v>
                </c:pt>
                <c:pt idx="32">
                  <c:v>0.77031547629746167</c:v>
                </c:pt>
                <c:pt idx="33">
                  <c:v>0.73704122171007758</c:v>
                </c:pt>
                <c:pt idx="34">
                  <c:v>0.72556788628761537</c:v>
                </c:pt>
                <c:pt idx="35">
                  <c:v>0.73568348462719557</c:v>
                </c:pt>
                <c:pt idx="36">
                  <c:v>0.71874598264859102</c:v>
                </c:pt>
                <c:pt idx="37">
                  <c:v>0.73006921472335606</c:v>
                </c:pt>
                <c:pt idx="38">
                  <c:v>0.74197690417274653</c:v>
                </c:pt>
                <c:pt idx="39">
                  <c:v>0.63630476221163224</c:v>
                </c:pt>
                <c:pt idx="40">
                  <c:v>0.71386161892459776</c:v>
                </c:pt>
                <c:pt idx="41">
                  <c:v>0.62116955021818898</c:v>
                </c:pt>
                <c:pt idx="42">
                  <c:v>0.66376041763074967</c:v>
                </c:pt>
                <c:pt idx="43">
                  <c:v>0.76330150947763131</c:v>
                </c:pt>
                <c:pt idx="44">
                  <c:v>0.65807249636162835</c:v>
                </c:pt>
                <c:pt idx="45">
                  <c:v>0.74788282411017926</c:v>
                </c:pt>
                <c:pt idx="46">
                  <c:v>0.78646603360925882</c:v>
                </c:pt>
                <c:pt idx="47">
                  <c:v>0.78408190603429806</c:v>
                </c:pt>
                <c:pt idx="48">
                  <c:v>0.64296162232211584</c:v>
                </c:pt>
                <c:pt idx="49">
                  <c:v>0.77106754385535503</c:v>
                </c:pt>
                <c:pt idx="50">
                  <c:v>0.77165231066625439</c:v>
                </c:pt>
                <c:pt idx="51">
                  <c:v>0.80881833303268458</c:v>
                </c:pt>
                <c:pt idx="52">
                  <c:v>0.75144121677052567</c:v>
                </c:pt>
                <c:pt idx="53">
                  <c:v>0.70959715424254455</c:v>
                </c:pt>
                <c:pt idx="54">
                  <c:v>0.6614417382305976</c:v>
                </c:pt>
                <c:pt idx="55">
                  <c:v>0.72096130281189608</c:v>
                </c:pt>
                <c:pt idx="56">
                  <c:v>0.66916116392001657</c:v>
                </c:pt>
                <c:pt idx="57">
                  <c:v>0.731720729657096</c:v>
                </c:pt>
                <c:pt idx="58">
                  <c:v>0.77081859421392684</c:v>
                </c:pt>
                <c:pt idx="59">
                  <c:v>0.73387600157755184</c:v>
                </c:pt>
                <c:pt idx="60">
                  <c:v>0.7195722412415263</c:v>
                </c:pt>
                <c:pt idx="61">
                  <c:v>0.76796723249655341</c:v>
                </c:pt>
                <c:pt idx="62">
                  <c:v>0.81013905902092198</c:v>
                </c:pt>
                <c:pt idx="63">
                  <c:v>0.76495169365272375</c:v>
                </c:pt>
                <c:pt idx="64">
                  <c:v>0.81679711839326863</c:v>
                </c:pt>
                <c:pt idx="65">
                  <c:v>0.78421856998460115</c:v>
                </c:pt>
                <c:pt idx="66">
                  <c:v>0.77008576725662337</c:v>
                </c:pt>
                <c:pt idx="67">
                  <c:v>0.69293482033607567</c:v>
                </c:pt>
                <c:pt idx="68">
                  <c:v>0.71676508930601479</c:v>
                </c:pt>
                <c:pt idx="69">
                  <c:v>0.73263123559820054</c:v>
                </c:pt>
                <c:pt idx="70">
                  <c:v>0.68163276687990049</c:v>
                </c:pt>
                <c:pt idx="71">
                  <c:v>0.77560999594725466</c:v>
                </c:pt>
                <c:pt idx="72">
                  <c:v>0.80834934293144189</c:v>
                </c:pt>
                <c:pt idx="73">
                  <c:v>0.77345572086735115</c:v>
                </c:pt>
                <c:pt idx="74">
                  <c:v>0.7450592529535891</c:v>
                </c:pt>
                <c:pt idx="75">
                  <c:v>0.76826716243049309</c:v>
                </c:pt>
                <c:pt idx="76">
                  <c:v>0.67966706747070982</c:v>
                </c:pt>
                <c:pt idx="77">
                  <c:v>0.75071470226144976</c:v>
                </c:pt>
                <c:pt idx="78">
                  <c:v>0.78045682849053633</c:v>
                </c:pt>
                <c:pt idx="79">
                  <c:v>0.76164549195801479</c:v>
                </c:pt>
                <c:pt idx="80">
                  <c:v>0.6725703926950527</c:v>
                </c:pt>
                <c:pt idx="81">
                  <c:v>0.28469313440315502</c:v>
                </c:pt>
                <c:pt idx="82">
                  <c:v>0.49729773113464942</c:v>
                </c:pt>
                <c:pt idx="83">
                  <c:v>0.69752322965780011</c:v>
                </c:pt>
                <c:pt idx="84">
                  <c:v>0.73473970892835427</c:v>
                </c:pt>
                <c:pt idx="85">
                  <c:v>0.75548154807039802</c:v>
                </c:pt>
                <c:pt idx="86">
                  <c:v>0.64550822020908083</c:v>
                </c:pt>
                <c:pt idx="87">
                  <c:v>0.78917390156187794</c:v>
                </c:pt>
                <c:pt idx="88">
                  <c:v>0.75992019474413786</c:v>
                </c:pt>
                <c:pt idx="89">
                  <c:v>0.72600826549755015</c:v>
                </c:pt>
                <c:pt idx="90">
                  <c:v>0.62580295207678749</c:v>
                </c:pt>
                <c:pt idx="91">
                  <c:v>0.79414172266001193</c:v>
                </c:pt>
                <c:pt idx="92">
                  <c:v>0.77368873385901848</c:v>
                </c:pt>
                <c:pt idx="93">
                  <c:v>0.79082840567863144</c:v>
                </c:pt>
                <c:pt idx="94">
                  <c:v>0.69061884223979864</c:v>
                </c:pt>
                <c:pt idx="95">
                  <c:v>0.80205727173944252</c:v>
                </c:pt>
                <c:pt idx="96">
                  <c:v>0.69003488963737258</c:v>
                </c:pt>
                <c:pt idx="97">
                  <c:v>0.74655662169407888</c:v>
                </c:pt>
                <c:pt idx="98">
                  <c:v>0.70178622038296168</c:v>
                </c:pt>
                <c:pt idx="99">
                  <c:v>0.64922286885924863</c:v>
                </c:pt>
                <c:pt idx="100">
                  <c:v>0.71471869506185559</c:v>
                </c:pt>
                <c:pt idx="101">
                  <c:v>0.7365015257148404</c:v>
                </c:pt>
                <c:pt idx="102">
                  <c:v>0.65092401196175442</c:v>
                </c:pt>
                <c:pt idx="103">
                  <c:v>0.73376395552908635</c:v>
                </c:pt>
                <c:pt idx="104">
                  <c:v>0.71789437759907559</c:v>
                </c:pt>
                <c:pt idx="105">
                  <c:v>0.76277973451350789</c:v>
                </c:pt>
                <c:pt idx="106">
                  <c:v>0.77741692348360891</c:v>
                </c:pt>
                <c:pt idx="107">
                  <c:v>0.74123150987484376</c:v>
                </c:pt>
                <c:pt idx="108">
                  <c:v>0.7406926476224478</c:v>
                </c:pt>
                <c:pt idx="109">
                  <c:v>0.73079960541888911</c:v>
                </c:pt>
                <c:pt idx="110">
                  <c:v>0.69954017795639245</c:v>
                </c:pt>
                <c:pt idx="111">
                  <c:v>0.74297755566569079</c:v>
                </c:pt>
                <c:pt idx="112">
                  <c:v>0.73900521945233055</c:v>
                </c:pt>
                <c:pt idx="113">
                  <c:v>0.65329562376675743</c:v>
                </c:pt>
                <c:pt idx="114">
                  <c:v>0.71842312607961689</c:v>
                </c:pt>
                <c:pt idx="115">
                  <c:v>0.75113717796348545</c:v>
                </c:pt>
                <c:pt idx="116">
                  <c:v>0.64263468172050553</c:v>
                </c:pt>
                <c:pt idx="117">
                  <c:v>0.73171749875409564</c:v>
                </c:pt>
                <c:pt idx="118">
                  <c:v>0.69309450904921854</c:v>
                </c:pt>
                <c:pt idx="119">
                  <c:v>0.63931889813683151</c:v>
                </c:pt>
                <c:pt idx="120">
                  <c:v>0.70183236740040811</c:v>
                </c:pt>
                <c:pt idx="121">
                  <c:v>0.6510520079198302</c:v>
                </c:pt>
                <c:pt idx="122">
                  <c:v>0.70500915900799332</c:v>
                </c:pt>
                <c:pt idx="123">
                  <c:v>0.78477349163951271</c:v>
                </c:pt>
                <c:pt idx="124">
                  <c:v>0.77868610741243105</c:v>
                </c:pt>
                <c:pt idx="125">
                  <c:v>0.7420182451032894</c:v>
                </c:pt>
                <c:pt idx="126">
                  <c:v>0.69841270392661803</c:v>
                </c:pt>
                <c:pt idx="127">
                  <c:v>0.74780506951053627</c:v>
                </c:pt>
                <c:pt idx="128">
                  <c:v>0.69354287535346693</c:v>
                </c:pt>
                <c:pt idx="129">
                  <c:v>0.6458567665454702</c:v>
                </c:pt>
                <c:pt idx="130">
                  <c:v>0.67304063329027952</c:v>
                </c:pt>
                <c:pt idx="131">
                  <c:v>0.57381268562480059</c:v>
                </c:pt>
                <c:pt idx="132">
                  <c:v>0.76488442670031609</c:v>
                </c:pt>
                <c:pt idx="133">
                  <c:v>0.76563444655839297</c:v>
                </c:pt>
                <c:pt idx="134">
                  <c:v>0.74983962689762029</c:v>
                </c:pt>
                <c:pt idx="135">
                  <c:v>0.76332481069942804</c:v>
                </c:pt>
                <c:pt idx="136">
                  <c:v>0.76997319968309419</c:v>
                </c:pt>
                <c:pt idx="137">
                  <c:v>0.79120611689474707</c:v>
                </c:pt>
                <c:pt idx="138">
                  <c:v>0.6957389533852627</c:v>
                </c:pt>
                <c:pt idx="139">
                  <c:v>0.74356622429487629</c:v>
                </c:pt>
                <c:pt idx="140">
                  <c:v>0.68103355708755253</c:v>
                </c:pt>
                <c:pt idx="141">
                  <c:v>0.72053074375028248</c:v>
                </c:pt>
                <c:pt idx="142">
                  <c:v>0.75295971091409186</c:v>
                </c:pt>
                <c:pt idx="143">
                  <c:v>0.75557150940803686</c:v>
                </c:pt>
                <c:pt idx="144">
                  <c:v>0.76473287109462396</c:v>
                </c:pt>
                <c:pt idx="145">
                  <c:v>0.71681127222524155</c:v>
                </c:pt>
                <c:pt idx="146">
                  <c:v>0.69543787941093371</c:v>
                </c:pt>
                <c:pt idx="147">
                  <c:v>0.71747017062289364</c:v>
                </c:pt>
                <c:pt idx="148">
                  <c:v>0.69739451779998785</c:v>
                </c:pt>
                <c:pt idx="149">
                  <c:v>0.6761817914501248</c:v>
                </c:pt>
                <c:pt idx="150">
                  <c:v>0.72368723143250469</c:v>
                </c:pt>
                <c:pt idx="151">
                  <c:v>0.76336303667674865</c:v>
                </c:pt>
                <c:pt idx="152">
                  <c:v>0.75027218118582617</c:v>
                </c:pt>
                <c:pt idx="153">
                  <c:v>0.78298573819615402</c:v>
                </c:pt>
                <c:pt idx="154">
                  <c:v>0.80732411519994174</c:v>
                </c:pt>
                <c:pt idx="155">
                  <c:v>0.75745301353090611</c:v>
                </c:pt>
                <c:pt idx="156">
                  <c:v>0.69984378088030252</c:v>
                </c:pt>
                <c:pt idx="157">
                  <c:v>0.70307066188022194</c:v>
                </c:pt>
                <c:pt idx="158">
                  <c:v>0.65698148006611057</c:v>
                </c:pt>
                <c:pt idx="159">
                  <c:v>0.75553438072292545</c:v>
                </c:pt>
                <c:pt idx="160">
                  <c:v>0.74734018133589053</c:v>
                </c:pt>
                <c:pt idx="161">
                  <c:v>0.7501793474630547</c:v>
                </c:pt>
                <c:pt idx="162">
                  <c:v>0.73124179563929537</c:v>
                </c:pt>
                <c:pt idx="163">
                  <c:v>0.67653786725103948</c:v>
                </c:pt>
                <c:pt idx="164">
                  <c:v>0.71901320034010563</c:v>
                </c:pt>
                <c:pt idx="165">
                  <c:v>0.65252771242068708</c:v>
                </c:pt>
                <c:pt idx="166">
                  <c:v>0.7268991295593954</c:v>
                </c:pt>
                <c:pt idx="167">
                  <c:v>0.73574810091169474</c:v>
                </c:pt>
                <c:pt idx="168">
                  <c:v>0.75098457300815114</c:v>
                </c:pt>
                <c:pt idx="169">
                  <c:v>0.73587902069636513</c:v>
                </c:pt>
                <c:pt idx="170">
                  <c:v>0.73732534843304498</c:v>
                </c:pt>
                <c:pt idx="171">
                  <c:v>0.70402465044041451</c:v>
                </c:pt>
                <c:pt idx="172">
                  <c:v>0.71980726296058029</c:v>
                </c:pt>
                <c:pt idx="173">
                  <c:v>0.75961253353218439</c:v>
                </c:pt>
                <c:pt idx="174">
                  <c:v>0.70744576631965994</c:v>
                </c:pt>
                <c:pt idx="175">
                  <c:v>0.72741443690798491</c:v>
                </c:pt>
                <c:pt idx="176">
                  <c:v>0.73392638399808729</c:v>
                </c:pt>
                <c:pt idx="177">
                  <c:v>0.68478883064117757</c:v>
                </c:pt>
                <c:pt idx="178">
                  <c:v>0.75853488191660101</c:v>
                </c:pt>
                <c:pt idx="179">
                  <c:v>0.6572299680589021</c:v>
                </c:pt>
                <c:pt idx="180">
                  <c:v>0.64587913089013071</c:v>
                </c:pt>
                <c:pt idx="181">
                  <c:v>0.64253552189144003</c:v>
                </c:pt>
                <c:pt idx="182">
                  <c:v>0.70432829897936977</c:v>
                </c:pt>
                <c:pt idx="183">
                  <c:v>0.62376452433040563</c:v>
                </c:pt>
                <c:pt idx="184">
                  <c:v>0.70624197519964027</c:v>
                </c:pt>
                <c:pt idx="185">
                  <c:v>0.72269634087207257</c:v>
                </c:pt>
                <c:pt idx="186">
                  <c:v>0.59829599967615377</c:v>
                </c:pt>
                <c:pt idx="187">
                  <c:v>0.6356533890859325</c:v>
                </c:pt>
                <c:pt idx="188">
                  <c:v>0.75717686991357036</c:v>
                </c:pt>
                <c:pt idx="189">
                  <c:v>0.62448651976415459</c:v>
                </c:pt>
                <c:pt idx="190">
                  <c:v>0.62564767995391724</c:v>
                </c:pt>
                <c:pt idx="191">
                  <c:v>0.7337234017154961</c:v>
                </c:pt>
                <c:pt idx="192">
                  <c:v>0.63887532223398114</c:v>
                </c:pt>
                <c:pt idx="193">
                  <c:v>0.75093813587849045</c:v>
                </c:pt>
                <c:pt idx="194">
                  <c:v>0.77024899783168876</c:v>
                </c:pt>
                <c:pt idx="195">
                  <c:v>0.65010989436206212</c:v>
                </c:pt>
                <c:pt idx="196">
                  <c:v>0.73040014578009127</c:v>
                </c:pt>
                <c:pt idx="197">
                  <c:v>0.71302306119292547</c:v>
                </c:pt>
                <c:pt idx="198">
                  <c:v>0.76490967917489661</c:v>
                </c:pt>
                <c:pt idx="199">
                  <c:v>0.75228820365992788</c:v>
                </c:pt>
                <c:pt idx="200">
                  <c:v>0.75841350266591978</c:v>
                </c:pt>
                <c:pt idx="201">
                  <c:v>0.68586686914589712</c:v>
                </c:pt>
                <c:pt idx="202">
                  <c:v>0.72146608730551665</c:v>
                </c:pt>
                <c:pt idx="203">
                  <c:v>0.7219273337543769</c:v>
                </c:pt>
                <c:pt idx="204">
                  <c:v>0.721605209283117</c:v>
                </c:pt>
                <c:pt idx="205">
                  <c:v>0.76771676944011569</c:v>
                </c:pt>
                <c:pt idx="206">
                  <c:v>0.77670031302057851</c:v>
                </c:pt>
                <c:pt idx="207">
                  <c:v>0.75430232508784256</c:v>
                </c:pt>
                <c:pt idx="208">
                  <c:v>0.70392107038755669</c:v>
                </c:pt>
                <c:pt idx="209">
                  <c:v>0.56801206071121646</c:v>
                </c:pt>
                <c:pt idx="210">
                  <c:v>0.6701262804012279</c:v>
                </c:pt>
                <c:pt idx="211">
                  <c:v>0.60991642363925025</c:v>
                </c:pt>
                <c:pt idx="212">
                  <c:v>0.71744661552381261</c:v>
                </c:pt>
                <c:pt idx="213">
                  <c:v>0.57995824923799033</c:v>
                </c:pt>
                <c:pt idx="214">
                  <c:v>0.70111129415458195</c:v>
                </c:pt>
                <c:pt idx="215">
                  <c:v>0.60560590002371895</c:v>
                </c:pt>
                <c:pt idx="216">
                  <c:v>0.76420975674043135</c:v>
                </c:pt>
                <c:pt idx="217">
                  <c:v>0.75805409458650019</c:v>
                </c:pt>
                <c:pt idx="218">
                  <c:v>0.76689426299125918</c:v>
                </c:pt>
                <c:pt idx="219">
                  <c:v>0.70514569581817654</c:v>
                </c:pt>
                <c:pt idx="220">
                  <c:v>0.79320675124039941</c:v>
                </c:pt>
                <c:pt idx="221">
                  <c:v>0.72032875783196559</c:v>
                </c:pt>
                <c:pt idx="222">
                  <c:v>0.64020240934013295</c:v>
                </c:pt>
                <c:pt idx="223">
                  <c:v>0.73495370182643815</c:v>
                </c:pt>
                <c:pt idx="224">
                  <c:v>0.71932624771806053</c:v>
                </c:pt>
                <c:pt idx="225">
                  <c:v>0.70992881946096509</c:v>
                </c:pt>
                <c:pt idx="226">
                  <c:v>0.68344400884010936</c:v>
                </c:pt>
                <c:pt idx="227">
                  <c:v>0.7444203359319469</c:v>
                </c:pt>
                <c:pt idx="228">
                  <c:v>0.76232085891941792</c:v>
                </c:pt>
                <c:pt idx="229">
                  <c:v>0.74285022391133593</c:v>
                </c:pt>
                <c:pt idx="230">
                  <c:v>0.72075129864220999</c:v>
                </c:pt>
                <c:pt idx="231">
                  <c:v>0.73265285119945567</c:v>
                </c:pt>
                <c:pt idx="232">
                  <c:v>0.68366396666432616</c:v>
                </c:pt>
                <c:pt idx="233">
                  <c:v>0.74858201285459691</c:v>
                </c:pt>
                <c:pt idx="234">
                  <c:v>0.74657278391891524</c:v>
                </c:pt>
                <c:pt idx="235">
                  <c:v>0.74739069373338485</c:v>
                </c:pt>
                <c:pt idx="236">
                  <c:v>0.74459131529481226</c:v>
                </c:pt>
                <c:pt idx="237">
                  <c:v>0.64733850653262226</c:v>
                </c:pt>
                <c:pt idx="238">
                  <c:v>0.77384302375030001</c:v>
                </c:pt>
                <c:pt idx="239">
                  <c:v>0.81499452103181946</c:v>
                </c:pt>
                <c:pt idx="240">
                  <c:v>0.72649578184772035</c:v>
                </c:pt>
                <c:pt idx="241">
                  <c:v>0.7675607166878351</c:v>
                </c:pt>
                <c:pt idx="242">
                  <c:v>0.80076210112090995</c:v>
                </c:pt>
                <c:pt idx="243">
                  <c:v>0.76841370199286485</c:v>
                </c:pt>
                <c:pt idx="244">
                  <c:v>0.76153747911596137</c:v>
                </c:pt>
                <c:pt idx="245">
                  <c:v>0.79564688802512018</c:v>
                </c:pt>
                <c:pt idx="246">
                  <c:v>0.81477477475561699</c:v>
                </c:pt>
                <c:pt idx="247">
                  <c:v>0.80249905068961347</c:v>
                </c:pt>
                <c:pt idx="248">
                  <c:v>0.80180867382364041</c:v>
                </c:pt>
                <c:pt idx="249">
                  <c:v>0.69378824039362863</c:v>
                </c:pt>
                <c:pt idx="250">
                  <c:v>0.77031355114465039</c:v>
                </c:pt>
                <c:pt idx="251">
                  <c:v>0.79561854907280216</c:v>
                </c:pt>
                <c:pt idx="252">
                  <c:v>0.77083363257434523</c:v>
                </c:pt>
                <c:pt idx="253">
                  <c:v>0.76816567196061203</c:v>
                </c:pt>
                <c:pt idx="254">
                  <c:v>0.75800492069058945</c:v>
                </c:pt>
                <c:pt idx="255">
                  <c:v>0.79164698222925212</c:v>
                </c:pt>
                <c:pt idx="256">
                  <c:v>0.79787812936370728</c:v>
                </c:pt>
                <c:pt idx="257">
                  <c:v>0.78845037897389036</c:v>
                </c:pt>
                <c:pt idx="258">
                  <c:v>0.69052273056942104</c:v>
                </c:pt>
                <c:pt idx="259">
                  <c:v>0.73554672586286529</c:v>
                </c:pt>
                <c:pt idx="260">
                  <c:v>0.77332586751958343</c:v>
                </c:pt>
                <c:pt idx="261">
                  <c:v>0.79731726172948858</c:v>
                </c:pt>
                <c:pt idx="262">
                  <c:v>0.76483235969335939</c:v>
                </c:pt>
                <c:pt idx="263">
                  <c:v>0.75260213665249143</c:v>
                </c:pt>
                <c:pt idx="264">
                  <c:v>0.73658519971283287</c:v>
                </c:pt>
                <c:pt idx="265">
                  <c:v>0.76926346741086282</c:v>
                </c:pt>
                <c:pt idx="266">
                  <c:v>0.66197546182436062</c:v>
                </c:pt>
                <c:pt idx="267">
                  <c:v>0.74028085240230501</c:v>
                </c:pt>
                <c:pt idx="268">
                  <c:v>0.72151497532491771</c:v>
                </c:pt>
                <c:pt idx="269">
                  <c:v>0.71131064515872666</c:v>
                </c:pt>
                <c:pt idx="270">
                  <c:v>0.6930406101837161</c:v>
                </c:pt>
                <c:pt idx="271">
                  <c:v>0.73601944375972783</c:v>
                </c:pt>
                <c:pt idx="272">
                  <c:v>0.76842720825829258</c:v>
                </c:pt>
                <c:pt idx="273">
                  <c:v>0.7615691449508275</c:v>
                </c:pt>
                <c:pt idx="274">
                  <c:v>0.80424167884752118</c:v>
                </c:pt>
                <c:pt idx="275">
                  <c:v>0.76513471053695181</c:v>
                </c:pt>
                <c:pt idx="276">
                  <c:v>0.76497515029777119</c:v>
                </c:pt>
                <c:pt idx="277">
                  <c:v>0.79041243400991212</c:v>
                </c:pt>
                <c:pt idx="278">
                  <c:v>0.78376989759528537</c:v>
                </c:pt>
                <c:pt idx="279">
                  <c:v>0.73402996351875172</c:v>
                </c:pt>
                <c:pt idx="280">
                  <c:v>0.69738477322264658</c:v>
                </c:pt>
                <c:pt idx="281">
                  <c:v>0.82452882980437148</c:v>
                </c:pt>
                <c:pt idx="282">
                  <c:v>0.75966594084683758</c:v>
                </c:pt>
                <c:pt idx="283">
                  <c:v>0.71582018798965519</c:v>
                </c:pt>
                <c:pt idx="284">
                  <c:v>0.79281468459601023</c:v>
                </c:pt>
                <c:pt idx="285">
                  <c:v>0.79561840439086962</c:v>
                </c:pt>
                <c:pt idx="286">
                  <c:v>0.79770266465976614</c:v>
                </c:pt>
                <c:pt idx="287">
                  <c:v>0.83250140831236763</c:v>
                </c:pt>
                <c:pt idx="288">
                  <c:v>0.66627270840968211</c:v>
                </c:pt>
                <c:pt idx="289">
                  <c:v>0.80709120149496938</c:v>
                </c:pt>
                <c:pt idx="290">
                  <c:v>0.76427159715211801</c:v>
                </c:pt>
                <c:pt idx="291">
                  <c:v>0.72078252231099282</c:v>
                </c:pt>
                <c:pt idx="292">
                  <c:v>0.76976458307014517</c:v>
                </c:pt>
                <c:pt idx="293">
                  <c:v>0.79431542906513708</c:v>
                </c:pt>
                <c:pt idx="294">
                  <c:v>0.79153230267352281</c:v>
                </c:pt>
                <c:pt idx="295">
                  <c:v>0.75784644096747611</c:v>
                </c:pt>
                <c:pt idx="296">
                  <c:v>0.7853730858121436</c:v>
                </c:pt>
                <c:pt idx="297">
                  <c:v>0.79792145371605483</c:v>
                </c:pt>
                <c:pt idx="298">
                  <c:v>0.78635697028039853</c:v>
                </c:pt>
                <c:pt idx="299">
                  <c:v>0.74561234371928586</c:v>
                </c:pt>
                <c:pt idx="300">
                  <c:v>0.75828835796703431</c:v>
                </c:pt>
                <c:pt idx="301">
                  <c:v>0.76692218729050932</c:v>
                </c:pt>
                <c:pt idx="302">
                  <c:v>0.77769898581702646</c:v>
                </c:pt>
                <c:pt idx="303">
                  <c:v>0.75804974465034913</c:v>
                </c:pt>
                <c:pt idx="304">
                  <c:v>0.75235107683066138</c:v>
                </c:pt>
                <c:pt idx="305">
                  <c:v>0.81368331973177488</c:v>
                </c:pt>
                <c:pt idx="306">
                  <c:v>0.83156310985653492</c:v>
                </c:pt>
                <c:pt idx="307">
                  <c:v>0.84512931504182542</c:v>
                </c:pt>
                <c:pt idx="308">
                  <c:v>0.83176192363385937</c:v>
                </c:pt>
                <c:pt idx="309">
                  <c:v>0.81877210244954635</c:v>
                </c:pt>
                <c:pt idx="310">
                  <c:v>0.81624858098043018</c:v>
                </c:pt>
                <c:pt idx="311">
                  <c:v>0.83331482213119068</c:v>
                </c:pt>
                <c:pt idx="312">
                  <c:v>0.78224289284588022</c:v>
                </c:pt>
                <c:pt idx="313">
                  <c:v>0.79771462477387711</c:v>
                </c:pt>
                <c:pt idx="314">
                  <c:v>0.72219540155254736</c:v>
                </c:pt>
                <c:pt idx="315">
                  <c:v>0.80307552420648454</c:v>
                </c:pt>
                <c:pt idx="316">
                  <c:v>0.7961859793854148</c:v>
                </c:pt>
                <c:pt idx="317">
                  <c:v>0.7607287422541833</c:v>
                </c:pt>
                <c:pt idx="318">
                  <c:v>0.79034269968038495</c:v>
                </c:pt>
                <c:pt idx="319">
                  <c:v>0.7640629932980546</c:v>
                </c:pt>
                <c:pt idx="320">
                  <c:v>0.72514517983857152</c:v>
                </c:pt>
                <c:pt idx="321">
                  <c:v>0.73722168009733102</c:v>
                </c:pt>
                <c:pt idx="322">
                  <c:v>0.7215055817025976</c:v>
                </c:pt>
                <c:pt idx="323">
                  <c:v>0.7708936755038277</c:v>
                </c:pt>
                <c:pt idx="324">
                  <c:v>0.69077538710006281</c:v>
                </c:pt>
                <c:pt idx="325">
                  <c:v>0.68741314254044006</c:v>
                </c:pt>
                <c:pt idx="326">
                  <c:v>0.75651002861512773</c:v>
                </c:pt>
                <c:pt idx="327">
                  <c:v>0.70659279230394756</c:v>
                </c:pt>
                <c:pt idx="328">
                  <c:v>0.69473138781201915</c:v>
                </c:pt>
                <c:pt idx="329">
                  <c:v>0.74820256874925117</c:v>
                </c:pt>
                <c:pt idx="330">
                  <c:v>0.81251999832920196</c:v>
                </c:pt>
                <c:pt idx="331">
                  <c:v>0.81493320009612991</c:v>
                </c:pt>
                <c:pt idx="332">
                  <c:v>0.8002563700979014</c:v>
                </c:pt>
                <c:pt idx="333">
                  <c:v>0.71975215986206909</c:v>
                </c:pt>
                <c:pt idx="334">
                  <c:v>0.7213944689897227</c:v>
                </c:pt>
                <c:pt idx="335">
                  <c:v>0.77940992228458716</c:v>
                </c:pt>
                <c:pt idx="336">
                  <c:v>0.77579125045397579</c:v>
                </c:pt>
                <c:pt idx="337">
                  <c:v>0.7756398031047208</c:v>
                </c:pt>
                <c:pt idx="338">
                  <c:v>0.78958115679704743</c:v>
                </c:pt>
                <c:pt idx="339">
                  <c:v>0.83878245632569903</c:v>
                </c:pt>
                <c:pt idx="340">
                  <c:v>0.7775730145228682</c:v>
                </c:pt>
                <c:pt idx="341">
                  <c:v>0.77711298857297628</c:v>
                </c:pt>
                <c:pt idx="342">
                  <c:v>0.77495587207889793</c:v>
                </c:pt>
                <c:pt idx="343">
                  <c:v>0.74978715767850357</c:v>
                </c:pt>
                <c:pt idx="344">
                  <c:v>0.72072353729031113</c:v>
                </c:pt>
                <c:pt idx="345">
                  <c:v>0.69204205135769536</c:v>
                </c:pt>
                <c:pt idx="346">
                  <c:v>0.58172739169994081</c:v>
                </c:pt>
                <c:pt idx="347">
                  <c:v>0.75294736934813833</c:v>
                </c:pt>
                <c:pt idx="348">
                  <c:v>0.77120335991496736</c:v>
                </c:pt>
                <c:pt idx="349">
                  <c:v>0.76248634696686646</c:v>
                </c:pt>
                <c:pt idx="350">
                  <c:v>0.76165909032119616</c:v>
                </c:pt>
                <c:pt idx="351">
                  <c:v>0.75099071183994437</c:v>
                </c:pt>
                <c:pt idx="352">
                  <c:v>0.653400907207912</c:v>
                </c:pt>
                <c:pt idx="353">
                  <c:v>0.75921136747506746</c:v>
                </c:pt>
                <c:pt idx="354">
                  <c:v>0.7631097515393539</c:v>
                </c:pt>
                <c:pt idx="355">
                  <c:v>0.79019472536853541</c:v>
                </c:pt>
                <c:pt idx="356">
                  <c:v>0.81659819938766687</c:v>
                </c:pt>
                <c:pt idx="357">
                  <c:v>0.79983872048268334</c:v>
                </c:pt>
                <c:pt idx="358">
                  <c:v>0.7302364161035293</c:v>
                </c:pt>
                <c:pt idx="359">
                  <c:v>0.75922003582255726</c:v>
                </c:pt>
                <c:pt idx="360">
                  <c:v>0.78553958133493917</c:v>
                </c:pt>
                <c:pt idx="361">
                  <c:v>0.78459177218792409</c:v>
                </c:pt>
                <c:pt idx="362">
                  <c:v>0.66362927576156705</c:v>
                </c:pt>
                <c:pt idx="363">
                  <c:v>0.67195152845064865</c:v>
                </c:pt>
                <c:pt idx="364">
                  <c:v>0.76453666948125609</c:v>
                </c:pt>
                <c:pt idx="365">
                  <c:v>0.79778743078564485</c:v>
                </c:pt>
                <c:pt idx="366">
                  <c:v>0.78556993779512363</c:v>
                </c:pt>
                <c:pt idx="367">
                  <c:v>0.79711377218131174</c:v>
                </c:pt>
                <c:pt idx="368">
                  <c:v>0.79446536655892996</c:v>
                </c:pt>
                <c:pt idx="369">
                  <c:v>0.7473302961792736</c:v>
                </c:pt>
                <c:pt idx="370">
                  <c:v>0.68205190286355644</c:v>
                </c:pt>
                <c:pt idx="371">
                  <c:v>0.76274454328749242</c:v>
                </c:pt>
                <c:pt idx="372">
                  <c:v>0.77635987085655533</c:v>
                </c:pt>
                <c:pt idx="373">
                  <c:v>0.76958903186449812</c:v>
                </c:pt>
                <c:pt idx="374">
                  <c:v>0.72795434277242799</c:v>
                </c:pt>
                <c:pt idx="375">
                  <c:v>0.7892302424133345</c:v>
                </c:pt>
                <c:pt idx="376">
                  <c:v>0.75551016329688747</c:v>
                </c:pt>
                <c:pt idx="377">
                  <c:v>0.79148899349896074</c:v>
                </c:pt>
                <c:pt idx="378">
                  <c:v>0.80925131572692743</c:v>
                </c:pt>
                <c:pt idx="379">
                  <c:v>0.76195402420878511</c:v>
                </c:pt>
                <c:pt idx="380">
                  <c:v>0.79813745945070724</c:v>
                </c:pt>
                <c:pt idx="381">
                  <c:v>0.72423852315265247</c:v>
                </c:pt>
                <c:pt idx="382">
                  <c:v>0.71965137079510288</c:v>
                </c:pt>
                <c:pt idx="383">
                  <c:v>0.80644160848820989</c:v>
                </c:pt>
                <c:pt idx="384">
                  <c:v>0.75802985207102935</c:v>
                </c:pt>
                <c:pt idx="385">
                  <c:v>0.73312290099233057</c:v>
                </c:pt>
                <c:pt idx="386">
                  <c:v>0.77189883889938615</c:v>
                </c:pt>
                <c:pt idx="387">
                  <c:v>0.8435825579388595</c:v>
                </c:pt>
                <c:pt idx="388">
                  <c:v>0.78313658599450364</c:v>
                </c:pt>
                <c:pt idx="389">
                  <c:v>0.71912281421775637</c:v>
                </c:pt>
                <c:pt idx="390">
                  <c:v>0.77582213723564331</c:v>
                </c:pt>
                <c:pt idx="391">
                  <c:v>0.75550755852578266</c:v>
                </c:pt>
                <c:pt idx="392">
                  <c:v>0.75821127921196974</c:v>
                </c:pt>
                <c:pt idx="393">
                  <c:v>0.79441533690421473</c:v>
                </c:pt>
                <c:pt idx="394">
                  <c:v>0.79243306391825552</c:v>
                </c:pt>
                <c:pt idx="395">
                  <c:v>0.78035387103022125</c:v>
                </c:pt>
                <c:pt idx="396">
                  <c:v>0.72626747025802951</c:v>
                </c:pt>
                <c:pt idx="397">
                  <c:v>0.758534327897186</c:v>
                </c:pt>
                <c:pt idx="398">
                  <c:v>0.76519259193715272</c:v>
                </c:pt>
                <c:pt idx="399">
                  <c:v>0.75924726491206762</c:v>
                </c:pt>
                <c:pt idx="400">
                  <c:v>0.73395112618742697</c:v>
                </c:pt>
                <c:pt idx="401">
                  <c:v>0.76403440727916638</c:v>
                </c:pt>
                <c:pt idx="402">
                  <c:v>0.75186028182438747</c:v>
                </c:pt>
                <c:pt idx="403">
                  <c:v>0.79338786823351815</c:v>
                </c:pt>
                <c:pt idx="404">
                  <c:v>0.78135427572038452</c:v>
                </c:pt>
                <c:pt idx="405">
                  <c:v>0.74293738618576044</c:v>
                </c:pt>
                <c:pt idx="406">
                  <c:v>0.73820660499674207</c:v>
                </c:pt>
                <c:pt idx="407">
                  <c:v>0.78307076553754773</c:v>
                </c:pt>
                <c:pt idx="408">
                  <c:v>0.7986534406408603</c:v>
                </c:pt>
                <c:pt idx="409">
                  <c:v>0.81245565388291718</c:v>
                </c:pt>
                <c:pt idx="410">
                  <c:v>0.80862668765029555</c:v>
                </c:pt>
                <c:pt idx="411">
                  <c:v>0.71972189109663376</c:v>
                </c:pt>
                <c:pt idx="412">
                  <c:v>0.69709268867264129</c:v>
                </c:pt>
                <c:pt idx="413">
                  <c:v>0.648396584208768</c:v>
                </c:pt>
                <c:pt idx="414">
                  <c:v>0.75342793388944518</c:v>
                </c:pt>
                <c:pt idx="415">
                  <c:v>0.75980007473191946</c:v>
                </c:pt>
                <c:pt idx="416">
                  <c:v>0.75567503407102388</c:v>
                </c:pt>
                <c:pt idx="417">
                  <c:v>0.81162035044793968</c:v>
                </c:pt>
                <c:pt idx="418">
                  <c:v>0.64662315658917791</c:v>
                </c:pt>
                <c:pt idx="419">
                  <c:v>0.81107703845845658</c:v>
                </c:pt>
                <c:pt idx="420">
                  <c:v>0.80409675126449787</c:v>
                </c:pt>
                <c:pt idx="421">
                  <c:v>0.79443955250455933</c:v>
                </c:pt>
                <c:pt idx="422">
                  <c:v>0.7851014967143275</c:v>
                </c:pt>
                <c:pt idx="423">
                  <c:v>0.77456139526530687</c:v>
                </c:pt>
                <c:pt idx="424">
                  <c:v>0.81580845537646662</c:v>
                </c:pt>
                <c:pt idx="425">
                  <c:v>0.57140672304889928</c:v>
                </c:pt>
                <c:pt idx="426">
                  <c:v>0.72941566455002205</c:v>
                </c:pt>
                <c:pt idx="427">
                  <c:v>0.80782396497327902</c:v>
                </c:pt>
                <c:pt idx="428">
                  <c:v>0.7898802395414587</c:v>
                </c:pt>
                <c:pt idx="429">
                  <c:v>0.80113391576447945</c:v>
                </c:pt>
                <c:pt idx="430">
                  <c:v>0.77727049734481379</c:v>
                </c:pt>
                <c:pt idx="431">
                  <c:v>0.80720418159267282</c:v>
                </c:pt>
                <c:pt idx="432">
                  <c:v>0.80525861492400486</c:v>
                </c:pt>
                <c:pt idx="433">
                  <c:v>0.74424740231145714</c:v>
                </c:pt>
                <c:pt idx="434">
                  <c:v>0.7608983314585106</c:v>
                </c:pt>
                <c:pt idx="435">
                  <c:v>0.77833599447942503</c:v>
                </c:pt>
                <c:pt idx="436">
                  <c:v>0.79291459794775965</c:v>
                </c:pt>
                <c:pt idx="437">
                  <c:v>0.78708005847711737</c:v>
                </c:pt>
                <c:pt idx="438">
                  <c:v>0.63269132805538475</c:v>
                </c:pt>
                <c:pt idx="439">
                  <c:v>0.71094084945714886</c:v>
                </c:pt>
                <c:pt idx="440">
                  <c:v>0.79658289670302607</c:v>
                </c:pt>
                <c:pt idx="441">
                  <c:v>0.761748790425261</c:v>
                </c:pt>
                <c:pt idx="442">
                  <c:v>0.7783786194658624</c:v>
                </c:pt>
                <c:pt idx="443">
                  <c:v>0.7865815183412731</c:v>
                </c:pt>
                <c:pt idx="444">
                  <c:v>0.82613047964032393</c:v>
                </c:pt>
                <c:pt idx="445">
                  <c:v>0.79095277406484599</c:v>
                </c:pt>
                <c:pt idx="446">
                  <c:v>0.76619753733070606</c:v>
                </c:pt>
                <c:pt idx="447">
                  <c:v>0.77888068882735295</c:v>
                </c:pt>
                <c:pt idx="448">
                  <c:v>0.77965797628881184</c:v>
                </c:pt>
                <c:pt idx="449">
                  <c:v>0.78426827804112231</c:v>
                </c:pt>
                <c:pt idx="450">
                  <c:v>0.78781531173086972</c:v>
                </c:pt>
                <c:pt idx="451">
                  <c:v>0.72464353906247081</c:v>
                </c:pt>
                <c:pt idx="452">
                  <c:v>0.72817636127946039</c:v>
                </c:pt>
                <c:pt idx="453">
                  <c:v>0.70022139741773504</c:v>
                </c:pt>
                <c:pt idx="454">
                  <c:v>0.73978888543735311</c:v>
                </c:pt>
                <c:pt idx="455">
                  <c:v>0.74435825945924816</c:v>
                </c:pt>
                <c:pt idx="456">
                  <c:v>0.79453116626240816</c:v>
                </c:pt>
                <c:pt idx="457">
                  <c:v>0.77599913506866514</c:v>
                </c:pt>
                <c:pt idx="458">
                  <c:v>0.79797935864243363</c:v>
                </c:pt>
                <c:pt idx="459">
                  <c:v>0.75914536626680551</c:v>
                </c:pt>
                <c:pt idx="460">
                  <c:v>0.79146882342810876</c:v>
                </c:pt>
                <c:pt idx="461">
                  <c:v>0.71509694704647686</c:v>
                </c:pt>
                <c:pt idx="462">
                  <c:v>0.73637995393787747</c:v>
                </c:pt>
                <c:pt idx="463">
                  <c:v>0.78184566917708276</c:v>
                </c:pt>
                <c:pt idx="464">
                  <c:v>0.83497739564436735</c:v>
                </c:pt>
                <c:pt idx="465">
                  <c:v>0.82779450758377127</c:v>
                </c:pt>
                <c:pt idx="466">
                  <c:v>0.7871368593216328</c:v>
                </c:pt>
                <c:pt idx="467">
                  <c:v>0.73012178897365498</c:v>
                </c:pt>
                <c:pt idx="468">
                  <c:v>0.75097095879374476</c:v>
                </c:pt>
                <c:pt idx="469">
                  <c:v>0.79526201781659833</c:v>
                </c:pt>
                <c:pt idx="470">
                  <c:v>0.86012375538716979</c:v>
                </c:pt>
                <c:pt idx="471">
                  <c:v>0.93314144321567427</c:v>
                </c:pt>
                <c:pt idx="472">
                  <c:v>0.91124400794513261</c:v>
                </c:pt>
                <c:pt idx="473">
                  <c:v>0.71030316929751547</c:v>
                </c:pt>
                <c:pt idx="47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41-474C-AF79-D987EABE4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3800511"/>
        <c:axId val="813800991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ASSETS!$G$18</c15:sqref>
                        </c15:formulaRef>
                      </c:ext>
                    </c:extLst>
                    <c:strCache>
                      <c:ptCount val="1"/>
                      <c:pt idx="0">
                        <c:v> Drift magnitude </c:v>
                      </c:pt>
                    </c:strCache>
                  </c:strRef>
                </c:tx>
                <c:spPr>
                  <a:ln w="9525" cap="sq">
                    <a:solidFill>
                      <a:schemeClr val="bg1">
                        <a:lumMod val="75000"/>
                      </a:schemeClr>
                    </a:solidFill>
                    <a:prstDash val="sysDash"/>
                    <a:round/>
                  </a:ln>
                  <a:effectLst>
                    <a:softEdge rad="0"/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ASSETS!$C$19:$C$493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7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ASSETS!$G$19:$G$493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475"/>
                      <c:pt idx="0">
                        <c:v>1</c:v>
                      </c:pt>
                      <c:pt idx="1">
                        <c:v>7.5834592469833206E-2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8.386645630693576E-2</c:v>
                      </c:pt>
                      <c:pt idx="6">
                        <c:v>1</c:v>
                      </c:pt>
                      <c:pt idx="7">
                        <c:v>9.375886436411171E-2</c:v>
                      </c:pt>
                      <c:pt idx="8">
                        <c:v>0.17484675524944629</c:v>
                      </c:pt>
                      <c:pt idx="9">
                        <c:v>7.2918543482594772E-2</c:v>
                      </c:pt>
                      <c:pt idx="10">
                        <c:v>0.11230528050989</c:v>
                      </c:pt>
                      <c:pt idx="11">
                        <c:v>1</c:v>
                      </c:pt>
                      <c:pt idx="12">
                        <c:v>6.6453537242951263E-2</c:v>
                      </c:pt>
                      <c:pt idx="13">
                        <c:v>8.3313359516260219E-2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0.1012194455273091</c:v>
                      </c:pt>
                      <c:pt idx="17">
                        <c:v>0.1210016056775365</c:v>
                      </c:pt>
                      <c:pt idx="18">
                        <c:v>0.1418522820050851</c:v>
                      </c:pt>
                      <c:pt idx="19">
                        <c:v>0.18282068239840291</c:v>
                      </c:pt>
                      <c:pt idx="20">
                        <c:v>9.369159540166061E-2</c:v>
                      </c:pt>
                      <c:pt idx="21">
                        <c:v>0.13229805012053941</c:v>
                      </c:pt>
                      <c:pt idx="22">
                        <c:v>0.1706736873450001</c:v>
                      </c:pt>
                      <c:pt idx="23">
                        <c:v>0.143243179061745</c:v>
                      </c:pt>
                      <c:pt idx="24">
                        <c:v>0.29310427146489693</c:v>
                      </c:pt>
                      <c:pt idx="25">
                        <c:v>1</c:v>
                      </c:pt>
                      <c:pt idx="26">
                        <c:v>0.1162233810887723</c:v>
                      </c:pt>
                      <c:pt idx="27">
                        <c:v>0.20461269967764029</c:v>
                      </c:pt>
                      <c:pt idx="28">
                        <c:v>0.167280042660339</c:v>
                      </c:pt>
                      <c:pt idx="29">
                        <c:v>1</c:v>
                      </c:pt>
                      <c:pt idx="30">
                        <c:v>9.3370446753272912E-2</c:v>
                      </c:pt>
                      <c:pt idx="31">
                        <c:v>0.1134490431037104</c:v>
                      </c:pt>
                      <c:pt idx="32">
                        <c:v>0.1555818942973039</c:v>
                      </c:pt>
                      <c:pt idx="33">
                        <c:v>0.129060699043648</c:v>
                      </c:pt>
                      <c:pt idx="34">
                        <c:v>0.16376669107901901</c:v>
                      </c:pt>
                      <c:pt idx="35">
                        <c:v>1</c:v>
                      </c:pt>
                      <c:pt idx="36">
                        <c:v>6.2605129081294578E-2</c:v>
                      </c:pt>
                      <c:pt idx="37">
                        <c:v>0.14741901733653259</c:v>
                      </c:pt>
                      <c:pt idx="38">
                        <c:v>0.17517462334531109</c:v>
                      </c:pt>
                      <c:pt idx="39">
                        <c:v>7.9269559785983948E-2</c:v>
                      </c:pt>
                      <c:pt idx="40">
                        <c:v>1</c:v>
                      </c:pt>
                      <c:pt idx="41">
                        <c:v>0.1076916466264853</c:v>
                      </c:pt>
                      <c:pt idx="42">
                        <c:v>0.1294644521479214</c:v>
                      </c:pt>
                      <c:pt idx="43">
                        <c:v>0.1731906438575003</c:v>
                      </c:pt>
                      <c:pt idx="44">
                        <c:v>8.9914905845369666E-2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8.4886181777097294E-2</c:v>
                      </c:pt>
                      <c:pt idx="48">
                        <c:v>0.1124111135233011</c:v>
                      </c:pt>
                      <c:pt idx="49">
                        <c:v>0.1601605791458417</c:v>
                      </c:pt>
                      <c:pt idx="50">
                        <c:v>0.14230698377846179</c:v>
                      </c:pt>
                      <c:pt idx="51">
                        <c:v>1</c:v>
                      </c:pt>
                      <c:pt idx="52">
                        <c:v>0.1128273192916852</c:v>
                      </c:pt>
                      <c:pt idx="53">
                        <c:v>1</c:v>
                      </c:pt>
                      <c:pt idx="54">
                        <c:v>8.7709479982460092E-2</c:v>
                      </c:pt>
                      <c:pt idx="55">
                        <c:v>0.1084411182114443</c:v>
                      </c:pt>
                      <c:pt idx="56">
                        <c:v>0.17798391644064321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0.13761496595042649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0.2660797841624305</c:v>
                      </c:pt>
                      <c:pt idx="63">
                        <c:v>8.965569471239658E-2</c:v>
                      </c:pt>
                      <c:pt idx="64">
                        <c:v>0.16485167015880431</c:v>
                      </c:pt>
                      <c:pt idx="65">
                        <c:v>5.3713134207473742E-2</c:v>
                      </c:pt>
                      <c:pt idx="66">
                        <c:v>0.1254775264468955</c:v>
                      </c:pt>
                      <c:pt idx="67">
                        <c:v>0.16534479385370901</c:v>
                      </c:pt>
                      <c:pt idx="68">
                        <c:v>9.1188072708564175E-2</c:v>
                      </c:pt>
                      <c:pt idx="69">
                        <c:v>1</c:v>
                      </c:pt>
                      <c:pt idx="70">
                        <c:v>0.10715112468227431</c:v>
                      </c:pt>
                      <c:pt idx="71">
                        <c:v>0.18430274274544081</c:v>
                      </c:pt>
                      <c:pt idx="72">
                        <c:v>1</c:v>
                      </c:pt>
                      <c:pt idx="73">
                        <c:v>6.4030739139251974E-2</c:v>
                      </c:pt>
                      <c:pt idx="74">
                        <c:v>0.1080485386945983</c:v>
                      </c:pt>
                      <c:pt idx="75">
                        <c:v>1</c:v>
                      </c:pt>
                      <c:pt idx="76">
                        <c:v>0.1105562495217106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0.106527654834498</c:v>
                      </c:pt>
                      <c:pt idx="81">
                        <c:v>0.1222818660752968</c:v>
                      </c:pt>
                      <c:pt idx="82">
                        <c:v>0.1360942592554483</c:v>
                      </c:pt>
                      <c:pt idx="83">
                        <c:v>0.15366695856604429</c:v>
                      </c:pt>
                      <c:pt idx="84">
                        <c:v>7.2948891289643714E-2</c:v>
                      </c:pt>
                      <c:pt idx="85">
                        <c:v>1</c:v>
                      </c:pt>
                      <c:pt idx="86">
                        <c:v>7.1904970139076124E-2</c:v>
                      </c:pt>
                      <c:pt idx="87">
                        <c:v>1</c:v>
                      </c:pt>
                      <c:pt idx="88">
                        <c:v>0.1184801141073157</c:v>
                      </c:pt>
                      <c:pt idx="89">
                        <c:v>0.16284338726244879</c:v>
                      </c:pt>
                      <c:pt idx="90">
                        <c:v>0.1209271927912156</c:v>
                      </c:pt>
                      <c:pt idx="91">
                        <c:v>0.1861410868868455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9.4180174557816812E-2</c:v>
                      </c:pt>
                      <c:pt idx="95">
                        <c:v>1</c:v>
                      </c:pt>
                      <c:pt idx="96">
                        <c:v>0.13982830255050641</c:v>
                      </c:pt>
                      <c:pt idx="97">
                        <c:v>0.20730962553115739</c:v>
                      </c:pt>
                      <c:pt idx="98">
                        <c:v>1</c:v>
                      </c:pt>
                      <c:pt idx="99">
                        <c:v>9.1730555799039423E-2</c:v>
                      </c:pt>
                      <c:pt idx="100">
                        <c:v>1</c:v>
                      </c:pt>
                      <c:pt idx="101">
                        <c:v>7.2624468417846796E-2</c:v>
                      </c:pt>
                      <c:pt idx="102">
                        <c:v>0.1214860421541992</c:v>
                      </c:pt>
                      <c:pt idx="103">
                        <c:v>0.17523808229613971</c:v>
                      </c:pt>
                      <c:pt idx="104">
                        <c:v>8.547472659307008E-2</c:v>
                      </c:pt>
                      <c:pt idx="105">
                        <c:v>8.9414728977269153E-2</c:v>
                      </c:pt>
                      <c:pt idx="106">
                        <c:v>0.1262246708820644</c:v>
                      </c:pt>
                      <c:pt idx="107">
                        <c:v>0.14858663391729179</c:v>
                      </c:pt>
                      <c:pt idx="108">
                        <c:v>0.17801795441612689</c:v>
                      </c:pt>
                      <c:pt idx="109">
                        <c:v>1</c:v>
                      </c:pt>
                      <c:pt idx="110">
                        <c:v>7.6234031622593401E-2</c:v>
                      </c:pt>
                      <c:pt idx="111">
                        <c:v>0.16079646761313179</c:v>
                      </c:pt>
                      <c:pt idx="112">
                        <c:v>9.6014157345081313E-2</c:v>
                      </c:pt>
                      <c:pt idx="113">
                        <c:v>0.1043263918523126</c:v>
                      </c:pt>
                      <c:pt idx="114">
                        <c:v>1</c:v>
                      </c:pt>
                      <c:pt idx="115">
                        <c:v>0.13181084931160869</c:v>
                      </c:pt>
                      <c:pt idx="116">
                        <c:v>0.14967231376392459</c:v>
                      </c:pt>
                      <c:pt idx="117">
                        <c:v>0.1731922152442596</c:v>
                      </c:pt>
                      <c:pt idx="118">
                        <c:v>0.1163421712088321</c:v>
                      </c:pt>
                      <c:pt idx="119">
                        <c:v>0.18093004683249009</c:v>
                      </c:pt>
                      <c:pt idx="120">
                        <c:v>0.1016781687887412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0.15601943328617759</c:v>
                      </c:pt>
                      <c:pt idx="126">
                        <c:v>0.11153750597299809</c:v>
                      </c:pt>
                      <c:pt idx="127">
                        <c:v>0.1567810405957879</c:v>
                      </c:pt>
                      <c:pt idx="128">
                        <c:v>1</c:v>
                      </c:pt>
                      <c:pt idx="129">
                        <c:v>7.8638647522137672E-2</c:v>
                      </c:pt>
                      <c:pt idx="130">
                        <c:v>0.1136321622391555</c:v>
                      </c:pt>
                      <c:pt idx="131">
                        <c:v>0.13566424530252269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9.5542677158155898E-2</c:v>
                      </c:pt>
                      <c:pt idx="136">
                        <c:v>0.1073141516168869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0.11986917503843331</c:v>
                      </c:pt>
                      <c:pt idx="142">
                        <c:v>0.14738287396568869</c:v>
                      </c:pt>
                      <c:pt idx="143">
                        <c:v>0.1405399499442066</c:v>
                      </c:pt>
                      <c:pt idx="144">
                        <c:v>0.13958242833007581</c:v>
                      </c:pt>
                      <c:pt idx="145">
                        <c:v>0.14029258683721799</c:v>
                      </c:pt>
                      <c:pt idx="146">
                        <c:v>0.13358818929863411</c:v>
                      </c:pt>
                      <c:pt idx="147">
                        <c:v>0.1480997246995063</c:v>
                      </c:pt>
                      <c:pt idx="148">
                        <c:v>0.16732809246073729</c:v>
                      </c:pt>
                      <c:pt idx="149">
                        <c:v>8.9962135282265571E-2</c:v>
                      </c:pt>
                      <c:pt idx="150">
                        <c:v>0.1424765987688944</c:v>
                      </c:pt>
                      <c:pt idx="151">
                        <c:v>0.18939049124439081</c:v>
                      </c:pt>
                      <c:pt idx="152">
                        <c:v>0.15758323905698399</c:v>
                      </c:pt>
                      <c:pt idx="153">
                        <c:v>0.11915433875232211</c:v>
                      </c:pt>
                      <c:pt idx="154">
                        <c:v>0.1419623830124776</c:v>
                      </c:pt>
                      <c:pt idx="155">
                        <c:v>0.19198531779501901</c:v>
                      </c:pt>
                      <c:pt idx="156">
                        <c:v>0.1066352119789961</c:v>
                      </c:pt>
                      <c:pt idx="157">
                        <c:v>0.1047441203561605</c:v>
                      </c:pt>
                      <c:pt idx="158">
                        <c:v>0.13479755002712679</c:v>
                      </c:pt>
                      <c:pt idx="159">
                        <c:v>0.2406709480708816</c:v>
                      </c:pt>
                      <c:pt idx="160">
                        <c:v>0.15014498189799441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8.6426060583563363E-2</c:v>
                      </c:pt>
                      <c:pt idx="165">
                        <c:v>0.12979456376795481</c:v>
                      </c:pt>
                      <c:pt idx="166">
                        <c:v>0.16686300573888849</c:v>
                      </c:pt>
                      <c:pt idx="167">
                        <c:v>0.1030177204502966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0.1067960185336588</c:v>
                      </c:pt>
                      <c:pt idx="171">
                        <c:v>0.14739598359241921</c:v>
                      </c:pt>
                      <c:pt idx="172">
                        <c:v>0.1311222729861756</c:v>
                      </c:pt>
                      <c:pt idx="173">
                        <c:v>1</c:v>
                      </c:pt>
                      <c:pt idx="174">
                        <c:v>8.2751452372481729E-2</c:v>
                      </c:pt>
                      <c:pt idx="175">
                        <c:v>1</c:v>
                      </c:pt>
                      <c:pt idx="176">
                        <c:v>7.6975332548627928E-2</c:v>
                      </c:pt>
                      <c:pt idx="177">
                        <c:v>0.1407463368429932</c:v>
                      </c:pt>
                      <c:pt idx="178">
                        <c:v>0.15121921763333071</c:v>
                      </c:pt>
                      <c:pt idx="179">
                        <c:v>9.5753930927305678E-2</c:v>
                      </c:pt>
                      <c:pt idx="180">
                        <c:v>0.108892794386917</c:v>
                      </c:pt>
                      <c:pt idx="181">
                        <c:v>0.12619088863566649</c:v>
                      </c:pt>
                      <c:pt idx="182">
                        <c:v>1</c:v>
                      </c:pt>
                      <c:pt idx="183">
                        <c:v>6.9593687454860081E-2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9.3058499340247069E-2</c:v>
                      </c:pt>
                      <c:pt idx="187">
                        <c:v>0.13894938515205499</c:v>
                      </c:pt>
                      <c:pt idx="188">
                        <c:v>1</c:v>
                      </c:pt>
                      <c:pt idx="189">
                        <c:v>8.1876463236706581E-2</c:v>
                      </c:pt>
                      <c:pt idx="190">
                        <c:v>0.1352415907401717</c:v>
                      </c:pt>
                      <c:pt idx="191">
                        <c:v>0.26320707025814261</c:v>
                      </c:pt>
                      <c:pt idx="192">
                        <c:v>8.7703653276777135E-2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0.11509533442871681</c:v>
                      </c:pt>
                      <c:pt idx="196">
                        <c:v>0.15133655318342881</c:v>
                      </c:pt>
                      <c:pt idx="197">
                        <c:v>0.1313946932557285</c:v>
                      </c:pt>
                      <c:pt idx="198">
                        <c:v>1</c:v>
                      </c:pt>
                      <c:pt idx="199">
                        <c:v>0.2420304448783632</c:v>
                      </c:pt>
                      <c:pt idx="200">
                        <c:v>1</c:v>
                      </c:pt>
                      <c:pt idx="201">
                        <c:v>0.1120578607286815</c:v>
                      </c:pt>
                      <c:pt idx="202">
                        <c:v>0.17086816434435231</c:v>
                      </c:pt>
                      <c:pt idx="203">
                        <c:v>0.12757810241491779</c:v>
                      </c:pt>
                      <c:pt idx="204">
                        <c:v>0.13446403293058681</c:v>
                      </c:pt>
                      <c:pt idx="205">
                        <c:v>0.17699958048757999</c:v>
                      </c:pt>
                      <c:pt idx="206">
                        <c:v>1</c:v>
                      </c:pt>
                      <c:pt idx="207">
                        <c:v>0.1232029956076517</c:v>
                      </c:pt>
                      <c:pt idx="208">
                        <c:v>0.20968270783100451</c:v>
                      </c:pt>
                      <c:pt idx="209">
                        <c:v>0.1364215336225664</c:v>
                      </c:pt>
                      <c:pt idx="210">
                        <c:v>0.24325206973419811</c:v>
                      </c:pt>
                      <c:pt idx="211">
                        <c:v>0.1237791971523865</c:v>
                      </c:pt>
                      <c:pt idx="212">
                        <c:v>1</c:v>
                      </c:pt>
                      <c:pt idx="213">
                        <c:v>0.13083959548674789</c:v>
                      </c:pt>
                      <c:pt idx="214">
                        <c:v>0.2155104203311706</c:v>
                      </c:pt>
                      <c:pt idx="215">
                        <c:v>0.11615720781454671</c:v>
                      </c:pt>
                      <c:pt idx="216">
                        <c:v>0.1504899595832192</c:v>
                      </c:pt>
                      <c:pt idx="217">
                        <c:v>0.10417256126016609</c:v>
                      </c:pt>
                      <c:pt idx="218">
                        <c:v>0.1009511272630704</c:v>
                      </c:pt>
                      <c:pt idx="219">
                        <c:v>0.19029278971658359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8.6691381429329001E-2</c:v>
                      </c:pt>
                      <c:pt idx="223">
                        <c:v>0.12954879343457809</c:v>
                      </c:pt>
                      <c:pt idx="224">
                        <c:v>0.14544689983953199</c:v>
                      </c:pt>
                      <c:pt idx="225">
                        <c:v>0.18333248806875019</c:v>
                      </c:pt>
                      <c:pt idx="226">
                        <c:v>9.1653847235392397E-2</c:v>
                      </c:pt>
                      <c:pt idx="227">
                        <c:v>0.13119909092342891</c:v>
                      </c:pt>
                      <c:pt idx="228">
                        <c:v>0.14881457829023051</c:v>
                      </c:pt>
                      <c:pt idx="229">
                        <c:v>0.16199008948326421</c:v>
                      </c:pt>
                      <c:pt idx="230">
                        <c:v>0.1015452537075463</c:v>
                      </c:pt>
                      <c:pt idx="231">
                        <c:v>0.17325996249056599</c:v>
                      </c:pt>
                      <c:pt idx="232">
                        <c:v>8.8755050806073793E-2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0.1035930561575472</c:v>
                      </c:pt>
                      <c:pt idx="236">
                        <c:v>0.112827668116632</c:v>
                      </c:pt>
                      <c:pt idx="237">
                        <c:v>0.14014210847343361</c:v>
                      </c:pt>
                      <c:pt idx="238">
                        <c:v>0.19047014851669969</c:v>
                      </c:pt>
                      <c:pt idx="239">
                        <c:v>0.2292199733144793</c:v>
                      </c:pt>
                      <c:pt idx="240">
                        <c:v>0.1464425273993106</c:v>
                      </c:pt>
                      <c:pt idx="241">
                        <c:v>0.20500599707533479</c:v>
                      </c:pt>
                      <c:pt idx="242">
                        <c:v>0.2115859301168671</c:v>
                      </c:pt>
                      <c:pt idx="243">
                        <c:v>0.1557368963924112</c:v>
                      </c:pt>
                      <c:pt idx="244">
                        <c:v>0.11296430715484609</c:v>
                      </c:pt>
                      <c:pt idx="245">
                        <c:v>0.16801475747831501</c:v>
                      </c:pt>
                      <c:pt idx="246">
                        <c:v>9.2864244099292503E-2</c:v>
                      </c:pt>
                      <c:pt idx="247">
                        <c:v>0.11157905734773541</c:v>
                      </c:pt>
                      <c:pt idx="248">
                        <c:v>0.15039731114401811</c:v>
                      </c:pt>
                      <c:pt idx="249">
                        <c:v>0.1200402252982135</c:v>
                      </c:pt>
                      <c:pt idx="250">
                        <c:v>0.1245273334801415</c:v>
                      </c:pt>
                      <c:pt idx="251">
                        <c:v>0.1895757411739179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0.1162781517844131</c:v>
                      </c:pt>
                      <c:pt idx="255">
                        <c:v>0.17888193969344071</c:v>
                      </c:pt>
                      <c:pt idx="256">
                        <c:v>8.4170601148924704E-2</c:v>
                      </c:pt>
                      <c:pt idx="257">
                        <c:v>0.1820131185224419</c:v>
                      </c:pt>
                      <c:pt idx="258">
                        <c:v>7.2335913864412293E-2</c:v>
                      </c:pt>
                      <c:pt idx="259">
                        <c:v>0.1085117378524057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0.12860102207782539</c:v>
                      </c:pt>
                      <c:pt idx="264">
                        <c:v>0.17632801339860249</c:v>
                      </c:pt>
                      <c:pt idx="265">
                        <c:v>1</c:v>
                      </c:pt>
                      <c:pt idx="266">
                        <c:v>8.5673389663378133E-2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8.5830980943580215E-2</c:v>
                      </c:pt>
                      <c:pt idx="271">
                        <c:v>0.113730350637683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0.1027100702708057</c:v>
                      </c:pt>
                      <c:pt idx="276">
                        <c:v>0.14202690732339129</c:v>
                      </c:pt>
                      <c:pt idx="277">
                        <c:v>0.15563048673280039</c:v>
                      </c:pt>
                      <c:pt idx="278">
                        <c:v>7.0577396874834691E-2</c:v>
                      </c:pt>
                      <c:pt idx="279">
                        <c:v>9.6650054120026724E-2</c:v>
                      </c:pt>
                      <c:pt idx="280">
                        <c:v>0.12854379463839891</c:v>
                      </c:pt>
                      <c:pt idx="281">
                        <c:v>0.24287696963844679</c:v>
                      </c:pt>
                      <c:pt idx="282">
                        <c:v>0.15685760416756531</c:v>
                      </c:pt>
                      <c:pt idx="283">
                        <c:v>0.1395244204360295</c:v>
                      </c:pt>
                      <c:pt idx="284">
                        <c:v>0.22163577649684171</c:v>
                      </c:pt>
                      <c:pt idx="285">
                        <c:v>0.1426981582013053</c:v>
                      </c:pt>
                      <c:pt idx="286">
                        <c:v>0.18094840340452761</c:v>
                      </c:pt>
                      <c:pt idx="287">
                        <c:v>1</c:v>
                      </c:pt>
                      <c:pt idx="288">
                        <c:v>8.5126501306926339E-2</c:v>
                      </c:pt>
                      <c:pt idx="289">
                        <c:v>1</c:v>
                      </c:pt>
                      <c:pt idx="290">
                        <c:v>7.6543183690541167E-2</c:v>
                      </c:pt>
                      <c:pt idx="291">
                        <c:v>1</c:v>
                      </c:pt>
                      <c:pt idx="292">
                        <c:v>8.6325153284138423E-2</c:v>
                      </c:pt>
                      <c:pt idx="293">
                        <c:v>1</c:v>
                      </c:pt>
                      <c:pt idx="294">
                        <c:v>0.1684966999712624</c:v>
                      </c:pt>
                      <c:pt idx="295">
                        <c:v>9.3011421276505871E-2</c:v>
                      </c:pt>
                      <c:pt idx="296">
                        <c:v>0.1642043577794696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0.13596725121229489</c:v>
                      </c:pt>
                      <c:pt idx="300">
                        <c:v>0.14257593306233721</c:v>
                      </c:pt>
                      <c:pt idx="301">
                        <c:v>0.2393604514748528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0.14520682781370431</c:v>
                      </c:pt>
                      <c:pt idx="305">
                        <c:v>0.2040543471557166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8.6601513360103438E-2</c:v>
                      </c:pt>
                      <c:pt idx="309">
                        <c:v>1</c:v>
                      </c:pt>
                      <c:pt idx="310">
                        <c:v>8.2345268924873413E-2</c:v>
                      </c:pt>
                      <c:pt idx="311">
                        <c:v>1</c:v>
                      </c:pt>
                      <c:pt idx="312">
                        <c:v>9.3495810206658786E-2</c:v>
                      </c:pt>
                      <c:pt idx="313">
                        <c:v>1</c:v>
                      </c:pt>
                      <c:pt idx="314">
                        <c:v>8.5289610691416121E-2</c:v>
                      </c:pt>
                      <c:pt idx="315">
                        <c:v>0.14974312293088529</c:v>
                      </c:pt>
                      <c:pt idx="316">
                        <c:v>1</c:v>
                      </c:pt>
                      <c:pt idx="317">
                        <c:v>0.13208507430464769</c:v>
                      </c:pt>
                      <c:pt idx="318">
                        <c:v>0.12453193136172</c:v>
                      </c:pt>
                      <c:pt idx="319">
                        <c:v>0.15335086087846311</c:v>
                      </c:pt>
                      <c:pt idx="320">
                        <c:v>0.119931860566675</c:v>
                      </c:pt>
                      <c:pt idx="321">
                        <c:v>0.11813989719446211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0.1106860800782261</c:v>
                      </c:pt>
                      <c:pt idx="325">
                        <c:v>0.1199546128160885</c:v>
                      </c:pt>
                      <c:pt idx="326">
                        <c:v>0.16855122979040671</c:v>
                      </c:pt>
                      <c:pt idx="327">
                        <c:v>9.6429370624937671E-2</c:v>
                      </c:pt>
                      <c:pt idx="328">
                        <c:v>0.1596690330701854</c:v>
                      </c:pt>
                      <c:pt idx="329">
                        <c:v>1</c:v>
                      </c:pt>
                      <c:pt idx="330">
                        <c:v>0.1013152440363425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0.1439518872392492</c:v>
                      </c:pt>
                      <c:pt idx="334">
                        <c:v>0.1357387987551987</c:v>
                      </c:pt>
                      <c:pt idx="335">
                        <c:v>1</c:v>
                      </c:pt>
                      <c:pt idx="336">
                        <c:v>0.120430585242166</c:v>
                      </c:pt>
                      <c:pt idx="337">
                        <c:v>0.1579178361997777</c:v>
                      </c:pt>
                      <c:pt idx="338">
                        <c:v>0.1058648006655078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9.0895124080130424E-2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0.1372280052508868</c:v>
                      </c:pt>
                      <c:pt idx="345">
                        <c:v>0.15298124629957061</c:v>
                      </c:pt>
                      <c:pt idx="346">
                        <c:v>8.5890612779018202E-2</c:v>
                      </c:pt>
                      <c:pt idx="347">
                        <c:v>0.1657999988504138</c:v>
                      </c:pt>
                      <c:pt idx="348">
                        <c:v>7.2742506991248512E-2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8.936514177354643E-2</c:v>
                      </c:pt>
                      <c:pt idx="352">
                        <c:v>0.12073938566589749</c:v>
                      </c:pt>
                      <c:pt idx="353">
                        <c:v>0.15093927999016529</c:v>
                      </c:pt>
                      <c:pt idx="354">
                        <c:v>0.13267483612652359</c:v>
                      </c:pt>
                      <c:pt idx="355">
                        <c:v>0.14475282381566509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0.1148821682962451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7.8264872362409352E-2</c:v>
                      </c:pt>
                      <c:pt idx="362">
                        <c:v>0.12068578395875861</c:v>
                      </c:pt>
                      <c:pt idx="363">
                        <c:v>0.14163240237789021</c:v>
                      </c:pt>
                      <c:pt idx="364">
                        <c:v>0.1984298448553366</c:v>
                      </c:pt>
                      <c:pt idx="365">
                        <c:v>0.10174400003248529</c:v>
                      </c:pt>
                      <c:pt idx="366">
                        <c:v>1</c:v>
                      </c:pt>
                      <c:pt idx="367">
                        <c:v>0.1101100377798834</c:v>
                      </c:pt>
                      <c:pt idx="368">
                        <c:v>0.1812930381512069</c:v>
                      </c:pt>
                      <c:pt idx="369">
                        <c:v>7.8386761733314311E-2</c:v>
                      </c:pt>
                      <c:pt idx="370">
                        <c:v>0.1097981414522233</c:v>
                      </c:pt>
                      <c:pt idx="371">
                        <c:v>0.13389979547476649</c:v>
                      </c:pt>
                      <c:pt idx="372">
                        <c:v>0.1587005859974723</c:v>
                      </c:pt>
                      <c:pt idx="373">
                        <c:v>8.2743245331020024E-2</c:v>
                      </c:pt>
                      <c:pt idx="374">
                        <c:v>1</c:v>
                      </c:pt>
                      <c:pt idx="375">
                        <c:v>0.23677078843283181</c:v>
                      </c:pt>
                      <c:pt idx="376">
                        <c:v>1</c:v>
                      </c:pt>
                      <c:pt idx="377">
                        <c:v>0.13158890873551871</c:v>
                      </c:pt>
                      <c:pt idx="378">
                        <c:v>0.30788107465355002</c:v>
                      </c:pt>
                      <c:pt idx="379">
                        <c:v>0.1239756001787736</c:v>
                      </c:pt>
                      <c:pt idx="380">
                        <c:v>1</c:v>
                      </c:pt>
                      <c:pt idx="381">
                        <c:v>9.2345877618613556E-2</c:v>
                      </c:pt>
                      <c:pt idx="382">
                        <c:v>0.1395960738690265</c:v>
                      </c:pt>
                      <c:pt idx="383">
                        <c:v>0.17406063742947731</c:v>
                      </c:pt>
                      <c:pt idx="384">
                        <c:v>7.6873858785582561E-2</c:v>
                      </c:pt>
                      <c:pt idx="385">
                        <c:v>0.16331588008547779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0.14005443430893769</c:v>
                      </c:pt>
                      <c:pt idx="390">
                        <c:v>0.15718572541121081</c:v>
                      </c:pt>
                      <c:pt idx="391">
                        <c:v>9.7443689798951794E-2</c:v>
                      </c:pt>
                      <c:pt idx="392">
                        <c:v>0.1390324316165259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0.1347239414235375</c:v>
                      </c:pt>
                      <c:pt idx="396">
                        <c:v>0.15839967441632891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0.13680898963121471</c:v>
                      </c:pt>
                      <c:pt idx="400">
                        <c:v>0.15185955134467891</c:v>
                      </c:pt>
                      <c:pt idx="401">
                        <c:v>8.4912910332739774E-2</c:v>
                      </c:pt>
                      <c:pt idx="402">
                        <c:v>0.12322038303248101</c:v>
                      </c:pt>
                      <c:pt idx="403">
                        <c:v>0.1524296833999616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9.3826213834182839E-2</c:v>
                      </c:pt>
                      <c:pt idx="407">
                        <c:v>1</c:v>
                      </c:pt>
                      <c:pt idx="408">
                        <c:v>0.1051215568661734</c:v>
                      </c:pt>
                      <c:pt idx="409">
                        <c:v>1</c:v>
                      </c:pt>
                      <c:pt idx="410">
                        <c:v>8.4968342512731443E-2</c:v>
                      </c:pt>
                      <c:pt idx="411">
                        <c:v>0.1098775851874243</c:v>
                      </c:pt>
                      <c:pt idx="412">
                        <c:v>0.14797721779737971</c:v>
                      </c:pt>
                      <c:pt idx="413">
                        <c:v>0.1439936474326052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0.23355748943770499</c:v>
                      </c:pt>
                      <c:pt idx="417">
                        <c:v>0.16753343952191141</c:v>
                      </c:pt>
                      <c:pt idx="418">
                        <c:v>0.12697421822915381</c:v>
                      </c:pt>
                      <c:pt idx="419">
                        <c:v>0.16253765354727609</c:v>
                      </c:pt>
                      <c:pt idx="420">
                        <c:v>1</c:v>
                      </c:pt>
                      <c:pt idx="421">
                        <c:v>9.4629182924216973E-2</c:v>
                      </c:pt>
                      <c:pt idx="422">
                        <c:v>1</c:v>
                      </c:pt>
                      <c:pt idx="423">
                        <c:v>7.272510486154346E-2</c:v>
                      </c:pt>
                      <c:pt idx="424">
                        <c:v>1</c:v>
                      </c:pt>
                      <c:pt idx="425">
                        <c:v>9.5877794918638307E-2</c:v>
                      </c:pt>
                      <c:pt idx="426">
                        <c:v>1</c:v>
                      </c:pt>
                      <c:pt idx="427">
                        <c:v>0.1451423377780213</c:v>
                      </c:pt>
                      <c:pt idx="428">
                        <c:v>0.16339333480545309</c:v>
                      </c:pt>
                      <c:pt idx="429">
                        <c:v>0.10177121811269151</c:v>
                      </c:pt>
                      <c:pt idx="430">
                        <c:v>0.13176301307503821</c:v>
                      </c:pt>
                      <c:pt idx="431">
                        <c:v>0.19308236799393599</c:v>
                      </c:pt>
                      <c:pt idx="432">
                        <c:v>7.4722192456363926E-2</c:v>
                      </c:pt>
                      <c:pt idx="433">
                        <c:v>0.13460984222883221</c:v>
                      </c:pt>
                      <c:pt idx="434">
                        <c:v>0.1241194706800685</c:v>
                      </c:pt>
                      <c:pt idx="435">
                        <c:v>0.2013470916296215</c:v>
                      </c:pt>
                      <c:pt idx="436">
                        <c:v>0.12354812087232191</c:v>
                      </c:pt>
                      <c:pt idx="437">
                        <c:v>0.15938582686131761</c:v>
                      </c:pt>
                      <c:pt idx="438">
                        <c:v>9.2179487071023664E-2</c:v>
                      </c:pt>
                      <c:pt idx="439">
                        <c:v>0.1242536887376247</c:v>
                      </c:pt>
                      <c:pt idx="440">
                        <c:v>1</c:v>
                      </c:pt>
                      <c:pt idx="441">
                        <c:v>9.1132630929363689E-2</c:v>
                      </c:pt>
                      <c:pt idx="442">
                        <c:v>0.15438253131854951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9.7822354927621341E-2</c:v>
                      </c:pt>
                      <c:pt idx="446">
                        <c:v>0.1243350526493172</c:v>
                      </c:pt>
                      <c:pt idx="447">
                        <c:v>0.15194391468326129</c:v>
                      </c:pt>
                      <c:pt idx="448">
                        <c:v>6.7389635686301727E-2</c:v>
                      </c:pt>
                      <c:pt idx="449">
                        <c:v>9.908581814494001E-2</c:v>
                      </c:pt>
                      <c:pt idx="450">
                        <c:v>0.12118143300550629</c:v>
                      </c:pt>
                      <c:pt idx="451">
                        <c:v>0.1435021879582096</c:v>
                      </c:pt>
                      <c:pt idx="452">
                        <c:v>1</c:v>
                      </c:pt>
                      <c:pt idx="453">
                        <c:v>1</c:v>
                      </c:pt>
                      <c:pt idx="454">
                        <c:v>0.121774120427944</c:v>
                      </c:pt>
                      <c:pt idx="455">
                        <c:v>0.12876690269706209</c:v>
                      </c:pt>
                      <c:pt idx="456">
                        <c:v>0.22839316989205399</c:v>
                      </c:pt>
                      <c:pt idx="457">
                        <c:v>0.14996568417252421</c:v>
                      </c:pt>
                      <c:pt idx="458">
                        <c:v>0.21060046714165051</c:v>
                      </c:pt>
                      <c:pt idx="459">
                        <c:v>0.1148565844098518</c:v>
                      </c:pt>
                      <c:pt idx="460">
                        <c:v>0.26861999367078232</c:v>
                      </c:pt>
                      <c:pt idx="461">
                        <c:v>9.1239518556572932E-2</c:v>
                      </c:pt>
                      <c:pt idx="462">
                        <c:v>0.1360374212895758</c:v>
                      </c:pt>
                      <c:pt idx="463">
                        <c:v>0.21164462839421111</c:v>
                      </c:pt>
                      <c:pt idx="464">
                        <c:v>0.10029019605429031</c:v>
                      </c:pt>
                      <c:pt idx="465">
                        <c:v>0.15335856075701579</c:v>
                      </c:pt>
                      <c:pt idx="466">
                        <c:v>1</c:v>
                      </c:pt>
                      <c:pt idx="467">
                        <c:v>1</c:v>
                      </c:pt>
                      <c:pt idx="468">
                        <c:v>1</c:v>
                      </c:pt>
                      <c:pt idx="469">
                        <c:v>0.15257413590712271</c:v>
                      </c:pt>
                      <c:pt idx="470">
                        <c:v>1</c:v>
                      </c:pt>
                      <c:pt idx="471">
                        <c:v>0.158225564982862</c:v>
                      </c:pt>
                      <c:pt idx="472">
                        <c:v>1</c:v>
                      </c:pt>
                      <c:pt idx="473">
                        <c:v>9.9647234808597579E-2</c:v>
                      </c:pt>
                      <c:pt idx="474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C41-474C-AF79-D987EABE440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ASSETS!$H$18</c15:sqref>
                        </c15:formulaRef>
                      </c:ext>
                    </c:extLst>
                    <c:strCache>
                      <c:ptCount val="1"/>
                      <c:pt idx="0">
                        <c:v> Drift threshold </c:v>
                      </c:pt>
                    </c:strCache>
                  </c:strRef>
                </c:tx>
                <c:spPr>
                  <a:ln w="6350" cap="rnd">
                    <a:noFill/>
                    <a:round/>
                  </a:ln>
                  <a:effectLst/>
                </c:spPr>
                <c:marker>
                  <c:symbol val="circle"/>
                  <c:size val="2"/>
                  <c:spPr>
                    <a:solidFill>
                      <a:schemeClr val="tx1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ASSETS!$C$19:$C$493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7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ASSETS!$H$19:$H$493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475"/>
                      <c:pt idx="0">
                        <c:v>0.15</c:v>
                      </c:pt>
                      <c:pt idx="1">
                        <c:v>0.15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0.15</c:v>
                      </c:pt>
                      <c:pt idx="5">
                        <c:v>0.15</c:v>
                      </c:pt>
                      <c:pt idx="6">
                        <c:v>0.15</c:v>
                      </c:pt>
                      <c:pt idx="7">
                        <c:v>0.15</c:v>
                      </c:pt>
                      <c:pt idx="8">
                        <c:v>0.15</c:v>
                      </c:pt>
                      <c:pt idx="9">
                        <c:v>0.15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0.15</c:v>
                      </c:pt>
                      <c:pt idx="13">
                        <c:v>0.15</c:v>
                      </c:pt>
                      <c:pt idx="14">
                        <c:v>0.15</c:v>
                      </c:pt>
                      <c:pt idx="15">
                        <c:v>0.15</c:v>
                      </c:pt>
                      <c:pt idx="16">
                        <c:v>0.15</c:v>
                      </c:pt>
                      <c:pt idx="17">
                        <c:v>0.15</c:v>
                      </c:pt>
                      <c:pt idx="18">
                        <c:v>0.15</c:v>
                      </c:pt>
                      <c:pt idx="19">
                        <c:v>0.15</c:v>
                      </c:pt>
                      <c:pt idx="20">
                        <c:v>0.15</c:v>
                      </c:pt>
                      <c:pt idx="21">
                        <c:v>0.15</c:v>
                      </c:pt>
                      <c:pt idx="22">
                        <c:v>0.15</c:v>
                      </c:pt>
                      <c:pt idx="23">
                        <c:v>0.15</c:v>
                      </c:pt>
                      <c:pt idx="24">
                        <c:v>0.15</c:v>
                      </c:pt>
                      <c:pt idx="25">
                        <c:v>0.15</c:v>
                      </c:pt>
                      <c:pt idx="26">
                        <c:v>0.15</c:v>
                      </c:pt>
                      <c:pt idx="27">
                        <c:v>0.15</c:v>
                      </c:pt>
                      <c:pt idx="28">
                        <c:v>0.15</c:v>
                      </c:pt>
                      <c:pt idx="29">
                        <c:v>0.15</c:v>
                      </c:pt>
                      <c:pt idx="30">
                        <c:v>0.15</c:v>
                      </c:pt>
                      <c:pt idx="31">
                        <c:v>0.15</c:v>
                      </c:pt>
                      <c:pt idx="32">
                        <c:v>0.15</c:v>
                      </c:pt>
                      <c:pt idx="33">
                        <c:v>0.15</c:v>
                      </c:pt>
                      <c:pt idx="34">
                        <c:v>0.15</c:v>
                      </c:pt>
                      <c:pt idx="35">
                        <c:v>0.15</c:v>
                      </c:pt>
                      <c:pt idx="36">
                        <c:v>0.15</c:v>
                      </c:pt>
                      <c:pt idx="37">
                        <c:v>0.15</c:v>
                      </c:pt>
                      <c:pt idx="38">
                        <c:v>0.15</c:v>
                      </c:pt>
                      <c:pt idx="39">
                        <c:v>0.15</c:v>
                      </c:pt>
                      <c:pt idx="40">
                        <c:v>0.15</c:v>
                      </c:pt>
                      <c:pt idx="41">
                        <c:v>0.15</c:v>
                      </c:pt>
                      <c:pt idx="42">
                        <c:v>0.15</c:v>
                      </c:pt>
                      <c:pt idx="43">
                        <c:v>0.15</c:v>
                      </c:pt>
                      <c:pt idx="44">
                        <c:v>0.15</c:v>
                      </c:pt>
                      <c:pt idx="45">
                        <c:v>0.15</c:v>
                      </c:pt>
                      <c:pt idx="46">
                        <c:v>0.15</c:v>
                      </c:pt>
                      <c:pt idx="47">
                        <c:v>0.15</c:v>
                      </c:pt>
                      <c:pt idx="48">
                        <c:v>0.15</c:v>
                      </c:pt>
                      <c:pt idx="49">
                        <c:v>0.15</c:v>
                      </c:pt>
                      <c:pt idx="50">
                        <c:v>0.15</c:v>
                      </c:pt>
                      <c:pt idx="51">
                        <c:v>0.15</c:v>
                      </c:pt>
                      <c:pt idx="52">
                        <c:v>0.15</c:v>
                      </c:pt>
                      <c:pt idx="53">
                        <c:v>0.15</c:v>
                      </c:pt>
                      <c:pt idx="54">
                        <c:v>0.15</c:v>
                      </c:pt>
                      <c:pt idx="55">
                        <c:v>0.15</c:v>
                      </c:pt>
                      <c:pt idx="56">
                        <c:v>0.15</c:v>
                      </c:pt>
                      <c:pt idx="57">
                        <c:v>0.15</c:v>
                      </c:pt>
                      <c:pt idx="58">
                        <c:v>0.15</c:v>
                      </c:pt>
                      <c:pt idx="59">
                        <c:v>0.15</c:v>
                      </c:pt>
                      <c:pt idx="60">
                        <c:v>0.15</c:v>
                      </c:pt>
                      <c:pt idx="61">
                        <c:v>0.15</c:v>
                      </c:pt>
                      <c:pt idx="62">
                        <c:v>0.15</c:v>
                      </c:pt>
                      <c:pt idx="63">
                        <c:v>0.15</c:v>
                      </c:pt>
                      <c:pt idx="64">
                        <c:v>0.15</c:v>
                      </c:pt>
                      <c:pt idx="65">
                        <c:v>0.15</c:v>
                      </c:pt>
                      <c:pt idx="66">
                        <c:v>0.15</c:v>
                      </c:pt>
                      <c:pt idx="67">
                        <c:v>0.15</c:v>
                      </c:pt>
                      <c:pt idx="68">
                        <c:v>0.15</c:v>
                      </c:pt>
                      <c:pt idx="69">
                        <c:v>0.15</c:v>
                      </c:pt>
                      <c:pt idx="70">
                        <c:v>0.15</c:v>
                      </c:pt>
                      <c:pt idx="71">
                        <c:v>0.15</c:v>
                      </c:pt>
                      <c:pt idx="72">
                        <c:v>0.15</c:v>
                      </c:pt>
                      <c:pt idx="73">
                        <c:v>0.15</c:v>
                      </c:pt>
                      <c:pt idx="74">
                        <c:v>0.15</c:v>
                      </c:pt>
                      <c:pt idx="75">
                        <c:v>0.15</c:v>
                      </c:pt>
                      <c:pt idx="76">
                        <c:v>0.15</c:v>
                      </c:pt>
                      <c:pt idx="77">
                        <c:v>0.15</c:v>
                      </c:pt>
                      <c:pt idx="78">
                        <c:v>0.15</c:v>
                      </c:pt>
                      <c:pt idx="79">
                        <c:v>0.15</c:v>
                      </c:pt>
                      <c:pt idx="80">
                        <c:v>0.15</c:v>
                      </c:pt>
                      <c:pt idx="81">
                        <c:v>0.15</c:v>
                      </c:pt>
                      <c:pt idx="82">
                        <c:v>0.15</c:v>
                      </c:pt>
                      <c:pt idx="83">
                        <c:v>0.15</c:v>
                      </c:pt>
                      <c:pt idx="84">
                        <c:v>0.15</c:v>
                      </c:pt>
                      <c:pt idx="85">
                        <c:v>0.15</c:v>
                      </c:pt>
                      <c:pt idx="86">
                        <c:v>0.15</c:v>
                      </c:pt>
                      <c:pt idx="87">
                        <c:v>0.15</c:v>
                      </c:pt>
                      <c:pt idx="88">
                        <c:v>0.15</c:v>
                      </c:pt>
                      <c:pt idx="89">
                        <c:v>0.15</c:v>
                      </c:pt>
                      <c:pt idx="90">
                        <c:v>0.15</c:v>
                      </c:pt>
                      <c:pt idx="91">
                        <c:v>0.15</c:v>
                      </c:pt>
                      <c:pt idx="92">
                        <c:v>0.15</c:v>
                      </c:pt>
                      <c:pt idx="93">
                        <c:v>0.15</c:v>
                      </c:pt>
                      <c:pt idx="94">
                        <c:v>0.15</c:v>
                      </c:pt>
                      <c:pt idx="95">
                        <c:v>0.15</c:v>
                      </c:pt>
                      <c:pt idx="96">
                        <c:v>0.15</c:v>
                      </c:pt>
                      <c:pt idx="97">
                        <c:v>0.15</c:v>
                      </c:pt>
                      <c:pt idx="98">
                        <c:v>0.15</c:v>
                      </c:pt>
                      <c:pt idx="99">
                        <c:v>0.15</c:v>
                      </c:pt>
                      <c:pt idx="100">
                        <c:v>0.15</c:v>
                      </c:pt>
                      <c:pt idx="101">
                        <c:v>0.15</c:v>
                      </c:pt>
                      <c:pt idx="102">
                        <c:v>0.15</c:v>
                      </c:pt>
                      <c:pt idx="103">
                        <c:v>0.15</c:v>
                      </c:pt>
                      <c:pt idx="104">
                        <c:v>0.15</c:v>
                      </c:pt>
                      <c:pt idx="105">
                        <c:v>0.15</c:v>
                      </c:pt>
                      <c:pt idx="106">
                        <c:v>0.15</c:v>
                      </c:pt>
                      <c:pt idx="107">
                        <c:v>0.15</c:v>
                      </c:pt>
                      <c:pt idx="108">
                        <c:v>0.15</c:v>
                      </c:pt>
                      <c:pt idx="109">
                        <c:v>0.15</c:v>
                      </c:pt>
                      <c:pt idx="110">
                        <c:v>0.15</c:v>
                      </c:pt>
                      <c:pt idx="111">
                        <c:v>0.15</c:v>
                      </c:pt>
                      <c:pt idx="112">
                        <c:v>0.15</c:v>
                      </c:pt>
                      <c:pt idx="113">
                        <c:v>0.15</c:v>
                      </c:pt>
                      <c:pt idx="114">
                        <c:v>0.15</c:v>
                      </c:pt>
                      <c:pt idx="115">
                        <c:v>0.15</c:v>
                      </c:pt>
                      <c:pt idx="116">
                        <c:v>0.15</c:v>
                      </c:pt>
                      <c:pt idx="117">
                        <c:v>0.15</c:v>
                      </c:pt>
                      <c:pt idx="118">
                        <c:v>0.15</c:v>
                      </c:pt>
                      <c:pt idx="119">
                        <c:v>0.15</c:v>
                      </c:pt>
                      <c:pt idx="120">
                        <c:v>0.15</c:v>
                      </c:pt>
                      <c:pt idx="121">
                        <c:v>0.15</c:v>
                      </c:pt>
                      <c:pt idx="122">
                        <c:v>0.15</c:v>
                      </c:pt>
                      <c:pt idx="123">
                        <c:v>0.15</c:v>
                      </c:pt>
                      <c:pt idx="124">
                        <c:v>0.15</c:v>
                      </c:pt>
                      <c:pt idx="125">
                        <c:v>0.15</c:v>
                      </c:pt>
                      <c:pt idx="126">
                        <c:v>0.15</c:v>
                      </c:pt>
                      <c:pt idx="127">
                        <c:v>0.15</c:v>
                      </c:pt>
                      <c:pt idx="128">
                        <c:v>0.15</c:v>
                      </c:pt>
                      <c:pt idx="129">
                        <c:v>0.15</c:v>
                      </c:pt>
                      <c:pt idx="130">
                        <c:v>0.15</c:v>
                      </c:pt>
                      <c:pt idx="131">
                        <c:v>0.15</c:v>
                      </c:pt>
                      <c:pt idx="132">
                        <c:v>0.15</c:v>
                      </c:pt>
                      <c:pt idx="133">
                        <c:v>0.15</c:v>
                      </c:pt>
                      <c:pt idx="134">
                        <c:v>0.15</c:v>
                      </c:pt>
                      <c:pt idx="135">
                        <c:v>0.15</c:v>
                      </c:pt>
                      <c:pt idx="136">
                        <c:v>0.15</c:v>
                      </c:pt>
                      <c:pt idx="137">
                        <c:v>0.15</c:v>
                      </c:pt>
                      <c:pt idx="138">
                        <c:v>0.15</c:v>
                      </c:pt>
                      <c:pt idx="139">
                        <c:v>0.15</c:v>
                      </c:pt>
                      <c:pt idx="140">
                        <c:v>0.15</c:v>
                      </c:pt>
                      <c:pt idx="141">
                        <c:v>0.15</c:v>
                      </c:pt>
                      <c:pt idx="142">
                        <c:v>0.15</c:v>
                      </c:pt>
                      <c:pt idx="143">
                        <c:v>0.15</c:v>
                      </c:pt>
                      <c:pt idx="144">
                        <c:v>0.15</c:v>
                      </c:pt>
                      <c:pt idx="145">
                        <c:v>0.15</c:v>
                      </c:pt>
                      <c:pt idx="146">
                        <c:v>0.15</c:v>
                      </c:pt>
                      <c:pt idx="147">
                        <c:v>0.15</c:v>
                      </c:pt>
                      <c:pt idx="148">
                        <c:v>0.15</c:v>
                      </c:pt>
                      <c:pt idx="149">
                        <c:v>0.15</c:v>
                      </c:pt>
                      <c:pt idx="150">
                        <c:v>0.15</c:v>
                      </c:pt>
                      <c:pt idx="151">
                        <c:v>0.15</c:v>
                      </c:pt>
                      <c:pt idx="152">
                        <c:v>0.15</c:v>
                      </c:pt>
                      <c:pt idx="153">
                        <c:v>0.15</c:v>
                      </c:pt>
                      <c:pt idx="154">
                        <c:v>0.15</c:v>
                      </c:pt>
                      <c:pt idx="155">
                        <c:v>0.15</c:v>
                      </c:pt>
                      <c:pt idx="156">
                        <c:v>0.15</c:v>
                      </c:pt>
                      <c:pt idx="157">
                        <c:v>0.15</c:v>
                      </c:pt>
                      <c:pt idx="158">
                        <c:v>0.15</c:v>
                      </c:pt>
                      <c:pt idx="159">
                        <c:v>0.15</c:v>
                      </c:pt>
                      <c:pt idx="160">
                        <c:v>0.15</c:v>
                      </c:pt>
                      <c:pt idx="161">
                        <c:v>0.15</c:v>
                      </c:pt>
                      <c:pt idx="162">
                        <c:v>0.15</c:v>
                      </c:pt>
                      <c:pt idx="163">
                        <c:v>0.15</c:v>
                      </c:pt>
                      <c:pt idx="164">
                        <c:v>0.15</c:v>
                      </c:pt>
                      <c:pt idx="165">
                        <c:v>0.15</c:v>
                      </c:pt>
                      <c:pt idx="166">
                        <c:v>0.15</c:v>
                      </c:pt>
                      <c:pt idx="167">
                        <c:v>0.15</c:v>
                      </c:pt>
                      <c:pt idx="168">
                        <c:v>0.15</c:v>
                      </c:pt>
                      <c:pt idx="169">
                        <c:v>0.15</c:v>
                      </c:pt>
                      <c:pt idx="170">
                        <c:v>0.15</c:v>
                      </c:pt>
                      <c:pt idx="171">
                        <c:v>0.15</c:v>
                      </c:pt>
                      <c:pt idx="172">
                        <c:v>0.15</c:v>
                      </c:pt>
                      <c:pt idx="173">
                        <c:v>0.15</c:v>
                      </c:pt>
                      <c:pt idx="174">
                        <c:v>0.15</c:v>
                      </c:pt>
                      <c:pt idx="175">
                        <c:v>0.15</c:v>
                      </c:pt>
                      <c:pt idx="176">
                        <c:v>0.15</c:v>
                      </c:pt>
                      <c:pt idx="177">
                        <c:v>0.15</c:v>
                      </c:pt>
                      <c:pt idx="178">
                        <c:v>0.15</c:v>
                      </c:pt>
                      <c:pt idx="179">
                        <c:v>0.15</c:v>
                      </c:pt>
                      <c:pt idx="180">
                        <c:v>0.15</c:v>
                      </c:pt>
                      <c:pt idx="181">
                        <c:v>0.15</c:v>
                      </c:pt>
                      <c:pt idx="182">
                        <c:v>0.15</c:v>
                      </c:pt>
                      <c:pt idx="183">
                        <c:v>0.15</c:v>
                      </c:pt>
                      <c:pt idx="184">
                        <c:v>0.15</c:v>
                      </c:pt>
                      <c:pt idx="185">
                        <c:v>0.15</c:v>
                      </c:pt>
                      <c:pt idx="186">
                        <c:v>0.15</c:v>
                      </c:pt>
                      <c:pt idx="187">
                        <c:v>0.15</c:v>
                      </c:pt>
                      <c:pt idx="188">
                        <c:v>0.15</c:v>
                      </c:pt>
                      <c:pt idx="189">
                        <c:v>0.15</c:v>
                      </c:pt>
                      <c:pt idx="190">
                        <c:v>0.15</c:v>
                      </c:pt>
                      <c:pt idx="191">
                        <c:v>0.15</c:v>
                      </c:pt>
                      <c:pt idx="192">
                        <c:v>0.15</c:v>
                      </c:pt>
                      <c:pt idx="193">
                        <c:v>0.15</c:v>
                      </c:pt>
                      <c:pt idx="194">
                        <c:v>0.15</c:v>
                      </c:pt>
                      <c:pt idx="195">
                        <c:v>0.15</c:v>
                      </c:pt>
                      <c:pt idx="196">
                        <c:v>0.15</c:v>
                      </c:pt>
                      <c:pt idx="197">
                        <c:v>0.15</c:v>
                      </c:pt>
                      <c:pt idx="198">
                        <c:v>0.15</c:v>
                      </c:pt>
                      <c:pt idx="199">
                        <c:v>0.15</c:v>
                      </c:pt>
                      <c:pt idx="200">
                        <c:v>0.15</c:v>
                      </c:pt>
                      <c:pt idx="201">
                        <c:v>0.15</c:v>
                      </c:pt>
                      <c:pt idx="202">
                        <c:v>0.15</c:v>
                      </c:pt>
                      <c:pt idx="203">
                        <c:v>0.15</c:v>
                      </c:pt>
                      <c:pt idx="204">
                        <c:v>0.15</c:v>
                      </c:pt>
                      <c:pt idx="205">
                        <c:v>0.15</c:v>
                      </c:pt>
                      <c:pt idx="206">
                        <c:v>0.15</c:v>
                      </c:pt>
                      <c:pt idx="207">
                        <c:v>0.15</c:v>
                      </c:pt>
                      <c:pt idx="208">
                        <c:v>0.15</c:v>
                      </c:pt>
                      <c:pt idx="209">
                        <c:v>0.15</c:v>
                      </c:pt>
                      <c:pt idx="210">
                        <c:v>0.15</c:v>
                      </c:pt>
                      <c:pt idx="211">
                        <c:v>0.15</c:v>
                      </c:pt>
                      <c:pt idx="212">
                        <c:v>0.15</c:v>
                      </c:pt>
                      <c:pt idx="213">
                        <c:v>0.15</c:v>
                      </c:pt>
                      <c:pt idx="214">
                        <c:v>0.15</c:v>
                      </c:pt>
                      <c:pt idx="215">
                        <c:v>0.15</c:v>
                      </c:pt>
                      <c:pt idx="216">
                        <c:v>0.15</c:v>
                      </c:pt>
                      <c:pt idx="217">
                        <c:v>0.15</c:v>
                      </c:pt>
                      <c:pt idx="218">
                        <c:v>0.15</c:v>
                      </c:pt>
                      <c:pt idx="219">
                        <c:v>0.15</c:v>
                      </c:pt>
                      <c:pt idx="220">
                        <c:v>0.15</c:v>
                      </c:pt>
                      <c:pt idx="221">
                        <c:v>0.15</c:v>
                      </c:pt>
                      <c:pt idx="222">
                        <c:v>0.15</c:v>
                      </c:pt>
                      <c:pt idx="223">
                        <c:v>0.15</c:v>
                      </c:pt>
                      <c:pt idx="224">
                        <c:v>0.15</c:v>
                      </c:pt>
                      <c:pt idx="225">
                        <c:v>0.15</c:v>
                      </c:pt>
                      <c:pt idx="226">
                        <c:v>0.15</c:v>
                      </c:pt>
                      <c:pt idx="227">
                        <c:v>0.15</c:v>
                      </c:pt>
                      <c:pt idx="228">
                        <c:v>0.15</c:v>
                      </c:pt>
                      <c:pt idx="229">
                        <c:v>0.15</c:v>
                      </c:pt>
                      <c:pt idx="230">
                        <c:v>0.15</c:v>
                      </c:pt>
                      <c:pt idx="231">
                        <c:v>0.15</c:v>
                      </c:pt>
                      <c:pt idx="232">
                        <c:v>0.15</c:v>
                      </c:pt>
                      <c:pt idx="233">
                        <c:v>0.15</c:v>
                      </c:pt>
                      <c:pt idx="234">
                        <c:v>0.15</c:v>
                      </c:pt>
                      <c:pt idx="235">
                        <c:v>0.15</c:v>
                      </c:pt>
                      <c:pt idx="236">
                        <c:v>0.15</c:v>
                      </c:pt>
                      <c:pt idx="237">
                        <c:v>0.15</c:v>
                      </c:pt>
                      <c:pt idx="238">
                        <c:v>0.15</c:v>
                      </c:pt>
                      <c:pt idx="239">
                        <c:v>0.15</c:v>
                      </c:pt>
                      <c:pt idx="240">
                        <c:v>0.15</c:v>
                      </c:pt>
                      <c:pt idx="241">
                        <c:v>0.15</c:v>
                      </c:pt>
                      <c:pt idx="242">
                        <c:v>0.15</c:v>
                      </c:pt>
                      <c:pt idx="243">
                        <c:v>0.15</c:v>
                      </c:pt>
                      <c:pt idx="244">
                        <c:v>0.15</c:v>
                      </c:pt>
                      <c:pt idx="245">
                        <c:v>0.15</c:v>
                      </c:pt>
                      <c:pt idx="246">
                        <c:v>0.15</c:v>
                      </c:pt>
                      <c:pt idx="247">
                        <c:v>0.15</c:v>
                      </c:pt>
                      <c:pt idx="248">
                        <c:v>0.15</c:v>
                      </c:pt>
                      <c:pt idx="249">
                        <c:v>0.15</c:v>
                      </c:pt>
                      <c:pt idx="250">
                        <c:v>0.15</c:v>
                      </c:pt>
                      <c:pt idx="251">
                        <c:v>0.15</c:v>
                      </c:pt>
                      <c:pt idx="252">
                        <c:v>0.15</c:v>
                      </c:pt>
                      <c:pt idx="253">
                        <c:v>0.15</c:v>
                      </c:pt>
                      <c:pt idx="254">
                        <c:v>0.15</c:v>
                      </c:pt>
                      <c:pt idx="255">
                        <c:v>0.15</c:v>
                      </c:pt>
                      <c:pt idx="256">
                        <c:v>0.15</c:v>
                      </c:pt>
                      <c:pt idx="257">
                        <c:v>0.15</c:v>
                      </c:pt>
                      <c:pt idx="258">
                        <c:v>0.15</c:v>
                      </c:pt>
                      <c:pt idx="259">
                        <c:v>0.15</c:v>
                      </c:pt>
                      <c:pt idx="260">
                        <c:v>0.15</c:v>
                      </c:pt>
                      <c:pt idx="261">
                        <c:v>0.15</c:v>
                      </c:pt>
                      <c:pt idx="262">
                        <c:v>0.15</c:v>
                      </c:pt>
                      <c:pt idx="263">
                        <c:v>0.15</c:v>
                      </c:pt>
                      <c:pt idx="264">
                        <c:v>0.15</c:v>
                      </c:pt>
                      <c:pt idx="265">
                        <c:v>0.15</c:v>
                      </c:pt>
                      <c:pt idx="266">
                        <c:v>0.15</c:v>
                      </c:pt>
                      <c:pt idx="267">
                        <c:v>0.15</c:v>
                      </c:pt>
                      <c:pt idx="268">
                        <c:v>0.15</c:v>
                      </c:pt>
                      <c:pt idx="269">
                        <c:v>0.15</c:v>
                      </c:pt>
                      <c:pt idx="270">
                        <c:v>0.15</c:v>
                      </c:pt>
                      <c:pt idx="271">
                        <c:v>0.15</c:v>
                      </c:pt>
                      <c:pt idx="272">
                        <c:v>0.15</c:v>
                      </c:pt>
                      <c:pt idx="273">
                        <c:v>0.15</c:v>
                      </c:pt>
                      <c:pt idx="274">
                        <c:v>0.15</c:v>
                      </c:pt>
                      <c:pt idx="275">
                        <c:v>0.15</c:v>
                      </c:pt>
                      <c:pt idx="276">
                        <c:v>0.15</c:v>
                      </c:pt>
                      <c:pt idx="277">
                        <c:v>0.15</c:v>
                      </c:pt>
                      <c:pt idx="278">
                        <c:v>0.15</c:v>
                      </c:pt>
                      <c:pt idx="279">
                        <c:v>0.15</c:v>
                      </c:pt>
                      <c:pt idx="280">
                        <c:v>0.15</c:v>
                      </c:pt>
                      <c:pt idx="281">
                        <c:v>0.15</c:v>
                      </c:pt>
                      <c:pt idx="282">
                        <c:v>0.15</c:v>
                      </c:pt>
                      <c:pt idx="283">
                        <c:v>0.15</c:v>
                      </c:pt>
                      <c:pt idx="284">
                        <c:v>0.15</c:v>
                      </c:pt>
                      <c:pt idx="285">
                        <c:v>0.15</c:v>
                      </c:pt>
                      <c:pt idx="286">
                        <c:v>0.15</c:v>
                      </c:pt>
                      <c:pt idx="287">
                        <c:v>0.15</c:v>
                      </c:pt>
                      <c:pt idx="288">
                        <c:v>0.15</c:v>
                      </c:pt>
                      <c:pt idx="289">
                        <c:v>0.15</c:v>
                      </c:pt>
                      <c:pt idx="290">
                        <c:v>0.15</c:v>
                      </c:pt>
                      <c:pt idx="291">
                        <c:v>0.15</c:v>
                      </c:pt>
                      <c:pt idx="292">
                        <c:v>0.15</c:v>
                      </c:pt>
                      <c:pt idx="293">
                        <c:v>0.15</c:v>
                      </c:pt>
                      <c:pt idx="294">
                        <c:v>0.15</c:v>
                      </c:pt>
                      <c:pt idx="295">
                        <c:v>0.15</c:v>
                      </c:pt>
                      <c:pt idx="296">
                        <c:v>0.15</c:v>
                      </c:pt>
                      <c:pt idx="297">
                        <c:v>0.15</c:v>
                      </c:pt>
                      <c:pt idx="298">
                        <c:v>0.15</c:v>
                      </c:pt>
                      <c:pt idx="299">
                        <c:v>0.15</c:v>
                      </c:pt>
                      <c:pt idx="300">
                        <c:v>0.15</c:v>
                      </c:pt>
                      <c:pt idx="301">
                        <c:v>0.15</c:v>
                      </c:pt>
                      <c:pt idx="302">
                        <c:v>0.15</c:v>
                      </c:pt>
                      <c:pt idx="303">
                        <c:v>0.15</c:v>
                      </c:pt>
                      <c:pt idx="304">
                        <c:v>0.15</c:v>
                      </c:pt>
                      <c:pt idx="305">
                        <c:v>0.15</c:v>
                      </c:pt>
                      <c:pt idx="306">
                        <c:v>0.15</c:v>
                      </c:pt>
                      <c:pt idx="307">
                        <c:v>0.15</c:v>
                      </c:pt>
                      <c:pt idx="308">
                        <c:v>0.15</c:v>
                      </c:pt>
                      <c:pt idx="309">
                        <c:v>0.15</c:v>
                      </c:pt>
                      <c:pt idx="310">
                        <c:v>0.15</c:v>
                      </c:pt>
                      <c:pt idx="311">
                        <c:v>0.15</c:v>
                      </c:pt>
                      <c:pt idx="312">
                        <c:v>0.15</c:v>
                      </c:pt>
                      <c:pt idx="313">
                        <c:v>0.15</c:v>
                      </c:pt>
                      <c:pt idx="314">
                        <c:v>0.15</c:v>
                      </c:pt>
                      <c:pt idx="315">
                        <c:v>0.15</c:v>
                      </c:pt>
                      <c:pt idx="316">
                        <c:v>0.15</c:v>
                      </c:pt>
                      <c:pt idx="317">
                        <c:v>0.15</c:v>
                      </c:pt>
                      <c:pt idx="318">
                        <c:v>0.15</c:v>
                      </c:pt>
                      <c:pt idx="319">
                        <c:v>0.15</c:v>
                      </c:pt>
                      <c:pt idx="320">
                        <c:v>0.15</c:v>
                      </c:pt>
                      <c:pt idx="321">
                        <c:v>0.15</c:v>
                      </c:pt>
                      <c:pt idx="322">
                        <c:v>0.15</c:v>
                      </c:pt>
                      <c:pt idx="323">
                        <c:v>0.15</c:v>
                      </c:pt>
                      <c:pt idx="324">
                        <c:v>0.15</c:v>
                      </c:pt>
                      <c:pt idx="325">
                        <c:v>0.15</c:v>
                      </c:pt>
                      <c:pt idx="326">
                        <c:v>0.15</c:v>
                      </c:pt>
                      <c:pt idx="327">
                        <c:v>0.15</c:v>
                      </c:pt>
                      <c:pt idx="328">
                        <c:v>0.15</c:v>
                      </c:pt>
                      <c:pt idx="329">
                        <c:v>0.15</c:v>
                      </c:pt>
                      <c:pt idx="330">
                        <c:v>0.15</c:v>
                      </c:pt>
                      <c:pt idx="331">
                        <c:v>0.15</c:v>
                      </c:pt>
                      <c:pt idx="332">
                        <c:v>0.15</c:v>
                      </c:pt>
                      <c:pt idx="333">
                        <c:v>0.15</c:v>
                      </c:pt>
                      <c:pt idx="334">
                        <c:v>0.15</c:v>
                      </c:pt>
                      <c:pt idx="335">
                        <c:v>0.15</c:v>
                      </c:pt>
                      <c:pt idx="336">
                        <c:v>0.15</c:v>
                      </c:pt>
                      <c:pt idx="337">
                        <c:v>0.15</c:v>
                      </c:pt>
                      <c:pt idx="338">
                        <c:v>0.15</c:v>
                      </c:pt>
                      <c:pt idx="339">
                        <c:v>0.15</c:v>
                      </c:pt>
                      <c:pt idx="340">
                        <c:v>0.15</c:v>
                      </c:pt>
                      <c:pt idx="341">
                        <c:v>0.15</c:v>
                      </c:pt>
                      <c:pt idx="342">
                        <c:v>0.15</c:v>
                      </c:pt>
                      <c:pt idx="343">
                        <c:v>0.15</c:v>
                      </c:pt>
                      <c:pt idx="344">
                        <c:v>0.15</c:v>
                      </c:pt>
                      <c:pt idx="345">
                        <c:v>0.15</c:v>
                      </c:pt>
                      <c:pt idx="346">
                        <c:v>0.15</c:v>
                      </c:pt>
                      <c:pt idx="347">
                        <c:v>0.15</c:v>
                      </c:pt>
                      <c:pt idx="348">
                        <c:v>0.15</c:v>
                      </c:pt>
                      <c:pt idx="349">
                        <c:v>0.15</c:v>
                      </c:pt>
                      <c:pt idx="350">
                        <c:v>0.15</c:v>
                      </c:pt>
                      <c:pt idx="351">
                        <c:v>0.15</c:v>
                      </c:pt>
                      <c:pt idx="352">
                        <c:v>0.15</c:v>
                      </c:pt>
                      <c:pt idx="353">
                        <c:v>0.15</c:v>
                      </c:pt>
                      <c:pt idx="354">
                        <c:v>0.15</c:v>
                      </c:pt>
                      <c:pt idx="355">
                        <c:v>0.15</c:v>
                      </c:pt>
                      <c:pt idx="356">
                        <c:v>0.15</c:v>
                      </c:pt>
                      <c:pt idx="357">
                        <c:v>0.15</c:v>
                      </c:pt>
                      <c:pt idx="358">
                        <c:v>0.15</c:v>
                      </c:pt>
                      <c:pt idx="359">
                        <c:v>0.15</c:v>
                      </c:pt>
                      <c:pt idx="360">
                        <c:v>0.15</c:v>
                      </c:pt>
                      <c:pt idx="361">
                        <c:v>0.15</c:v>
                      </c:pt>
                      <c:pt idx="362">
                        <c:v>0.15</c:v>
                      </c:pt>
                      <c:pt idx="363">
                        <c:v>0.15</c:v>
                      </c:pt>
                      <c:pt idx="364">
                        <c:v>0.15</c:v>
                      </c:pt>
                      <c:pt idx="365">
                        <c:v>0.15</c:v>
                      </c:pt>
                      <c:pt idx="366">
                        <c:v>0.15</c:v>
                      </c:pt>
                      <c:pt idx="367">
                        <c:v>0.15</c:v>
                      </c:pt>
                      <c:pt idx="368">
                        <c:v>0.15</c:v>
                      </c:pt>
                      <c:pt idx="369">
                        <c:v>0.15</c:v>
                      </c:pt>
                      <c:pt idx="370">
                        <c:v>0.15</c:v>
                      </c:pt>
                      <c:pt idx="371">
                        <c:v>0.15</c:v>
                      </c:pt>
                      <c:pt idx="372">
                        <c:v>0.15</c:v>
                      </c:pt>
                      <c:pt idx="373">
                        <c:v>0.15</c:v>
                      </c:pt>
                      <c:pt idx="374">
                        <c:v>0.15</c:v>
                      </c:pt>
                      <c:pt idx="375">
                        <c:v>0.15</c:v>
                      </c:pt>
                      <c:pt idx="376">
                        <c:v>0.15</c:v>
                      </c:pt>
                      <c:pt idx="377">
                        <c:v>0.15</c:v>
                      </c:pt>
                      <c:pt idx="378">
                        <c:v>0.15</c:v>
                      </c:pt>
                      <c:pt idx="379">
                        <c:v>0.15</c:v>
                      </c:pt>
                      <c:pt idx="380">
                        <c:v>0.15</c:v>
                      </c:pt>
                      <c:pt idx="381">
                        <c:v>0.15</c:v>
                      </c:pt>
                      <c:pt idx="382">
                        <c:v>0.15</c:v>
                      </c:pt>
                      <c:pt idx="383">
                        <c:v>0.15</c:v>
                      </c:pt>
                      <c:pt idx="384">
                        <c:v>0.15</c:v>
                      </c:pt>
                      <c:pt idx="385">
                        <c:v>0.15</c:v>
                      </c:pt>
                      <c:pt idx="386">
                        <c:v>0.15</c:v>
                      </c:pt>
                      <c:pt idx="387">
                        <c:v>0.15</c:v>
                      </c:pt>
                      <c:pt idx="388">
                        <c:v>0.15</c:v>
                      </c:pt>
                      <c:pt idx="389">
                        <c:v>0.15</c:v>
                      </c:pt>
                      <c:pt idx="390">
                        <c:v>0.15</c:v>
                      </c:pt>
                      <c:pt idx="391">
                        <c:v>0.15</c:v>
                      </c:pt>
                      <c:pt idx="392">
                        <c:v>0.15</c:v>
                      </c:pt>
                      <c:pt idx="393">
                        <c:v>0.15</c:v>
                      </c:pt>
                      <c:pt idx="394">
                        <c:v>0.15</c:v>
                      </c:pt>
                      <c:pt idx="395">
                        <c:v>0.15</c:v>
                      </c:pt>
                      <c:pt idx="396">
                        <c:v>0.15</c:v>
                      </c:pt>
                      <c:pt idx="397">
                        <c:v>0.15</c:v>
                      </c:pt>
                      <c:pt idx="398">
                        <c:v>0.15</c:v>
                      </c:pt>
                      <c:pt idx="399">
                        <c:v>0.15</c:v>
                      </c:pt>
                      <c:pt idx="400">
                        <c:v>0.15</c:v>
                      </c:pt>
                      <c:pt idx="401">
                        <c:v>0.15</c:v>
                      </c:pt>
                      <c:pt idx="402">
                        <c:v>0.15</c:v>
                      </c:pt>
                      <c:pt idx="403">
                        <c:v>0.15</c:v>
                      </c:pt>
                      <c:pt idx="404">
                        <c:v>0.15</c:v>
                      </c:pt>
                      <c:pt idx="405">
                        <c:v>0.15</c:v>
                      </c:pt>
                      <c:pt idx="406">
                        <c:v>0.15</c:v>
                      </c:pt>
                      <c:pt idx="407">
                        <c:v>0.15</c:v>
                      </c:pt>
                      <c:pt idx="408">
                        <c:v>0.15</c:v>
                      </c:pt>
                      <c:pt idx="409">
                        <c:v>0.15</c:v>
                      </c:pt>
                      <c:pt idx="410">
                        <c:v>0.15</c:v>
                      </c:pt>
                      <c:pt idx="411">
                        <c:v>0.15</c:v>
                      </c:pt>
                      <c:pt idx="412">
                        <c:v>0.15</c:v>
                      </c:pt>
                      <c:pt idx="413">
                        <c:v>0.15</c:v>
                      </c:pt>
                      <c:pt idx="414">
                        <c:v>0.15</c:v>
                      </c:pt>
                      <c:pt idx="415">
                        <c:v>0.15</c:v>
                      </c:pt>
                      <c:pt idx="416">
                        <c:v>0.15</c:v>
                      </c:pt>
                      <c:pt idx="417">
                        <c:v>0.15</c:v>
                      </c:pt>
                      <c:pt idx="418">
                        <c:v>0.15</c:v>
                      </c:pt>
                      <c:pt idx="419">
                        <c:v>0.15</c:v>
                      </c:pt>
                      <c:pt idx="420">
                        <c:v>0.15</c:v>
                      </c:pt>
                      <c:pt idx="421">
                        <c:v>0.15</c:v>
                      </c:pt>
                      <c:pt idx="422">
                        <c:v>0.15</c:v>
                      </c:pt>
                      <c:pt idx="423">
                        <c:v>0.15</c:v>
                      </c:pt>
                      <c:pt idx="424">
                        <c:v>0.15</c:v>
                      </c:pt>
                      <c:pt idx="425">
                        <c:v>0.15</c:v>
                      </c:pt>
                      <c:pt idx="426">
                        <c:v>0.15</c:v>
                      </c:pt>
                      <c:pt idx="427">
                        <c:v>0.15</c:v>
                      </c:pt>
                      <c:pt idx="428">
                        <c:v>0.15</c:v>
                      </c:pt>
                      <c:pt idx="429">
                        <c:v>0.15</c:v>
                      </c:pt>
                      <c:pt idx="430">
                        <c:v>0.15</c:v>
                      </c:pt>
                      <c:pt idx="431">
                        <c:v>0.15</c:v>
                      </c:pt>
                      <c:pt idx="432">
                        <c:v>0.15</c:v>
                      </c:pt>
                      <c:pt idx="433">
                        <c:v>0.15</c:v>
                      </c:pt>
                      <c:pt idx="434">
                        <c:v>0.15</c:v>
                      </c:pt>
                      <c:pt idx="435">
                        <c:v>0.15</c:v>
                      </c:pt>
                      <c:pt idx="436">
                        <c:v>0.15</c:v>
                      </c:pt>
                      <c:pt idx="437">
                        <c:v>0.15</c:v>
                      </c:pt>
                      <c:pt idx="438">
                        <c:v>0.15</c:v>
                      </c:pt>
                      <c:pt idx="439">
                        <c:v>0.15</c:v>
                      </c:pt>
                      <c:pt idx="440">
                        <c:v>0.15</c:v>
                      </c:pt>
                      <c:pt idx="441">
                        <c:v>0.15</c:v>
                      </c:pt>
                      <c:pt idx="442">
                        <c:v>0.15</c:v>
                      </c:pt>
                      <c:pt idx="443">
                        <c:v>0.15</c:v>
                      </c:pt>
                      <c:pt idx="444">
                        <c:v>0.15</c:v>
                      </c:pt>
                      <c:pt idx="445">
                        <c:v>0.15</c:v>
                      </c:pt>
                      <c:pt idx="446">
                        <c:v>0.15</c:v>
                      </c:pt>
                      <c:pt idx="447">
                        <c:v>0.15</c:v>
                      </c:pt>
                      <c:pt idx="448">
                        <c:v>0.15</c:v>
                      </c:pt>
                      <c:pt idx="449">
                        <c:v>0.15</c:v>
                      </c:pt>
                      <c:pt idx="450">
                        <c:v>0.15</c:v>
                      </c:pt>
                      <c:pt idx="451">
                        <c:v>0.15</c:v>
                      </c:pt>
                      <c:pt idx="452">
                        <c:v>0.15</c:v>
                      </c:pt>
                      <c:pt idx="453">
                        <c:v>0.15</c:v>
                      </c:pt>
                      <c:pt idx="454">
                        <c:v>0.15</c:v>
                      </c:pt>
                      <c:pt idx="455">
                        <c:v>0.15</c:v>
                      </c:pt>
                      <c:pt idx="456">
                        <c:v>0.15</c:v>
                      </c:pt>
                      <c:pt idx="457">
                        <c:v>0.15</c:v>
                      </c:pt>
                      <c:pt idx="458">
                        <c:v>0.15</c:v>
                      </c:pt>
                      <c:pt idx="459">
                        <c:v>0.15</c:v>
                      </c:pt>
                      <c:pt idx="460">
                        <c:v>0.15</c:v>
                      </c:pt>
                      <c:pt idx="461">
                        <c:v>0.15</c:v>
                      </c:pt>
                      <c:pt idx="462">
                        <c:v>0.15</c:v>
                      </c:pt>
                      <c:pt idx="463">
                        <c:v>0.15</c:v>
                      </c:pt>
                      <c:pt idx="464">
                        <c:v>0.15</c:v>
                      </c:pt>
                      <c:pt idx="465">
                        <c:v>0.15</c:v>
                      </c:pt>
                      <c:pt idx="466">
                        <c:v>0.15</c:v>
                      </c:pt>
                      <c:pt idx="467">
                        <c:v>0.15</c:v>
                      </c:pt>
                      <c:pt idx="468">
                        <c:v>0.15</c:v>
                      </c:pt>
                      <c:pt idx="469">
                        <c:v>0.15</c:v>
                      </c:pt>
                      <c:pt idx="470">
                        <c:v>0.15</c:v>
                      </c:pt>
                      <c:pt idx="471">
                        <c:v>0.15</c:v>
                      </c:pt>
                      <c:pt idx="472">
                        <c:v>0.15</c:v>
                      </c:pt>
                      <c:pt idx="473">
                        <c:v>0.15</c:v>
                      </c:pt>
                      <c:pt idx="474">
                        <c:v>0.15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41-474C-AF79-D987EABE440C}"/>
                  </c:ext>
                </c:extLst>
              </c15:ser>
            </c15:filteredLineSeries>
          </c:ext>
        </c:extLst>
      </c:lineChart>
      <c:catAx>
        <c:axId val="813800511"/>
        <c:scaling>
          <c:orientation val="minMax"/>
        </c:scaling>
        <c:delete val="0"/>
        <c:axPos val="b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3800991"/>
        <c:crosses val="autoZero"/>
        <c:auto val="1"/>
        <c:lblAlgn val="ctr"/>
        <c:lblOffset val="100"/>
        <c:noMultiLvlLbl val="0"/>
      </c:catAx>
      <c:valAx>
        <c:axId val="8138009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380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u="none" strike="noStrike" kern="1200" spc="0" baseline="0">
                <a:solidFill>
                  <a:sysClr val="windowText" lastClr="000000"/>
                </a:solidFill>
              </a:rPr>
              <a:t>(b) Raise Limit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ASSETS!$I$18</c:f>
              <c:strCache>
                <c:ptCount val="1"/>
                <c:pt idx="0">
                  <c:v> Fitness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ASSETS!$C$19:$C$493</c:f>
              <c:numCache>
                <c:formatCode>_-* #,##0_-;\-* #,##0_-;_-* "-"??_-;_-@_-</c:formatCode>
                <c:ptCount val="4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</c:numCache>
            </c:numRef>
          </c:cat>
          <c:val>
            <c:numRef>
              <c:f>ASSETS!$I$19:$I$493</c:f>
              <c:numCache>
                <c:formatCode>_(* #,##0.00_);_(* \(#,##0.00\);_(* "-"??_);_(@_)</c:formatCode>
                <c:ptCount val="475"/>
                <c:pt idx="0">
                  <c:v>1</c:v>
                </c:pt>
                <c:pt idx="1">
                  <c:v>0.76923076923076927</c:v>
                </c:pt>
                <c:pt idx="2">
                  <c:v>0.8</c:v>
                </c:pt>
                <c:pt idx="3">
                  <c:v>0.84615384615384615</c:v>
                </c:pt>
                <c:pt idx="4">
                  <c:v>0.8571428571428571</c:v>
                </c:pt>
                <c:pt idx="5">
                  <c:v>0.875</c:v>
                </c:pt>
                <c:pt idx="6">
                  <c:v>0.87878787878787878</c:v>
                </c:pt>
                <c:pt idx="7">
                  <c:v>0.83333333333333337</c:v>
                </c:pt>
                <c:pt idx="8">
                  <c:v>0.8</c:v>
                </c:pt>
                <c:pt idx="9">
                  <c:v>0.8</c:v>
                </c:pt>
                <c:pt idx="10">
                  <c:v>0.77777777777777779</c:v>
                </c:pt>
                <c:pt idx="11">
                  <c:v>0.80851063829787229</c:v>
                </c:pt>
                <c:pt idx="12">
                  <c:v>0.80851063829787229</c:v>
                </c:pt>
                <c:pt idx="13">
                  <c:v>0.80851063829787229</c:v>
                </c:pt>
                <c:pt idx="14">
                  <c:v>0.78723404255319152</c:v>
                </c:pt>
                <c:pt idx="15">
                  <c:v>0.82978723404255317</c:v>
                </c:pt>
                <c:pt idx="16">
                  <c:v>0.78723404255319152</c:v>
                </c:pt>
                <c:pt idx="17">
                  <c:v>0.78723404255319152</c:v>
                </c:pt>
                <c:pt idx="18">
                  <c:v>0.78723404255319152</c:v>
                </c:pt>
                <c:pt idx="19">
                  <c:v>0.77551020408163263</c:v>
                </c:pt>
                <c:pt idx="20">
                  <c:v>0.79591836734693877</c:v>
                </c:pt>
                <c:pt idx="21">
                  <c:v>0.76</c:v>
                </c:pt>
                <c:pt idx="22">
                  <c:v>0.78</c:v>
                </c:pt>
                <c:pt idx="23">
                  <c:v>0.75</c:v>
                </c:pt>
                <c:pt idx="24">
                  <c:v>0.75</c:v>
                </c:pt>
                <c:pt idx="25">
                  <c:v>0.74509803921568629</c:v>
                </c:pt>
                <c:pt idx="26">
                  <c:v>0.73076923076923073</c:v>
                </c:pt>
                <c:pt idx="27">
                  <c:v>0.69811320754716977</c:v>
                </c:pt>
                <c:pt idx="28">
                  <c:v>0.67924528301886788</c:v>
                </c:pt>
                <c:pt idx="29">
                  <c:v>0.67924528301886788</c:v>
                </c:pt>
                <c:pt idx="30">
                  <c:v>0.68518518518518523</c:v>
                </c:pt>
                <c:pt idx="31">
                  <c:v>0.70175438596491224</c:v>
                </c:pt>
                <c:pt idx="32">
                  <c:v>0.68421052631578949</c:v>
                </c:pt>
                <c:pt idx="33">
                  <c:v>0.66666666666666663</c:v>
                </c:pt>
                <c:pt idx="34">
                  <c:v>0.66666666666666663</c:v>
                </c:pt>
                <c:pt idx="35">
                  <c:v>0.68421052631578949</c:v>
                </c:pt>
                <c:pt idx="36">
                  <c:v>0.68421052631578949</c:v>
                </c:pt>
                <c:pt idx="37">
                  <c:v>0.6785714285714286</c:v>
                </c:pt>
                <c:pt idx="38">
                  <c:v>0.6785714285714286</c:v>
                </c:pt>
                <c:pt idx="39">
                  <c:v>0.68421052631578949</c:v>
                </c:pt>
                <c:pt idx="40">
                  <c:v>0.66666666666666663</c:v>
                </c:pt>
                <c:pt idx="41">
                  <c:v>0.68421052631578949</c:v>
                </c:pt>
                <c:pt idx="42">
                  <c:v>0.66666666666666663</c:v>
                </c:pt>
                <c:pt idx="43">
                  <c:v>0.68965517241379315</c:v>
                </c:pt>
                <c:pt idx="44">
                  <c:v>0.64516129032258063</c:v>
                </c:pt>
                <c:pt idx="45">
                  <c:v>0.66666666666666663</c:v>
                </c:pt>
                <c:pt idx="46">
                  <c:v>0.66153846153846152</c:v>
                </c:pt>
                <c:pt idx="47">
                  <c:v>0.66153846153846152</c:v>
                </c:pt>
                <c:pt idx="48">
                  <c:v>0.64615384615384619</c:v>
                </c:pt>
                <c:pt idx="49">
                  <c:v>0.64615384615384619</c:v>
                </c:pt>
                <c:pt idx="50">
                  <c:v>0.61538461538461542</c:v>
                </c:pt>
                <c:pt idx="51">
                  <c:v>0.58461538461538465</c:v>
                </c:pt>
                <c:pt idx="52">
                  <c:v>0.58461538461538465</c:v>
                </c:pt>
                <c:pt idx="53">
                  <c:v>0.58461538461538465</c:v>
                </c:pt>
                <c:pt idx="54">
                  <c:v>0.61538461538461542</c:v>
                </c:pt>
                <c:pt idx="55">
                  <c:v>0.63492063492063489</c:v>
                </c:pt>
                <c:pt idx="56">
                  <c:v>0.63492063492063489</c:v>
                </c:pt>
                <c:pt idx="57">
                  <c:v>0.609375</c:v>
                </c:pt>
                <c:pt idx="58">
                  <c:v>0.609375</c:v>
                </c:pt>
                <c:pt idx="59">
                  <c:v>0.625</c:v>
                </c:pt>
                <c:pt idx="60">
                  <c:v>0.640625</c:v>
                </c:pt>
                <c:pt idx="61">
                  <c:v>0.65079365079365081</c:v>
                </c:pt>
                <c:pt idx="62">
                  <c:v>0.65079365079365081</c:v>
                </c:pt>
                <c:pt idx="63">
                  <c:v>0.66129032258064513</c:v>
                </c:pt>
                <c:pt idx="64">
                  <c:v>0.62295081967213117</c:v>
                </c:pt>
                <c:pt idx="65">
                  <c:v>0.65573770491803274</c:v>
                </c:pt>
                <c:pt idx="66">
                  <c:v>0.65573770491803274</c:v>
                </c:pt>
                <c:pt idx="67">
                  <c:v>0.68333333333333335</c:v>
                </c:pt>
                <c:pt idx="68">
                  <c:v>0.68852459016393441</c:v>
                </c:pt>
                <c:pt idx="69">
                  <c:v>0.7</c:v>
                </c:pt>
                <c:pt idx="70">
                  <c:v>0.68333333333333335</c:v>
                </c:pt>
                <c:pt idx="71">
                  <c:v>0.7</c:v>
                </c:pt>
                <c:pt idx="72">
                  <c:v>0.71666666666666667</c:v>
                </c:pt>
                <c:pt idx="73">
                  <c:v>0.71186440677966101</c:v>
                </c:pt>
                <c:pt idx="74">
                  <c:v>0.75438596491228072</c:v>
                </c:pt>
                <c:pt idx="75">
                  <c:v>0.7068965517241379</c:v>
                </c:pt>
                <c:pt idx="76">
                  <c:v>0.73684210526315785</c:v>
                </c:pt>
                <c:pt idx="77">
                  <c:v>0.7321428571428571</c:v>
                </c:pt>
                <c:pt idx="78">
                  <c:v>0.7192982456140351</c:v>
                </c:pt>
                <c:pt idx="79">
                  <c:v>0.7321428571428571</c:v>
                </c:pt>
                <c:pt idx="80">
                  <c:v>0.75</c:v>
                </c:pt>
                <c:pt idx="81">
                  <c:v>0.75</c:v>
                </c:pt>
                <c:pt idx="82">
                  <c:v>0.72727272727272729</c:v>
                </c:pt>
                <c:pt idx="83">
                  <c:v>0.7142857142857143</c:v>
                </c:pt>
                <c:pt idx="84">
                  <c:v>0.7321428571428571</c:v>
                </c:pt>
                <c:pt idx="85">
                  <c:v>0.72413793103448276</c:v>
                </c:pt>
                <c:pt idx="86">
                  <c:v>0.72413793103448276</c:v>
                </c:pt>
                <c:pt idx="87">
                  <c:v>0.72413793103448276</c:v>
                </c:pt>
                <c:pt idx="88">
                  <c:v>0.6964285714285714</c:v>
                </c:pt>
                <c:pt idx="89">
                  <c:v>0.6964285714285714</c:v>
                </c:pt>
                <c:pt idx="90">
                  <c:v>0.6964285714285714</c:v>
                </c:pt>
                <c:pt idx="91">
                  <c:v>0.6785714285714286</c:v>
                </c:pt>
                <c:pt idx="92">
                  <c:v>0.6607142857142857</c:v>
                </c:pt>
                <c:pt idx="93">
                  <c:v>0.6271186440677966</c:v>
                </c:pt>
                <c:pt idx="94">
                  <c:v>0.62903225806451613</c:v>
                </c:pt>
                <c:pt idx="95">
                  <c:v>0.62295081967213117</c:v>
                </c:pt>
                <c:pt idx="96">
                  <c:v>0.66666666666666663</c:v>
                </c:pt>
                <c:pt idx="97">
                  <c:v>0.65</c:v>
                </c:pt>
                <c:pt idx="98">
                  <c:v>0.64516129032258063</c:v>
                </c:pt>
                <c:pt idx="99">
                  <c:v>0.65079365079365081</c:v>
                </c:pt>
                <c:pt idx="100">
                  <c:v>0.67213114754098358</c:v>
                </c:pt>
                <c:pt idx="101">
                  <c:v>0.65573770491803274</c:v>
                </c:pt>
                <c:pt idx="102">
                  <c:v>0.66666666666666663</c:v>
                </c:pt>
                <c:pt idx="103">
                  <c:v>0.66666666666666663</c:v>
                </c:pt>
                <c:pt idx="104">
                  <c:v>0.66666666666666663</c:v>
                </c:pt>
                <c:pt idx="105">
                  <c:v>0.671875</c:v>
                </c:pt>
                <c:pt idx="106">
                  <c:v>0.671875</c:v>
                </c:pt>
                <c:pt idx="107">
                  <c:v>0.671875</c:v>
                </c:pt>
                <c:pt idx="108">
                  <c:v>0.66666666666666663</c:v>
                </c:pt>
                <c:pt idx="109">
                  <c:v>0.69354838709677424</c:v>
                </c:pt>
                <c:pt idx="110">
                  <c:v>0.67213114754098358</c:v>
                </c:pt>
                <c:pt idx="111">
                  <c:v>0.66129032258064513</c:v>
                </c:pt>
                <c:pt idx="112">
                  <c:v>0.66129032258064513</c:v>
                </c:pt>
                <c:pt idx="113">
                  <c:v>0.66129032258064513</c:v>
                </c:pt>
                <c:pt idx="114">
                  <c:v>0.68852459016393441</c:v>
                </c:pt>
                <c:pt idx="115">
                  <c:v>0.66666666666666663</c:v>
                </c:pt>
                <c:pt idx="116">
                  <c:v>0.68333333333333335</c:v>
                </c:pt>
                <c:pt idx="117">
                  <c:v>0.67213114754098358</c:v>
                </c:pt>
                <c:pt idx="118">
                  <c:v>0.68333333333333335</c:v>
                </c:pt>
                <c:pt idx="119">
                  <c:v>0.66666666666666663</c:v>
                </c:pt>
                <c:pt idx="120">
                  <c:v>0.64516129032258063</c:v>
                </c:pt>
                <c:pt idx="121">
                  <c:v>0.66129032258064513</c:v>
                </c:pt>
                <c:pt idx="122">
                  <c:v>0.66129032258064513</c:v>
                </c:pt>
                <c:pt idx="123">
                  <c:v>0.64516129032258063</c:v>
                </c:pt>
                <c:pt idx="124">
                  <c:v>0.67213114754098358</c:v>
                </c:pt>
                <c:pt idx="125">
                  <c:v>0.66666666666666663</c:v>
                </c:pt>
                <c:pt idx="126">
                  <c:v>0.66666666666666663</c:v>
                </c:pt>
                <c:pt idx="127">
                  <c:v>0.66666666666666663</c:v>
                </c:pt>
                <c:pt idx="128">
                  <c:v>0.73333333333333328</c:v>
                </c:pt>
                <c:pt idx="129">
                  <c:v>0.71186440677966101</c:v>
                </c:pt>
                <c:pt idx="130">
                  <c:v>0.71186440677966101</c:v>
                </c:pt>
                <c:pt idx="131">
                  <c:v>0.69491525423728817</c:v>
                </c:pt>
                <c:pt idx="132">
                  <c:v>0.67241379310344829</c:v>
                </c:pt>
                <c:pt idx="133">
                  <c:v>0.66666666666666663</c:v>
                </c:pt>
                <c:pt idx="134">
                  <c:v>0.66666666666666663</c:v>
                </c:pt>
                <c:pt idx="135">
                  <c:v>0.66666666666666663</c:v>
                </c:pt>
                <c:pt idx="136">
                  <c:v>0.65</c:v>
                </c:pt>
                <c:pt idx="137">
                  <c:v>0.66666666666666663</c:v>
                </c:pt>
                <c:pt idx="138">
                  <c:v>0.66666666666666663</c:v>
                </c:pt>
                <c:pt idx="139">
                  <c:v>0.65</c:v>
                </c:pt>
                <c:pt idx="140">
                  <c:v>0.66666666666666663</c:v>
                </c:pt>
                <c:pt idx="141">
                  <c:v>0.63934426229508201</c:v>
                </c:pt>
                <c:pt idx="142">
                  <c:v>0.65573770491803274</c:v>
                </c:pt>
                <c:pt idx="143">
                  <c:v>0.63934426229508201</c:v>
                </c:pt>
                <c:pt idx="144">
                  <c:v>0.62295081967213117</c:v>
                </c:pt>
                <c:pt idx="145">
                  <c:v>0.62295081967213117</c:v>
                </c:pt>
                <c:pt idx="146">
                  <c:v>0.62295081967213117</c:v>
                </c:pt>
                <c:pt idx="147">
                  <c:v>0.64406779661016944</c:v>
                </c:pt>
                <c:pt idx="148">
                  <c:v>0.70909090909090911</c:v>
                </c:pt>
                <c:pt idx="149">
                  <c:v>0.65454545454545454</c:v>
                </c:pt>
                <c:pt idx="150">
                  <c:v>0.65454545454545454</c:v>
                </c:pt>
                <c:pt idx="151">
                  <c:v>0.66666666666666663</c:v>
                </c:pt>
                <c:pt idx="152">
                  <c:v>0.66666666666666663</c:v>
                </c:pt>
                <c:pt idx="153">
                  <c:v>0.66666666666666663</c:v>
                </c:pt>
                <c:pt idx="154">
                  <c:v>0.65517241379310343</c:v>
                </c:pt>
                <c:pt idx="155">
                  <c:v>0.64406779661016944</c:v>
                </c:pt>
                <c:pt idx="156">
                  <c:v>0.66101694915254239</c:v>
                </c:pt>
                <c:pt idx="157">
                  <c:v>0.67213114754098358</c:v>
                </c:pt>
                <c:pt idx="158">
                  <c:v>0.67741935483870963</c:v>
                </c:pt>
                <c:pt idx="159">
                  <c:v>0.67741935483870963</c:v>
                </c:pt>
                <c:pt idx="160">
                  <c:v>0.67741935483870963</c:v>
                </c:pt>
                <c:pt idx="161">
                  <c:v>0.66129032258064513</c:v>
                </c:pt>
                <c:pt idx="162">
                  <c:v>0.68333333333333335</c:v>
                </c:pt>
                <c:pt idx="163">
                  <c:v>0.67213114754098358</c:v>
                </c:pt>
                <c:pt idx="164">
                  <c:v>0.68852459016393441</c:v>
                </c:pt>
                <c:pt idx="165">
                  <c:v>0.7</c:v>
                </c:pt>
                <c:pt idx="166">
                  <c:v>0.69491525423728817</c:v>
                </c:pt>
                <c:pt idx="167">
                  <c:v>0.69491525423728817</c:v>
                </c:pt>
                <c:pt idx="168">
                  <c:v>0.7068965517241379</c:v>
                </c:pt>
                <c:pt idx="169">
                  <c:v>0.71186440677966101</c:v>
                </c:pt>
                <c:pt idx="170">
                  <c:v>0.69491525423728817</c:v>
                </c:pt>
                <c:pt idx="171">
                  <c:v>0.68333333333333335</c:v>
                </c:pt>
                <c:pt idx="172">
                  <c:v>0.71186440677966101</c:v>
                </c:pt>
                <c:pt idx="173">
                  <c:v>0.69491525423728817</c:v>
                </c:pt>
                <c:pt idx="174">
                  <c:v>0.71186440677966101</c:v>
                </c:pt>
                <c:pt idx="175">
                  <c:v>0.7192982456140351</c:v>
                </c:pt>
                <c:pt idx="176">
                  <c:v>0.69491525423728817</c:v>
                </c:pt>
                <c:pt idx="177">
                  <c:v>0.74576271186440679</c:v>
                </c:pt>
                <c:pt idx="178">
                  <c:v>0.7068965517241379</c:v>
                </c:pt>
                <c:pt idx="179">
                  <c:v>0.72413793103448276</c:v>
                </c:pt>
                <c:pt idx="180">
                  <c:v>0.75</c:v>
                </c:pt>
                <c:pt idx="181">
                  <c:v>0.75</c:v>
                </c:pt>
                <c:pt idx="182">
                  <c:v>0.74137931034482762</c:v>
                </c:pt>
                <c:pt idx="183">
                  <c:v>0.73684210526315785</c:v>
                </c:pt>
                <c:pt idx="184">
                  <c:v>0.7321428571428571</c:v>
                </c:pt>
                <c:pt idx="185">
                  <c:v>0.7142857142857143</c:v>
                </c:pt>
                <c:pt idx="186">
                  <c:v>0.70909090909090911</c:v>
                </c:pt>
                <c:pt idx="187">
                  <c:v>0.72727272727272729</c:v>
                </c:pt>
                <c:pt idx="188">
                  <c:v>0.7068965517241379</c:v>
                </c:pt>
                <c:pt idx="189">
                  <c:v>0.7068965517241379</c:v>
                </c:pt>
                <c:pt idx="190">
                  <c:v>0.7068965517241379</c:v>
                </c:pt>
                <c:pt idx="191">
                  <c:v>0.69491525423728817</c:v>
                </c:pt>
                <c:pt idx="192">
                  <c:v>0.68333333333333335</c:v>
                </c:pt>
                <c:pt idx="193">
                  <c:v>0.70491803278688525</c:v>
                </c:pt>
                <c:pt idx="194">
                  <c:v>0.68852459016393441</c:v>
                </c:pt>
                <c:pt idx="195">
                  <c:v>0.70491803278688525</c:v>
                </c:pt>
                <c:pt idx="196">
                  <c:v>0.70491803278688525</c:v>
                </c:pt>
                <c:pt idx="197">
                  <c:v>0.7</c:v>
                </c:pt>
                <c:pt idx="198">
                  <c:v>0.7</c:v>
                </c:pt>
                <c:pt idx="199">
                  <c:v>0.7</c:v>
                </c:pt>
                <c:pt idx="200">
                  <c:v>0.69354838709677424</c:v>
                </c:pt>
                <c:pt idx="201">
                  <c:v>0.68253968253968256</c:v>
                </c:pt>
                <c:pt idx="202">
                  <c:v>0.68253968253968256</c:v>
                </c:pt>
                <c:pt idx="203">
                  <c:v>0.68253968253968256</c:v>
                </c:pt>
                <c:pt idx="204">
                  <c:v>0.67741935483870963</c:v>
                </c:pt>
                <c:pt idx="205">
                  <c:v>0.65079365079365081</c:v>
                </c:pt>
                <c:pt idx="206">
                  <c:v>0.65079365079365081</c:v>
                </c:pt>
                <c:pt idx="207">
                  <c:v>0.65079365079365081</c:v>
                </c:pt>
                <c:pt idx="208">
                  <c:v>0.65079365079365081</c:v>
                </c:pt>
                <c:pt idx="209">
                  <c:v>0.65079365079365081</c:v>
                </c:pt>
                <c:pt idx="210">
                  <c:v>0.65079365079365081</c:v>
                </c:pt>
                <c:pt idx="211">
                  <c:v>0.640625</c:v>
                </c:pt>
                <c:pt idx="212">
                  <c:v>0.64615384615384619</c:v>
                </c:pt>
                <c:pt idx="213">
                  <c:v>0.63636363636363635</c:v>
                </c:pt>
                <c:pt idx="214">
                  <c:v>0.63636363636363635</c:v>
                </c:pt>
                <c:pt idx="215">
                  <c:v>0.63076923076923075</c:v>
                </c:pt>
                <c:pt idx="216">
                  <c:v>0.63076923076923075</c:v>
                </c:pt>
                <c:pt idx="217">
                  <c:v>0.64615384615384619</c:v>
                </c:pt>
                <c:pt idx="218">
                  <c:v>0.64615384615384619</c:v>
                </c:pt>
                <c:pt idx="219">
                  <c:v>0.65625</c:v>
                </c:pt>
                <c:pt idx="220">
                  <c:v>0.65625</c:v>
                </c:pt>
                <c:pt idx="221">
                  <c:v>0.65625</c:v>
                </c:pt>
                <c:pt idx="222">
                  <c:v>0.67741935483870963</c:v>
                </c:pt>
                <c:pt idx="223">
                  <c:v>0.67213114754098358</c:v>
                </c:pt>
                <c:pt idx="224">
                  <c:v>0.65573770491803274</c:v>
                </c:pt>
                <c:pt idx="225">
                  <c:v>0.65573770491803274</c:v>
                </c:pt>
                <c:pt idx="226">
                  <c:v>0.66101694915254239</c:v>
                </c:pt>
                <c:pt idx="227">
                  <c:v>0.66666666666666663</c:v>
                </c:pt>
                <c:pt idx="228">
                  <c:v>0.65517241379310343</c:v>
                </c:pt>
                <c:pt idx="229">
                  <c:v>0.65517241379310343</c:v>
                </c:pt>
                <c:pt idx="230">
                  <c:v>0.65517241379310343</c:v>
                </c:pt>
                <c:pt idx="231">
                  <c:v>0.65517241379310343</c:v>
                </c:pt>
                <c:pt idx="232">
                  <c:v>0.68965517241379315</c:v>
                </c:pt>
                <c:pt idx="233">
                  <c:v>0.6785714285714286</c:v>
                </c:pt>
                <c:pt idx="234">
                  <c:v>0.70909090909090911</c:v>
                </c:pt>
                <c:pt idx="235">
                  <c:v>0.70909090909090911</c:v>
                </c:pt>
                <c:pt idx="236">
                  <c:v>0.7142857142857143</c:v>
                </c:pt>
                <c:pt idx="237">
                  <c:v>0.7592592592592593</c:v>
                </c:pt>
                <c:pt idx="238">
                  <c:v>0.79245283018867929</c:v>
                </c:pt>
                <c:pt idx="239">
                  <c:v>0.77777777777777779</c:v>
                </c:pt>
                <c:pt idx="240">
                  <c:v>0.77358490566037741</c:v>
                </c:pt>
                <c:pt idx="241">
                  <c:v>0.75471698113207553</c:v>
                </c:pt>
                <c:pt idx="242">
                  <c:v>0.75471698113207553</c:v>
                </c:pt>
                <c:pt idx="243">
                  <c:v>0.7407407407407407</c:v>
                </c:pt>
                <c:pt idx="244">
                  <c:v>0.71698113207547165</c:v>
                </c:pt>
                <c:pt idx="245">
                  <c:v>0.71698113207547165</c:v>
                </c:pt>
                <c:pt idx="246">
                  <c:v>0.69811320754716977</c:v>
                </c:pt>
                <c:pt idx="247">
                  <c:v>0.68518518518518523</c:v>
                </c:pt>
                <c:pt idx="248">
                  <c:v>0.68518518518518523</c:v>
                </c:pt>
                <c:pt idx="249">
                  <c:v>0.70370370370370372</c:v>
                </c:pt>
                <c:pt idx="250">
                  <c:v>0.68518518518518523</c:v>
                </c:pt>
                <c:pt idx="251">
                  <c:v>0.69811320754716977</c:v>
                </c:pt>
                <c:pt idx="252">
                  <c:v>0.6785714285714286</c:v>
                </c:pt>
                <c:pt idx="253">
                  <c:v>0.68421052631578949</c:v>
                </c:pt>
                <c:pt idx="254">
                  <c:v>0.66101694915254239</c:v>
                </c:pt>
                <c:pt idx="255">
                  <c:v>0.64406779661016944</c:v>
                </c:pt>
                <c:pt idx="256">
                  <c:v>0.64406779661016944</c:v>
                </c:pt>
                <c:pt idx="257">
                  <c:v>0.64406779661016944</c:v>
                </c:pt>
                <c:pt idx="258">
                  <c:v>0.6271186440677966</c:v>
                </c:pt>
                <c:pt idx="259">
                  <c:v>0.6271186440677966</c:v>
                </c:pt>
                <c:pt idx="260">
                  <c:v>0.6271186440677966</c:v>
                </c:pt>
                <c:pt idx="261">
                  <c:v>0.6271186440677966</c:v>
                </c:pt>
                <c:pt idx="262">
                  <c:v>0.67241379310344829</c:v>
                </c:pt>
                <c:pt idx="263">
                  <c:v>0.66666666666666663</c:v>
                </c:pt>
                <c:pt idx="264">
                  <c:v>0.6428571428571429</c:v>
                </c:pt>
                <c:pt idx="265">
                  <c:v>0.625</c:v>
                </c:pt>
                <c:pt idx="266">
                  <c:v>0.625</c:v>
                </c:pt>
                <c:pt idx="267">
                  <c:v>0.61403508771929827</c:v>
                </c:pt>
                <c:pt idx="268">
                  <c:v>0.625</c:v>
                </c:pt>
                <c:pt idx="269">
                  <c:v>0.625</c:v>
                </c:pt>
                <c:pt idx="270">
                  <c:v>0.625</c:v>
                </c:pt>
                <c:pt idx="271">
                  <c:v>0.625</c:v>
                </c:pt>
                <c:pt idx="272">
                  <c:v>0.63157894736842102</c:v>
                </c:pt>
                <c:pt idx="273">
                  <c:v>0.62068965517241381</c:v>
                </c:pt>
                <c:pt idx="274">
                  <c:v>0.60344827586206895</c:v>
                </c:pt>
                <c:pt idx="275">
                  <c:v>0.61016949152542377</c:v>
                </c:pt>
                <c:pt idx="276">
                  <c:v>0.61016949152542377</c:v>
                </c:pt>
                <c:pt idx="277">
                  <c:v>0.61016949152542377</c:v>
                </c:pt>
                <c:pt idx="278">
                  <c:v>0.6166666666666667</c:v>
                </c:pt>
                <c:pt idx="279">
                  <c:v>0.6271186440677966</c:v>
                </c:pt>
                <c:pt idx="280">
                  <c:v>0.6271186440677966</c:v>
                </c:pt>
                <c:pt idx="281">
                  <c:v>0.62068965517241381</c:v>
                </c:pt>
                <c:pt idx="282">
                  <c:v>0.60344827586206895</c:v>
                </c:pt>
                <c:pt idx="283">
                  <c:v>0.61403508771929827</c:v>
                </c:pt>
                <c:pt idx="284">
                  <c:v>0.61403508771929827</c:v>
                </c:pt>
                <c:pt idx="285">
                  <c:v>0.60344827586206895</c:v>
                </c:pt>
                <c:pt idx="286">
                  <c:v>0.60344827586206895</c:v>
                </c:pt>
                <c:pt idx="287">
                  <c:v>0.60344827586206895</c:v>
                </c:pt>
                <c:pt idx="288">
                  <c:v>0.60344827586206895</c:v>
                </c:pt>
                <c:pt idx="289">
                  <c:v>0.6071428571428571</c:v>
                </c:pt>
                <c:pt idx="290">
                  <c:v>0.6071428571428571</c:v>
                </c:pt>
                <c:pt idx="291">
                  <c:v>0.6071428571428571</c:v>
                </c:pt>
                <c:pt idx="292">
                  <c:v>0.6071428571428571</c:v>
                </c:pt>
                <c:pt idx="293">
                  <c:v>0.625</c:v>
                </c:pt>
                <c:pt idx="294">
                  <c:v>0.6071428571428571</c:v>
                </c:pt>
                <c:pt idx="295">
                  <c:v>0.6071428571428571</c:v>
                </c:pt>
                <c:pt idx="296">
                  <c:v>0.63157894736842102</c:v>
                </c:pt>
                <c:pt idx="297">
                  <c:v>0.6607142857142857</c:v>
                </c:pt>
                <c:pt idx="298">
                  <c:v>0.6607142857142857</c:v>
                </c:pt>
                <c:pt idx="299">
                  <c:v>0.6071428571428571</c:v>
                </c:pt>
                <c:pt idx="300">
                  <c:v>0.57894736842105265</c:v>
                </c:pt>
                <c:pt idx="301">
                  <c:v>0.57894736842105265</c:v>
                </c:pt>
                <c:pt idx="302">
                  <c:v>0.57894736842105265</c:v>
                </c:pt>
                <c:pt idx="303">
                  <c:v>0.59649122807017541</c:v>
                </c:pt>
                <c:pt idx="304">
                  <c:v>0.59649122807017541</c:v>
                </c:pt>
                <c:pt idx="305">
                  <c:v>0.59649122807017541</c:v>
                </c:pt>
                <c:pt idx="306">
                  <c:v>0.6071428571428571</c:v>
                </c:pt>
                <c:pt idx="307">
                  <c:v>0.59649122807017541</c:v>
                </c:pt>
                <c:pt idx="308">
                  <c:v>0.59649122807017541</c:v>
                </c:pt>
                <c:pt idx="309">
                  <c:v>0.61403508771929827</c:v>
                </c:pt>
                <c:pt idx="310">
                  <c:v>0.61403508771929827</c:v>
                </c:pt>
                <c:pt idx="311">
                  <c:v>0.60344827586206895</c:v>
                </c:pt>
                <c:pt idx="312">
                  <c:v>0.61016949152542377</c:v>
                </c:pt>
                <c:pt idx="313">
                  <c:v>0.60344827586206895</c:v>
                </c:pt>
                <c:pt idx="314">
                  <c:v>0.64912280701754388</c:v>
                </c:pt>
                <c:pt idx="315">
                  <c:v>0.63157894736842102</c:v>
                </c:pt>
                <c:pt idx="316">
                  <c:v>0.64912280701754388</c:v>
                </c:pt>
                <c:pt idx="317">
                  <c:v>0.63157894736842102</c:v>
                </c:pt>
                <c:pt idx="318">
                  <c:v>0.63157894736842102</c:v>
                </c:pt>
                <c:pt idx="319">
                  <c:v>0.62068965517241381</c:v>
                </c:pt>
                <c:pt idx="320">
                  <c:v>0.62068965517241381</c:v>
                </c:pt>
                <c:pt idx="321">
                  <c:v>0.61016949152542377</c:v>
                </c:pt>
                <c:pt idx="322">
                  <c:v>0.65</c:v>
                </c:pt>
                <c:pt idx="323">
                  <c:v>0.62295081967213117</c:v>
                </c:pt>
                <c:pt idx="324">
                  <c:v>0.60317460317460314</c:v>
                </c:pt>
                <c:pt idx="325">
                  <c:v>0.60317460317460314</c:v>
                </c:pt>
                <c:pt idx="326">
                  <c:v>0.625</c:v>
                </c:pt>
                <c:pt idx="327">
                  <c:v>0.59677419354838712</c:v>
                </c:pt>
                <c:pt idx="328">
                  <c:v>0.5714285714285714</c:v>
                </c:pt>
                <c:pt idx="329">
                  <c:v>0.5714285714285714</c:v>
                </c:pt>
                <c:pt idx="330">
                  <c:v>0.59677419354838712</c:v>
                </c:pt>
                <c:pt idx="331">
                  <c:v>0.59677419354838712</c:v>
                </c:pt>
                <c:pt idx="332">
                  <c:v>0.59677419354838712</c:v>
                </c:pt>
                <c:pt idx="333">
                  <c:v>0.6</c:v>
                </c:pt>
                <c:pt idx="334">
                  <c:v>0.60655737704918034</c:v>
                </c:pt>
                <c:pt idx="335">
                  <c:v>0.60655737704918034</c:v>
                </c:pt>
                <c:pt idx="336">
                  <c:v>0.61016949152542377</c:v>
                </c:pt>
                <c:pt idx="337">
                  <c:v>0.6166666666666667</c:v>
                </c:pt>
                <c:pt idx="338">
                  <c:v>0.64912280701754388</c:v>
                </c:pt>
                <c:pt idx="339">
                  <c:v>0.6271186440677966</c:v>
                </c:pt>
                <c:pt idx="340">
                  <c:v>0.6271186440677966</c:v>
                </c:pt>
                <c:pt idx="341">
                  <c:v>0.6271186440677966</c:v>
                </c:pt>
                <c:pt idx="342">
                  <c:v>0.6166666666666667</c:v>
                </c:pt>
                <c:pt idx="343">
                  <c:v>0.60317460317460314</c:v>
                </c:pt>
                <c:pt idx="344">
                  <c:v>0.61290322580645162</c:v>
                </c:pt>
                <c:pt idx="345">
                  <c:v>0.62295081967213117</c:v>
                </c:pt>
                <c:pt idx="346">
                  <c:v>0.61904761904761907</c:v>
                </c:pt>
                <c:pt idx="347">
                  <c:v>0.61904761904761907</c:v>
                </c:pt>
                <c:pt idx="348">
                  <c:v>0.60317460317460314</c:v>
                </c:pt>
                <c:pt idx="349">
                  <c:v>0.61290322580645162</c:v>
                </c:pt>
                <c:pt idx="350">
                  <c:v>0.5901639344262295</c:v>
                </c:pt>
                <c:pt idx="351">
                  <c:v>0.61290322580645162</c:v>
                </c:pt>
                <c:pt idx="352">
                  <c:v>0.61290322580645162</c:v>
                </c:pt>
                <c:pt idx="353">
                  <c:v>0.60317460317460314</c:v>
                </c:pt>
                <c:pt idx="354">
                  <c:v>0.6</c:v>
                </c:pt>
                <c:pt idx="355">
                  <c:v>0.59375</c:v>
                </c:pt>
                <c:pt idx="356">
                  <c:v>0.60317460317460314</c:v>
                </c:pt>
                <c:pt idx="357">
                  <c:v>0.59375</c:v>
                </c:pt>
                <c:pt idx="358">
                  <c:v>0.578125</c:v>
                </c:pt>
                <c:pt idx="359">
                  <c:v>0.58730158730158732</c:v>
                </c:pt>
                <c:pt idx="360">
                  <c:v>0.58461538461538465</c:v>
                </c:pt>
                <c:pt idx="361">
                  <c:v>0.5757575757575758</c:v>
                </c:pt>
                <c:pt idx="362">
                  <c:v>0.5757575757575758</c:v>
                </c:pt>
                <c:pt idx="363">
                  <c:v>0.61194029850746268</c:v>
                </c:pt>
                <c:pt idx="364">
                  <c:v>0.59701492537313428</c:v>
                </c:pt>
                <c:pt idx="365">
                  <c:v>0.58208955223880599</c:v>
                </c:pt>
                <c:pt idx="366">
                  <c:v>0.58208955223880599</c:v>
                </c:pt>
                <c:pt idx="367">
                  <c:v>0.61194029850746268</c:v>
                </c:pt>
                <c:pt idx="368">
                  <c:v>0.62121212121212122</c:v>
                </c:pt>
                <c:pt idx="369">
                  <c:v>0.61538461538461542</c:v>
                </c:pt>
                <c:pt idx="370">
                  <c:v>0.63492063492063489</c:v>
                </c:pt>
                <c:pt idx="371">
                  <c:v>0.61904761904761907</c:v>
                </c:pt>
                <c:pt idx="372">
                  <c:v>0.61290322580645162</c:v>
                </c:pt>
                <c:pt idx="373">
                  <c:v>0.63934426229508201</c:v>
                </c:pt>
                <c:pt idx="374">
                  <c:v>0.63934426229508201</c:v>
                </c:pt>
                <c:pt idx="375">
                  <c:v>0.63934426229508201</c:v>
                </c:pt>
                <c:pt idx="376">
                  <c:v>0.63934426229508201</c:v>
                </c:pt>
                <c:pt idx="377">
                  <c:v>0.66101694915254239</c:v>
                </c:pt>
                <c:pt idx="378">
                  <c:v>0.65</c:v>
                </c:pt>
                <c:pt idx="379">
                  <c:v>0.66666666666666663</c:v>
                </c:pt>
                <c:pt idx="380">
                  <c:v>0.66101694915254239</c:v>
                </c:pt>
                <c:pt idx="381">
                  <c:v>0.66101694915254239</c:v>
                </c:pt>
                <c:pt idx="382">
                  <c:v>0.67796610169491522</c:v>
                </c:pt>
                <c:pt idx="383">
                  <c:v>0.68333333333333335</c:v>
                </c:pt>
                <c:pt idx="384">
                  <c:v>0.68333333333333335</c:v>
                </c:pt>
                <c:pt idx="385">
                  <c:v>0.7</c:v>
                </c:pt>
                <c:pt idx="386">
                  <c:v>0.7</c:v>
                </c:pt>
                <c:pt idx="387">
                  <c:v>0.68333333333333335</c:v>
                </c:pt>
                <c:pt idx="388">
                  <c:v>0.67796610169491522</c:v>
                </c:pt>
                <c:pt idx="389">
                  <c:v>0.68852459016393441</c:v>
                </c:pt>
                <c:pt idx="390">
                  <c:v>0.68333333333333335</c:v>
                </c:pt>
                <c:pt idx="391">
                  <c:v>0.67796610169491522</c:v>
                </c:pt>
                <c:pt idx="392">
                  <c:v>0.68965517241379315</c:v>
                </c:pt>
                <c:pt idx="393">
                  <c:v>0.66101694915254239</c:v>
                </c:pt>
                <c:pt idx="394">
                  <c:v>0.66101694915254239</c:v>
                </c:pt>
                <c:pt idx="395">
                  <c:v>0.66101694915254239</c:v>
                </c:pt>
                <c:pt idx="396">
                  <c:v>0.67796610169491522</c:v>
                </c:pt>
                <c:pt idx="397">
                  <c:v>0.68965517241379315</c:v>
                </c:pt>
                <c:pt idx="398">
                  <c:v>0.68333333333333335</c:v>
                </c:pt>
                <c:pt idx="399">
                  <c:v>0.64516129032258063</c:v>
                </c:pt>
                <c:pt idx="400">
                  <c:v>0.625</c:v>
                </c:pt>
                <c:pt idx="401">
                  <c:v>0.63076923076923075</c:v>
                </c:pt>
                <c:pt idx="402">
                  <c:v>0.62121212121212122</c:v>
                </c:pt>
                <c:pt idx="403">
                  <c:v>0.62121212121212122</c:v>
                </c:pt>
                <c:pt idx="404">
                  <c:v>0.61538461538461542</c:v>
                </c:pt>
                <c:pt idx="405">
                  <c:v>0.63076923076923075</c:v>
                </c:pt>
                <c:pt idx="406">
                  <c:v>0.64615384615384619</c:v>
                </c:pt>
                <c:pt idx="407">
                  <c:v>0.63636363636363635</c:v>
                </c:pt>
                <c:pt idx="408">
                  <c:v>0.65151515151515149</c:v>
                </c:pt>
                <c:pt idx="409">
                  <c:v>0.609375</c:v>
                </c:pt>
                <c:pt idx="410">
                  <c:v>0.61538461538461542</c:v>
                </c:pt>
                <c:pt idx="411">
                  <c:v>0.61538461538461542</c:v>
                </c:pt>
                <c:pt idx="412">
                  <c:v>0.609375</c:v>
                </c:pt>
                <c:pt idx="413">
                  <c:v>0.625</c:v>
                </c:pt>
                <c:pt idx="414">
                  <c:v>0.640625</c:v>
                </c:pt>
                <c:pt idx="415">
                  <c:v>0.625</c:v>
                </c:pt>
                <c:pt idx="416">
                  <c:v>0.625</c:v>
                </c:pt>
                <c:pt idx="417">
                  <c:v>0.625</c:v>
                </c:pt>
                <c:pt idx="418">
                  <c:v>0.625</c:v>
                </c:pt>
                <c:pt idx="419">
                  <c:v>0.625</c:v>
                </c:pt>
                <c:pt idx="420">
                  <c:v>0.625</c:v>
                </c:pt>
                <c:pt idx="421">
                  <c:v>0.60317460317460314</c:v>
                </c:pt>
                <c:pt idx="422">
                  <c:v>0.609375</c:v>
                </c:pt>
                <c:pt idx="423">
                  <c:v>0.609375</c:v>
                </c:pt>
                <c:pt idx="424">
                  <c:v>0.609375</c:v>
                </c:pt>
                <c:pt idx="425">
                  <c:v>0.625</c:v>
                </c:pt>
                <c:pt idx="426">
                  <c:v>0.625</c:v>
                </c:pt>
                <c:pt idx="427">
                  <c:v>0.65625</c:v>
                </c:pt>
                <c:pt idx="428">
                  <c:v>0.671875</c:v>
                </c:pt>
                <c:pt idx="429">
                  <c:v>0.625</c:v>
                </c:pt>
                <c:pt idx="430">
                  <c:v>0.65625</c:v>
                </c:pt>
                <c:pt idx="431">
                  <c:v>0.640625</c:v>
                </c:pt>
                <c:pt idx="432">
                  <c:v>0.59090909090909094</c:v>
                </c:pt>
                <c:pt idx="433">
                  <c:v>0.62121212121212122</c:v>
                </c:pt>
                <c:pt idx="434">
                  <c:v>0.62121212121212122</c:v>
                </c:pt>
                <c:pt idx="435">
                  <c:v>0.63636363636363635</c:v>
                </c:pt>
                <c:pt idx="436">
                  <c:v>0.64615384615384619</c:v>
                </c:pt>
                <c:pt idx="437">
                  <c:v>0.66129032258064513</c:v>
                </c:pt>
                <c:pt idx="438">
                  <c:v>0.66129032258064513</c:v>
                </c:pt>
                <c:pt idx="439">
                  <c:v>0.66129032258064513</c:v>
                </c:pt>
                <c:pt idx="440">
                  <c:v>0.67213114754098358</c:v>
                </c:pt>
                <c:pt idx="441">
                  <c:v>0.67213114754098358</c:v>
                </c:pt>
                <c:pt idx="442">
                  <c:v>0.67213114754098358</c:v>
                </c:pt>
                <c:pt idx="443">
                  <c:v>0.68333333333333335</c:v>
                </c:pt>
                <c:pt idx="444">
                  <c:v>0.68852459016393441</c:v>
                </c:pt>
                <c:pt idx="445">
                  <c:v>0.68852459016393441</c:v>
                </c:pt>
                <c:pt idx="446">
                  <c:v>0.68852459016393441</c:v>
                </c:pt>
                <c:pt idx="447">
                  <c:v>0.68852459016393441</c:v>
                </c:pt>
                <c:pt idx="448">
                  <c:v>0.67213114754098358</c:v>
                </c:pt>
                <c:pt idx="449">
                  <c:v>0.70491803278688525</c:v>
                </c:pt>
                <c:pt idx="450">
                  <c:v>0.70491803278688525</c:v>
                </c:pt>
                <c:pt idx="451">
                  <c:v>0.69354838709677424</c:v>
                </c:pt>
                <c:pt idx="452">
                  <c:v>0.66129032258064513</c:v>
                </c:pt>
                <c:pt idx="453">
                  <c:v>0.69841269841269837</c:v>
                </c:pt>
                <c:pt idx="454">
                  <c:v>0.69841269841269837</c:v>
                </c:pt>
                <c:pt idx="455">
                  <c:v>0.67692307692307696</c:v>
                </c:pt>
                <c:pt idx="456">
                  <c:v>0.67692307692307696</c:v>
                </c:pt>
                <c:pt idx="457">
                  <c:v>0.67692307692307696</c:v>
                </c:pt>
                <c:pt idx="458">
                  <c:v>0.69230769230769229</c:v>
                </c:pt>
                <c:pt idx="459">
                  <c:v>0.703125</c:v>
                </c:pt>
                <c:pt idx="460">
                  <c:v>0.6875</c:v>
                </c:pt>
                <c:pt idx="461">
                  <c:v>0.70967741935483875</c:v>
                </c:pt>
                <c:pt idx="462">
                  <c:v>0.70967741935483875</c:v>
                </c:pt>
                <c:pt idx="463">
                  <c:v>0.72131147540983609</c:v>
                </c:pt>
                <c:pt idx="464">
                  <c:v>0.70967741935483875</c:v>
                </c:pt>
                <c:pt idx="465">
                  <c:v>0.70967741935483875</c:v>
                </c:pt>
                <c:pt idx="466">
                  <c:v>0.70967741935483875</c:v>
                </c:pt>
                <c:pt idx="467">
                  <c:v>0.70967741935483875</c:v>
                </c:pt>
                <c:pt idx="468">
                  <c:v>0.72580645161290325</c:v>
                </c:pt>
                <c:pt idx="469">
                  <c:v>0.72580645161290325</c:v>
                </c:pt>
                <c:pt idx="470">
                  <c:v>0.72580645161290325</c:v>
                </c:pt>
                <c:pt idx="471">
                  <c:v>0.69841269841269837</c:v>
                </c:pt>
                <c:pt idx="472">
                  <c:v>0.7142857142857143</c:v>
                </c:pt>
                <c:pt idx="473">
                  <c:v>0.7142857142857143</c:v>
                </c:pt>
                <c:pt idx="474">
                  <c:v>0.71875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24-494D-8517-C3CEFB2747DD}"/>
            </c:ext>
          </c:extLst>
        </c:ser>
        <c:ser>
          <c:idx val="1"/>
          <c:order val="1"/>
          <c:tx>
            <c:strRef>
              <c:f>ASSETS!$J$18</c:f>
              <c:strCache>
                <c:ptCount val="1"/>
                <c:pt idx="0">
                  <c:v> Precision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ASSETS!$C$19:$C$493</c:f>
              <c:numCache>
                <c:formatCode>_-* #,##0_-;\-* #,##0_-;_-* "-"??_-;_-@_-</c:formatCode>
                <c:ptCount val="4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</c:numCache>
            </c:numRef>
          </c:cat>
          <c:val>
            <c:numRef>
              <c:f>ASSETS!$J$19:$J$493</c:f>
              <c:numCache>
                <c:formatCode>_(* #,##0.00_);_(* \(#,##0.00\);_(* "-"??_);_(@_)</c:formatCode>
                <c:ptCount val="475"/>
                <c:pt idx="0">
                  <c:v>0.93142857142857149</c:v>
                </c:pt>
                <c:pt idx="1">
                  <c:v>0.95714285714285718</c:v>
                </c:pt>
                <c:pt idx="2">
                  <c:v>0.96374999999999988</c:v>
                </c:pt>
                <c:pt idx="3">
                  <c:v>0.97375000000000012</c:v>
                </c:pt>
                <c:pt idx="4">
                  <c:v>0.98</c:v>
                </c:pt>
                <c:pt idx="5">
                  <c:v>0.97000000000000008</c:v>
                </c:pt>
                <c:pt idx="6">
                  <c:v>0.88769230769230778</c:v>
                </c:pt>
                <c:pt idx="7">
                  <c:v>0.8961538461538463</c:v>
                </c:pt>
                <c:pt idx="8">
                  <c:v>0.84266666666666667</c:v>
                </c:pt>
                <c:pt idx="9">
                  <c:v>0.97142857142857142</c:v>
                </c:pt>
                <c:pt idx="10">
                  <c:v>0.96562500000000007</c:v>
                </c:pt>
                <c:pt idx="11">
                  <c:v>0.97133333333333338</c:v>
                </c:pt>
                <c:pt idx="12">
                  <c:v>0.91312500000000008</c:v>
                </c:pt>
                <c:pt idx="13">
                  <c:v>0.91764705882352937</c:v>
                </c:pt>
                <c:pt idx="14">
                  <c:v>0.92176470588235282</c:v>
                </c:pt>
                <c:pt idx="15">
                  <c:v>0.92666666666666664</c:v>
                </c:pt>
                <c:pt idx="16">
                  <c:v>0.9277777777777777</c:v>
                </c:pt>
                <c:pt idx="17">
                  <c:v>0.92833333333333334</c:v>
                </c:pt>
                <c:pt idx="18">
                  <c:v>0.92736842105263162</c:v>
                </c:pt>
                <c:pt idx="19">
                  <c:v>0.98333333333333361</c:v>
                </c:pt>
                <c:pt idx="20">
                  <c:v>0.98466666666666691</c:v>
                </c:pt>
                <c:pt idx="21">
                  <c:v>0.98466666666666691</c:v>
                </c:pt>
                <c:pt idx="22">
                  <c:v>0.98533333333333351</c:v>
                </c:pt>
                <c:pt idx="23">
                  <c:v>0.98466666666666691</c:v>
                </c:pt>
                <c:pt idx="24">
                  <c:v>0.98466666666666691</c:v>
                </c:pt>
                <c:pt idx="25">
                  <c:v>0.98533333333333351</c:v>
                </c:pt>
                <c:pt idx="26">
                  <c:v>0.98533333333333351</c:v>
                </c:pt>
                <c:pt idx="27">
                  <c:v>0.9826666666666668</c:v>
                </c:pt>
                <c:pt idx="28">
                  <c:v>0.98187500000000005</c:v>
                </c:pt>
                <c:pt idx="29">
                  <c:v>0.98125000000000018</c:v>
                </c:pt>
                <c:pt idx="30">
                  <c:v>0.9764705882352942</c:v>
                </c:pt>
                <c:pt idx="31">
                  <c:v>0.97882352941176454</c:v>
                </c:pt>
                <c:pt idx="32">
                  <c:v>0.97941176470588232</c:v>
                </c:pt>
                <c:pt idx="33">
                  <c:v>0.97941176470588232</c:v>
                </c:pt>
                <c:pt idx="34">
                  <c:v>0.979375</c:v>
                </c:pt>
                <c:pt idx="35">
                  <c:v>0.9787499999999999</c:v>
                </c:pt>
                <c:pt idx="36">
                  <c:v>0.97812500000000002</c:v>
                </c:pt>
                <c:pt idx="37">
                  <c:v>0.98562500000000008</c:v>
                </c:pt>
                <c:pt idx="38">
                  <c:v>0.98062500000000008</c:v>
                </c:pt>
                <c:pt idx="39">
                  <c:v>0.92952380952380931</c:v>
                </c:pt>
                <c:pt idx="40">
                  <c:v>0.93095238095238086</c:v>
                </c:pt>
                <c:pt idx="41">
                  <c:v>0.93095238095238098</c:v>
                </c:pt>
                <c:pt idx="42">
                  <c:v>0.88913043478260856</c:v>
                </c:pt>
                <c:pt idx="43">
                  <c:v>0.88913043478260856</c:v>
                </c:pt>
                <c:pt idx="44">
                  <c:v>0.88884615384615373</c:v>
                </c:pt>
                <c:pt idx="45">
                  <c:v>0.8921428571428569</c:v>
                </c:pt>
                <c:pt idx="46">
                  <c:v>0.89222222222222192</c:v>
                </c:pt>
                <c:pt idx="47">
                  <c:v>0.89222222222222192</c:v>
                </c:pt>
                <c:pt idx="48">
                  <c:v>0.92653846153846131</c:v>
                </c:pt>
                <c:pt idx="49">
                  <c:v>0.92615384615384577</c:v>
                </c:pt>
                <c:pt idx="50">
                  <c:v>0.8887999999999997</c:v>
                </c:pt>
                <c:pt idx="51">
                  <c:v>0.88695652173913009</c:v>
                </c:pt>
                <c:pt idx="52">
                  <c:v>0.88739130434782576</c:v>
                </c:pt>
                <c:pt idx="53">
                  <c:v>0.88782608695652132</c:v>
                </c:pt>
                <c:pt idx="54">
                  <c:v>0.88959999999999961</c:v>
                </c:pt>
                <c:pt idx="55">
                  <c:v>0.8907999999999997</c:v>
                </c:pt>
                <c:pt idx="56">
                  <c:v>0.8907999999999997</c:v>
                </c:pt>
                <c:pt idx="57">
                  <c:v>0.89079999999999959</c:v>
                </c:pt>
                <c:pt idx="58">
                  <c:v>0.89159999999999973</c:v>
                </c:pt>
                <c:pt idx="59">
                  <c:v>0.89230769230769214</c:v>
                </c:pt>
                <c:pt idx="60">
                  <c:v>0.8914814814814811</c:v>
                </c:pt>
                <c:pt idx="61">
                  <c:v>0.89039999999999975</c:v>
                </c:pt>
                <c:pt idx="62">
                  <c:v>0.88958333333333306</c:v>
                </c:pt>
                <c:pt idx="63">
                  <c:v>0.88916666666666655</c:v>
                </c:pt>
                <c:pt idx="64">
                  <c:v>0.88999999999999968</c:v>
                </c:pt>
                <c:pt idx="65">
                  <c:v>0.89041666666666641</c:v>
                </c:pt>
                <c:pt idx="66">
                  <c:v>0.8907999999999997</c:v>
                </c:pt>
                <c:pt idx="67">
                  <c:v>0.89119999999999977</c:v>
                </c:pt>
                <c:pt idx="68">
                  <c:v>0.89153846153846128</c:v>
                </c:pt>
                <c:pt idx="69">
                  <c:v>0.89115384615384585</c:v>
                </c:pt>
                <c:pt idx="70">
                  <c:v>0.89192307692307671</c:v>
                </c:pt>
                <c:pt idx="71">
                  <c:v>0.89192307692307671</c:v>
                </c:pt>
                <c:pt idx="72">
                  <c:v>0.89407407407407391</c:v>
                </c:pt>
                <c:pt idx="73">
                  <c:v>0.89481481481481473</c:v>
                </c:pt>
                <c:pt idx="74">
                  <c:v>0.89592592592592579</c:v>
                </c:pt>
                <c:pt idx="75">
                  <c:v>0.89481481481481473</c:v>
                </c:pt>
                <c:pt idx="76">
                  <c:v>0.89481481481481473</c:v>
                </c:pt>
                <c:pt idx="77">
                  <c:v>0.89785714285714291</c:v>
                </c:pt>
                <c:pt idx="78">
                  <c:v>0.89777777777777756</c:v>
                </c:pt>
                <c:pt idx="79">
                  <c:v>0.89814814814814803</c:v>
                </c:pt>
                <c:pt idx="80">
                  <c:v>0.89928571428571413</c:v>
                </c:pt>
                <c:pt idx="81">
                  <c:v>0.89928571428571413</c:v>
                </c:pt>
                <c:pt idx="82">
                  <c:v>0.89888888888888874</c:v>
                </c:pt>
                <c:pt idx="83">
                  <c:v>0.89928571428571413</c:v>
                </c:pt>
                <c:pt idx="84">
                  <c:v>0.89862068965517228</c:v>
                </c:pt>
                <c:pt idx="85">
                  <c:v>0.89689655172413785</c:v>
                </c:pt>
                <c:pt idx="86">
                  <c:v>0.89724137931034487</c:v>
                </c:pt>
                <c:pt idx="87">
                  <c:v>0.89724137931034464</c:v>
                </c:pt>
                <c:pt idx="88">
                  <c:v>0.89571428571428557</c:v>
                </c:pt>
                <c:pt idx="89">
                  <c:v>0.89642857142857135</c:v>
                </c:pt>
                <c:pt idx="90">
                  <c:v>0.8978571428571428</c:v>
                </c:pt>
                <c:pt idx="91">
                  <c:v>0.89821428571428552</c:v>
                </c:pt>
                <c:pt idx="92">
                  <c:v>0.89857142857142847</c:v>
                </c:pt>
                <c:pt idx="93">
                  <c:v>0.89629629629629615</c:v>
                </c:pt>
                <c:pt idx="94">
                  <c:v>0.89296296296296263</c:v>
                </c:pt>
                <c:pt idx="95">
                  <c:v>0.8914814814814811</c:v>
                </c:pt>
                <c:pt idx="96">
                  <c:v>0.89074074074074039</c:v>
                </c:pt>
                <c:pt idx="97">
                  <c:v>0.89074074074074039</c:v>
                </c:pt>
                <c:pt idx="98">
                  <c:v>0.88652173913043453</c:v>
                </c:pt>
                <c:pt idx="99">
                  <c:v>0.88652173913043453</c:v>
                </c:pt>
                <c:pt idx="100">
                  <c:v>0.88652173913043464</c:v>
                </c:pt>
                <c:pt idx="101">
                  <c:v>0.88913043478260856</c:v>
                </c:pt>
                <c:pt idx="102">
                  <c:v>0.92849999999999988</c:v>
                </c:pt>
                <c:pt idx="103">
                  <c:v>0.92799999999999994</c:v>
                </c:pt>
                <c:pt idx="104">
                  <c:v>0.92749999999999999</c:v>
                </c:pt>
                <c:pt idx="105">
                  <c:v>0.92749999999999999</c:v>
                </c:pt>
                <c:pt idx="106">
                  <c:v>0.92849999999999999</c:v>
                </c:pt>
                <c:pt idx="107">
                  <c:v>0.92849999999999999</c:v>
                </c:pt>
                <c:pt idx="108">
                  <c:v>0.92749999999999988</c:v>
                </c:pt>
                <c:pt idx="109">
                  <c:v>0.92749999999999988</c:v>
                </c:pt>
                <c:pt idx="110">
                  <c:v>0.92799999999999994</c:v>
                </c:pt>
                <c:pt idx="111">
                  <c:v>0.92749999999999999</c:v>
                </c:pt>
                <c:pt idx="112">
                  <c:v>0.92749999999999999</c:v>
                </c:pt>
                <c:pt idx="113">
                  <c:v>0.92849999999999999</c:v>
                </c:pt>
                <c:pt idx="114">
                  <c:v>0.92749999999999999</c:v>
                </c:pt>
                <c:pt idx="115">
                  <c:v>0.92749999999999999</c:v>
                </c:pt>
                <c:pt idx="116">
                  <c:v>0.92699999999999994</c:v>
                </c:pt>
                <c:pt idx="117">
                  <c:v>0.9265000000000001</c:v>
                </c:pt>
                <c:pt idx="118">
                  <c:v>0.92599999999999993</c:v>
                </c:pt>
                <c:pt idx="119">
                  <c:v>0.9257142857142856</c:v>
                </c:pt>
                <c:pt idx="120">
                  <c:v>0.92666666666666653</c:v>
                </c:pt>
                <c:pt idx="121">
                  <c:v>0.92666666666666653</c:v>
                </c:pt>
                <c:pt idx="122">
                  <c:v>0.92809523809523797</c:v>
                </c:pt>
                <c:pt idx="123">
                  <c:v>0.92899999999999994</c:v>
                </c:pt>
                <c:pt idx="124">
                  <c:v>0.92809523809523797</c:v>
                </c:pt>
                <c:pt idx="125">
                  <c:v>0.9290476190476189</c:v>
                </c:pt>
                <c:pt idx="126">
                  <c:v>0.9285714285714286</c:v>
                </c:pt>
                <c:pt idx="127">
                  <c:v>0.92608695652173911</c:v>
                </c:pt>
                <c:pt idx="128">
                  <c:v>0.9263636363636365</c:v>
                </c:pt>
                <c:pt idx="129">
                  <c:v>0.92666666666666675</c:v>
                </c:pt>
                <c:pt idx="130">
                  <c:v>0.9263636363636365</c:v>
                </c:pt>
                <c:pt idx="131">
                  <c:v>0.92666666666666675</c:v>
                </c:pt>
                <c:pt idx="132">
                  <c:v>0.92619047619047612</c:v>
                </c:pt>
                <c:pt idx="133">
                  <c:v>0.92619047619047612</c:v>
                </c:pt>
                <c:pt idx="134">
                  <c:v>0.92714285714285694</c:v>
                </c:pt>
                <c:pt idx="135">
                  <c:v>0.92619047619047612</c:v>
                </c:pt>
                <c:pt idx="136">
                  <c:v>0.92714285714285705</c:v>
                </c:pt>
                <c:pt idx="137">
                  <c:v>0.9285714285714286</c:v>
                </c:pt>
                <c:pt idx="138">
                  <c:v>0.93105263157894746</c:v>
                </c:pt>
                <c:pt idx="139">
                  <c:v>0.93</c:v>
                </c:pt>
                <c:pt idx="140">
                  <c:v>0.93</c:v>
                </c:pt>
                <c:pt idx="141">
                  <c:v>0.92950000000000021</c:v>
                </c:pt>
                <c:pt idx="142">
                  <c:v>0.93</c:v>
                </c:pt>
                <c:pt idx="143">
                  <c:v>0.93</c:v>
                </c:pt>
                <c:pt idx="144">
                  <c:v>0.93099999999999983</c:v>
                </c:pt>
                <c:pt idx="145">
                  <c:v>0.93099999999999983</c:v>
                </c:pt>
                <c:pt idx="146">
                  <c:v>0.93099999999999983</c:v>
                </c:pt>
                <c:pt idx="147">
                  <c:v>0.8872727272727271</c:v>
                </c:pt>
                <c:pt idx="148">
                  <c:v>0.92954545454545434</c:v>
                </c:pt>
                <c:pt idx="149">
                  <c:v>0.92863636363636348</c:v>
                </c:pt>
                <c:pt idx="150">
                  <c:v>0.92999999999999994</c:v>
                </c:pt>
                <c:pt idx="151">
                  <c:v>0.92909090909090897</c:v>
                </c:pt>
                <c:pt idx="152">
                  <c:v>0.92909090909090897</c:v>
                </c:pt>
                <c:pt idx="153">
                  <c:v>0.92869565217391303</c:v>
                </c:pt>
                <c:pt idx="154">
                  <c:v>0.92999999999999983</c:v>
                </c:pt>
                <c:pt idx="155">
                  <c:v>0.92913043478260859</c:v>
                </c:pt>
                <c:pt idx="156">
                  <c:v>0.92874999999999996</c:v>
                </c:pt>
                <c:pt idx="157">
                  <c:v>0.93159999999999987</c:v>
                </c:pt>
                <c:pt idx="158">
                  <c:v>0.89538461538461511</c:v>
                </c:pt>
                <c:pt idx="159">
                  <c:v>0.89538461538461511</c:v>
                </c:pt>
                <c:pt idx="160">
                  <c:v>0.8949999999999998</c:v>
                </c:pt>
                <c:pt idx="161">
                  <c:v>0.89576923076923065</c:v>
                </c:pt>
                <c:pt idx="162">
                  <c:v>0.8965384615384614</c:v>
                </c:pt>
                <c:pt idx="163">
                  <c:v>0.89730769230769214</c:v>
                </c:pt>
                <c:pt idx="164">
                  <c:v>0.89615384615384608</c:v>
                </c:pt>
                <c:pt idx="165">
                  <c:v>0.89576923076923065</c:v>
                </c:pt>
                <c:pt idx="166">
                  <c:v>0.93374999999999986</c:v>
                </c:pt>
                <c:pt idx="167">
                  <c:v>0.93458333333333299</c:v>
                </c:pt>
                <c:pt idx="168">
                  <c:v>0.93374999999999975</c:v>
                </c:pt>
                <c:pt idx="169">
                  <c:v>0.93374999999999975</c:v>
                </c:pt>
                <c:pt idx="170">
                  <c:v>0.93478260869565188</c:v>
                </c:pt>
                <c:pt idx="171">
                  <c:v>0.9360869565217389</c:v>
                </c:pt>
                <c:pt idx="172">
                  <c:v>0.93565217391304312</c:v>
                </c:pt>
                <c:pt idx="173">
                  <c:v>0.93708333333333316</c:v>
                </c:pt>
                <c:pt idx="174">
                  <c:v>0.93599999999999961</c:v>
                </c:pt>
                <c:pt idx="175">
                  <c:v>0.93652173913043446</c:v>
                </c:pt>
                <c:pt idx="176">
                  <c:v>0.93695652173913013</c:v>
                </c:pt>
                <c:pt idx="177">
                  <c:v>0.93565217391304312</c:v>
                </c:pt>
                <c:pt idx="178">
                  <c:v>0.93565217391304312</c:v>
                </c:pt>
                <c:pt idx="179">
                  <c:v>0.93454545454545435</c:v>
                </c:pt>
                <c:pt idx="180">
                  <c:v>0.93454545454545435</c:v>
                </c:pt>
                <c:pt idx="181">
                  <c:v>0.93363636363636349</c:v>
                </c:pt>
                <c:pt idx="182">
                  <c:v>0.93272727272727252</c:v>
                </c:pt>
                <c:pt idx="183">
                  <c:v>0.93272727272727252</c:v>
                </c:pt>
                <c:pt idx="184">
                  <c:v>0.93380952380952364</c:v>
                </c:pt>
                <c:pt idx="185">
                  <c:v>0.93227272727272703</c:v>
                </c:pt>
                <c:pt idx="186">
                  <c:v>0.93238095238095231</c:v>
                </c:pt>
                <c:pt idx="187">
                  <c:v>0.93285714285714283</c:v>
                </c:pt>
                <c:pt idx="188">
                  <c:v>0.9309090909090908</c:v>
                </c:pt>
                <c:pt idx="189">
                  <c:v>0.9309090909090908</c:v>
                </c:pt>
                <c:pt idx="190">
                  <c:v>0.93090909090909058</c:v>
                </c:pt>
                <c:pt idx="191">
                  <c:v>0.92999999999999972</c:v>
                </c:pt>
                <c:pt idx="192">
                  <c:v>0.92956521739130404</c:v>
                </c:pt>
                <c:pt idx="193">
                  <c:v>0.88958333333333306</c:v>
                </c:pt>
                <c:pt idx="194">
                  <c:v>0.9280952380952382</c:v>
                </c:pt>
                <c:pt idx="195">
                  <c:v>0.9285714285714286</c:v>
                </c:pt>
                <c:pt idx="196">
                  <c:v>0.97549999999999992</c:v>
                </c:pt>
                <c:pt idx="197">
                  <c:v>0.97599999999999976</c:v>
                </c:pt>
                <c:pt idx="198">
                  <c:v>0.97499999999999998</c:v>
                </c:pt>
                <c:pt idx="199">
                  <c:v>0.97399999999999998</c:v>
                </c:pt>
                <c:pt idx="200">
                  <c:v>0.97399999999999998</c:v>
                </c:pt>
                <c:pt idx="201">
                  <c:v>0.97350000000000014</c:v>
                </c:pt>
                <c:pt idx="202">
                  <c:v>0.97399999999999998</c:v>
                </c:pt>
                <c:pt idx="203">
                  <c:v>0.97399999999999998</c:v>
                </c:pt>
                <c:pt idx="204">
                  <c:v>0.97789473684210537</c:v>
                </c:pt>
                <c:pt idx="205">
                  <c:v>0.97842105263157897</c:v>
                </c:pt>
                <c:pt idx="206">
                  <c:v>0.97399999999999998</c:v>
                </c:pt>
                <c:pt idx="207">
                  <c:v>0.97499999999999998</c:v>
                </c:pt>
                <c:pt idx="208">
                  <c:v>0.97499999999999998</c:v>
                </c:pt>
                <c:pt idx="209">
                  <c:v>0.97499999999999998</c:v>
                </c:pt>
                <c:pt idx="210">
                  <c:v>0.97549999999999992</c:v>
                </c:pt>
                <c:pt idx="211">
                  <c:v>0.92857142857142871</c:v>
                </c:pt>
                <c:pt idx="212">
                  <c:v>0.9285714285714286</c:v>
                </c:pt>
                <c:pt idx="213">
                  <c:v>0.9280952380952382</c:v>
                </c:pt>
                <c:pt idx="214">
                  <c:v>0.9290476190476189</c:v>
                </c:pt>
                <c:pt idx="215">
                  <c:v>0.92761904761904768</c:v>
                </c:pt>
                <c:pt idx="216">
                  <c:v>0.9285714285714286</c:v>
                </c:pt>
                <c:pt idx="217">
                  <c:v>0.93</c:v>
                </c:pt>
                <c:pt idx="218">
                  <c:v>0.93149999999999999</c:v>
                </c:pt>
                <c:pt idx="219">
                  <c:v>0.93200000000000005</c:v>
                </c:pt>
                <c:pt idx="220">
                  <c:v>0.93249999999999988</c:v>
                </c:pt>
                <c:pt idx="221">
                  <c:v>0.93149999999999999</c:v>
                </c:pt>
                <c:pt idx="222">
                  <c:v>0.93149999999999999</c:v>
                </c:pt>
                <c:pt idx="223">
                  <c:v>0.93149999999999999</c:v>
                </c:pt>
                <c:pt idx="224">
                  <c:v>0.93099999999999983</c:v>
                </c:pt>
                <c:pt idx="225">
                  <c:v>0.88666666666666649</c:v>
                </c:pt>
                <c:pt idx="226">
                  <c:v>0.88809523809523805</c:v>
                </c:pt>
                <c:pt idx="227">
                  <c:v>0.88809523809523805</c:v>
                </c:pt>
                <c:pt idx="228">
                  <c:v>0.93249999999999988</c:v>
                </c:pt>
                <c:pt idx="229">
                  <c:v>0.93300000000000005</c:v>
                </c:pt>
                <c:pt idx="230">
                  <c:v>0.93249999999999988</c:v>
                </c:pt>
                <c:pt idx="231">
                  <c:v>0.93249999999999988</c:v>
                </c:pt>
                <c:pt idx="232">
                  <c:v>0.92894736842105274</c:v>
                </c:pt>
                <c:pt idx="233">
                  <c:v>0.92947368421052634</c:v>
                </c:pt>
                <c:pt idx="234">
                  <c:v>0.93149999999999999</c:v>
                </c:pt>
                <c:pt idx="235">
                  <c:v>0.93149999999999999</c:v>
                </c:pt>
                <c:pt idx="236">
                  <c:v>0.92631578947368431</c:v>
                </c:pt>
                <c:pt idx="237">
                  <c:v>0.92611111111111122</c:v>
                </c:pt>
                <c:pt idx="238">
                  <c:v>0.88300000000000001</c:v>
                </c:pt>
                <c:pt idx="239">
                  <c:v>0.88300000000000023</c:v>
                </c:pt>
                <c:pt idx="240">
                  <c:v>0.8861904761904762</c:v>
                </c:pt>
                <c:pt idx="241">
                  <c:v>0.88200000000000001</c:v>
                </c:pt>
                <c:pt idx="242">
                  <c:v>0.88285714285714278</c:v>
                </c:pt>
                <c:pt idx="243">
                  <c:v>0.88238095238095227</c:v>
                </c:pt>
                <c:pt idx="244">
                  <c:v>0.88285714285714278</c:v>
                </c:pt>
                <c:pt idx="245">
                  <c:v>0.88380952380952371</c:v>
                </c:pt>
                <c:pt idx="246">
                  <c:v>0.88545454545454549</c:v>
                </c:pt>
                <c:pt idx="247">
                  <c:v>0.88608695652173897</c:v>
                </c:pt>
                <c:pt idx="248">
                  <c:v>0.88652173913043464</c:v>
                </c:pt>
                <c:pt idx="249">
                  <c:v>0.88652173913043486</c:v>
                </c:pt>
                <c:pt idx="250">
                  <c:v>0.88695652173913042</c:v>
                </c:pt>
                <c:pt idx="251">
                  <c:v>0.8827272727272728</c:v>
                </c:pt>
                <c:pt idx="252">
                  <c:v>0.88285714285714278</c:v>
                </c:pt>
                <c:pt idx="253">
                  <c:v>0.88318181818181818</c:v>
                </c:pt>
                <c:pt idx="254">
                  <c:v>0.88652173913043486</c:v>
                </c:pt>
                <c:pt idx="255">
                  <c:v>0.88428571428571434</c:v>
                </c:pt>
                <c:pt idx="256">
                  <c:v>0.88428571428571434</c:v>
                </c:pt>
                <c:pt idx="257">
                  <c:v>0.88428571428571434</c:v>
                </c:pt>
                <c:pt idx="258">
                  <c:v>0.88409090909090904</c:v>
                </c:pt>
                <c:pt idx="259">
                  <c:v>0.88285714285714278</c:v>
                </c:pt>
                <c:pt idx="260">
                  <c:v>0.88333333333333341</c:v>
                </c:pt>
                <c:pt idx="261">
                  <c:v>0.88333333333333341</c:v>
                </c:pt>
                <c:pt idx="262">
                  <c:v>0.88363636363636366</c:v>
                </c:pt>
                <c:pt idx="263">
                  <c:v>0.88380952380952393</c:v>
                </c:pt>
                <c:pt idx="264">
                  <c:v>0.88333333333333341</c:v>
                </c:pt>
                <c:pt idx="265">
                  <c:v>0.88363636363636366</c:v>
                </c:pt>
                <c:pt idx="266">
                  <c:v>0.88380952380952393</c:v>
                </c:pt>
                <c:pt idx="267">
                  <c:v>0.88454545454545463</c:v>
                </c:pt>
                <c:pt idx="268">
                  <c:v>0.88333333333333319</c:v>
                </c:pt>
                <c:pt idx="269">
                  <c:v>0.88380952380952371</c:v>
                </c:pt>
                <c:pt idx="270">
                  <c:v>0.88409090909090904</c:v>
                </c:pt>
                <c:pt idx="271">
                  <c:v>0.88363636363636355</c:v>
                </c:pt>
                <c:pt idx="272">
                  <c:v>0.88318181818181796</c:v>
                </c:pt>
                <c:pt idx="273">
                  <c:v>0.92789473684210522</c:v>
                </c:pt>
                <c:pt idx="274">
                  <c:v>0.92649999999999988</c:v>
                </c:pt>
                <c:pt idx="275">
                  <c:v>0.92842105263157892</c:v>
                </c:pt>
                <c:pt idx="276">
                  <c:v>0.92842105263157881</c:v>
                </c:pt>
                <c:pt idx="277">
                  <c:v>0.92789473684210522</c:v>
                </c:pt>
                <c:pt idx="278">
                  <c:v>0.92842105263157892</c:v>
                </c:pt>
                <c:pt idx="279">
                  <c:v>0.92684210526315791</c:v>
                </c:pt>
                <c:pt idx="280">
                  <c:v>0.92631578947368409</c:v>
                </c:pt>
                <c:pt idx="281">
                  <c:v>0.92631578947368409</c:v>
                </c:pt>
                <c:pt idx="282">
                  <c:v>0.92578947368421038</c:v>
                </c:pt>
                <c:pt idx="283">
                  <c:v>0.92722222222222228</c:v>
                </c:pt>
                <c:pt idx="284">
                  <c:v>0.92666666666666664</c:v>
                </c:pt>
                <c:pt idx="285">
                  <c:v>0.92666666666666664</c:v>
                </c:pt>
                <c:pt idx="286">
                  <c:v>0.92555555555555558</c:v>
                </c:pt>
                <c:pt idx="287">
                  <c:v>0.92500000000000016</c:v>
                </c:pt>
                <c:pt idx="288">
                  <c:v>0.92500000000000016</c:v>
                </c:pt>
                <c:pt idx="289">
                  <c:v>0.92666666666666664</c:v>
                </c:pt>
                <c:pt idx="290">
                  <c:v>0.92666666666666664</c:v>
                </c:pt>
                <c:pt idx="291">
                  <c:v>0.92666666666666664</c:v>
                </c:pt>
                <c:pt idx="292">
                  <c:v>0.92722222222222228</c:v>
                </c:pt>
                <c:pt idx="293">
                  <c:v>0.92666666666666664</c:v>
                </c:pt>
                <c:pt idx="294">
                  <c:v>0.92722222222222228</c:v>
                </c:pt>
                <c:pt idx="295">
                  <c:v>0.92449999999999988</c:v>
                </c:pt>
                <c:pt idx="296">
                  <c:v>0.92449999999999988</c:v>
                </c:pt>
                <c:pt idx="297">
                  <c:v>0.92181818181818154</c:v>
                </c:pt>
                <c:pt idx="298">
                  <c:v>0.92272727272727262</c:v>
                </c:pt>
                <c:pt idx="299">
                  <c:v>0.92428571428571416</c:v>
                </c:pt>
                <c:pt idx="300">
                  <c:v>0.9228571428571426</c:v>
                </c:pt>
                <c:pt idx="301">
                  <c:v>0.92285714285714282</c:v>
                </c:pt>
                <c:pt idx="302">
                  <c:v>0.92333333333333323</c:v>
                </c:pt>
                <c:pt idx="303">
                  <c:v>0.92285714285714282</c:v>
                </c:pt>
                <c:pt idx="304">
                  <c:v>0.87999999999999989</c:v>
                </c:pt>
                <c:pt idx="305">
                  <c:v>0.87999999999999989</c:v>
                </c:pt>
                <c:pt idx="306">
                  <c:v>0.88181818181818172</c:v>
                </c:pt>
                <c:pt idx="307">
                  <c:v>0.88318181818181818</c:v>
                </c:pt>
                <c:pt idx="308">
                  <c:v>0.88318181818181796</c:v>
                </c:pt>
                <c:pt idx="309">
                  <c:v>0.88272727272727269</c:v>
                </c:pt>
                <c:pt idx="310">
                  <c:v>0.88363636363636355</c:v>
                </c:pt>
                <c:pt idx="311">
                  <c:v>0.88363636363636366</c:v>
                </c:pt>
                <c:pt idx="312">
                  <c:v>0.88318181818181818</c:v>
                </c:pt>
                <c:pt idx="313">
                  <c:v>0.88363636363636355</c:v>
                </c:pt>
                <c:pt idx="314">
                  <c:v>0.88272727272727269</c:v>
                </c:pt>
                <c:pt idx="315">
                  <c:v>0.8822727272727271</c:v>
                </c:pt>
                <c:pt idx="316">
                  <c:v>0.8822727272727271</c:v>
                </c:pt>
                <c:pt idx="317">
                  <c:v>0.88363636363636333</c:v>
                </c:pt>
                <c:pt idx="318">
                  <c:v>0.88272727272727247</c:v>
                </c:pt>
                <c:pt idx="319">
                  <c:v>0.88181818181818172</c:v>
                </c:pt>
                <c:pt idx="320">
                  <c:v>0.88181818181818172</c:v>
                </c:pt>
                <c:pt idx="321">
                  <c:v>0.88318181818181818</c:v>
                </c:pt>
                <c:pt idx="322">
                  <c:v>0.84434782608695658</c:v>
                </c:pt>
                <c:pt idx="323">
                  <c:v>0.84347826086956534</c:v>
                </c:pt>
                <c:pt idx="324">
                  <c:v>0.84045454545454557</c:v>
                </c:pt>
                <c:pt idx="325">
                  <c:v>0.8376190476190476</c:v>
                </c:pt>
                <c:pt idx="326">
                  <c:v>0.8376190476190476</c:v>
                </c:pt>
                <c:pt idx="327">
                  <c:v>0.84090909090909094</c:v>
                </c:pt>
                <c:pt idx="328">
                  <c:v>0.84045454545454534</c:v>
                </c:pt>
                <c:pt idx="329">
                  <c:v>0.84652173913043471</c:v>
                </c:pt>
                <c:pt idx="330">
                  <c:v>0.84652173913043471</c:v>
                </c:pt>
                <c:pt idx="331">
                  <c:v>0.84652173913043471</c:v>
                </c:pt>
                <c:pt idx="332">
                  <c:v>0.84652173913043471</c:v>
                </c:pt>
                <c:pt idx="333">
                  <c:v>0.85043478260869565</c:v>
                </c:pt>
                <c:pt idx="334">
                  <c:v>0.84999999999999987</c:v>
                </c:pt>
                <c:pt idx="335">
                  <c:v>0.84999999999999987</c:v>
                </c:pt>
                <c:pt idx="336">
                  <c:v>0.85086956521739121</c:v>
                </c:pt>
                <c:pt idx="337">
                  <c:v>0.81499999999999995</c:v>
                </c:pt>
                <c:pt idx="338">
                  <c:v>0.93095238095238086</c:v>
                </c:pt>
                <c:pt idx="339">
                  <c:v>0.9290476190476189</c:v>
                </c:pt>
                <c:pt idx="340">
                  <c:v>0.92590909090909079</c:v>
                </c:pt>
                <c:pt idx="341">
                  <c:v>0.92590909090909079</c:v>
                </c:pt>
                <c:pt idx="342">
                  <c:v>0.92857142857142838</c:v>
                </c:pt>
                <c:pt idx="343">
                  <c:v>0.93049999999999977</c:v>
                </c:pt>
                <c:pt idx="344">
                  <c:v>0.93149999999999977</c:v>
                </c:pt>
                <c:pt idx="345">
                  <c:v>0.93149999999999977</c:v>
                </c:pt>
                <c:pt idx="346">
                  <c:v>0.93149999999999977</c:v>
                </c:pt>
                <c:pt idx="347">
                  <c:v>0.97999999999999987</c:v>
                </c:pt>
                <c:pt idx="348">
                  <c:v>0.92999999999999994</c:v>
                </c:pt>
                <c:pt idx="349">
                  <c:v>0.92999999999999994</c:v>
                </c:pt>
                <c:pt idx="350">
                  <c:v>0.93049999999999977</c:v>
                </c:pt>
                <c:pt idx="351">
                  <c:v>0.93049999999999977</c:v>
                </c:pt>
                <c:pt idx="352">
                  <c:v>0.93099999999999983</c:v>
                </c:pt>
                <c:pt idx="353">
                  <c:v>0.93049999999999977</c:v>
                </c:pt>
                <c:pt idx="354">
                  <c:v>0.93099999999999983</c:v>
                </c:pt>
                <c:pt idx="355">
                  <c:v>0.92999999999999994</c:v>
                </c:pt>
                <c:pt idx="356">
                  <c:v>0.92999999999999994</c:v>
                </c:pt>
                <c:pt idx="357">
                  <c:v>0.92949999999999999</c:v>
                </c:pt>
                <c:pt idx="358">
                  <c:v>0.93049999999999977</c:v>
                </c:pt>
                <c:pt idx="359">
                  <c:v>0.93149999999999999</c:v>
                </c:pt>
                <c:pt idx="360">
                  <c:v>0.93149999999999999</c:v>
                </c:pt>
                <c:pt idx="361">
                  <c:v>0.93099999999999983</c:v>
                </c:pt>
                <c:pt idx="362">
                  <c:v>0.93249999999999988</c:v>
                </c:pt>
                <c:pt idx="363">
                  <c:v>0.93142857142857116</c:v>
                </c:pt>
                <c:pt idx="364">
                  <c:v>0.93142857142857116</c:v>
                </c:pt>
                <c:pt idx="365">
                  <c:v>0.93190476190476179</c:v>
                </c:pt>
                <c:pt idx="366">
                  <c:v>0.92999999999999994</c:v>
                </c:pt>
                <c:pt idx="367">
                  <c:v>0.92949999999999977</c:v>
                </c:pt>
                <c:pt idx="368">
                  <c:v>0.92999999999999994</c:v>
                </c:pt>
                <c:pt idx="369">
                  <c:v>0.92949999999999977</c:v>
                </c:pt>
                <c:pt idx="370">
                  <c:v>0.92949999999999977</c:v>
                </c:pt>
                <c:pt idx="371">
                  <c:v>0.92949999999999977</c:v>
                </c:pt>
                <c:pt idx="372">
                  <c:v>0.92949999999999977</c:v>
                </c:pt>
                <c:pt idx="373">
                  <c:v>0.93049999999999999</c:v>
                </c:pt>
                <c:pt idx="374">
                  <c:v>0.93049999999999999</c:v>
                </c:pt>
                <c:pt idx="375">
                  <c:v>0.93049999999999999</c:v>
                </c:pt>
                <c:pt idx="376">
                  <c:v>0.92999999999999994</c:v>
                </c:pt>
                <c:pt idx="377">
                  <c:v>0.92999999999999994</c:v>
                </c:pt>
                <c:pt idx="378">
                  <c:v>0.92949999999999977</c:v>
                </c:pt>
                <c:pt idx="379">
                  <c:v>0.88476190476190464</c:v>
                </c:pt>
                <c:pt idx="380">
                  <c:v>0.88523809523809505</c:v>
                </c:pt>
                <c:pt idx="381">
                  <c:v>0.88523809523809505</c:v>
                </c:pt>
                <c:pt idx="382">
                  <c:v>0.88523809523809505</c:v>
                </c:pt>
                <c:pt idx="383">
                  <c:v>0.88476190476190464</c:v>
                </c:pt>
                <c:pt idx="384">
                  <c:v>0.88428571428571412</c:v>
                </c:pt>
                <c:pt idx="385">
                  <c:v>0.88349999999999995</c:v>
                </c:pt>
                <c:pt idx="386">
                  <c:v>0.88428571428571412</c:v>
                </c:pt>
                <c:pt idx="387">
                  <c:v>0.8838095238095236</c:v>
                </c:pt>
                <c:pt idx="388">
                  <c:v>0.88428571428571412</c:v>
                </c:pt>
                <c:pt idx="389">
                  <c:v>0.88428571428571412</c:v>
                </c:pt>
                <c:pt idx="390">
                  <c:v>0.88428571428571412</c:v>
                </c:pt>
                <c:pt idx="391">
                  <c:v>0.88299999999999979</c:v>
                </c:pt>
                <c:pt idx="392">
                  <c:v>0.88299999999999979</c:v>
                </c:pt>
                <c:pt idx="393">
                  <c:v>0.8838095238095236</c:v>
                </c:pt>
                <c:pt idx="394">
                  <c:v>0.8838095238095236</c:v>
                </c:pt>
                <c:pt idx="395">
                  <c:v>0.88428571428571412</c:v>
                </c:pt>
                <c:pt idx="396">
                  <c:v>0.8838095238095236</c:v>
                </c:pt>
                <c:pt idx="397">
                  <c:v>0.88285714285714267</c:v>
                </c:pt>
                <c:pt idx="398">
                  <c:v>0.8838095238095236</c:v>
                </c:pt>
                <c:pt idx="399">
                  <c:v>0.88047619047619019</c:v>
                </c:pt>
                <c:pt idx="400">
                  <c:v>0.87999999999999989</c:v>
                </c:pt>
                <c:pt idx="401">
                  <c:v>0.87952380952380926</c:v>
                </c:pt>
                <c:pt idx="402">
                  <c:v>0.87999999999999989</c:v>
                </c:pt>
                <c:pt idx="403">
                  <c:v>0.88095238095238082</c:v>
                </c:pt>
                <c:pt idx="404">
                  <c:v>0.87999999999999989</c:v>
                </c:pt>
                <c:pt idx="405">
                  <c:v>0.87899999999999989</c:v>
                </c:pt>
                <c:pt idx="406">
                  <c:v>0.87849999999999984</c:v>
                </c:pt>
                <c:pt idx="407">
                  <c:v>0.87899999999999989</c:v>
                </c:pt>
                <c:pt idx="408">
                  <c:v>0.88409090909090904</c:v>
                </c:pt>
                <c:pt idx="409">
                  <c:v>0.88454545454545441</c:v>
                </c:pt>
                <c:pt idx="410">
                  <c:v>0.88739130434782598</c:v>
                </c:pt>
                <c:pt idx="411">
                  <c:v>0.88545454545454527</c:v>
                </c:pt>
                <c:pt idx="412">
                  <c:v>0.88545454545454527</c:v>
                </c:pt>
                <c:pt idx="413">
                  <c:v>0.8849999999999999</c:v>
                </c:pt>
                <c:pt idx="414">
                  <c:v>0.92809523809523797</c:v>
                </c:pt>
                <c:pt idx="415">
                  <c:v>0.92809523809523797</c:v>
                </c:pt>
                <c:pt idx="416">
                  <c:v>0.92809523809523797</c:v>
                </c:pt>
                <c:pt idx="417">
                  <c:v>0.92761904761904745</c:v>
                </c:pt>
                <c:pt idx="418">
                  <c:v>0.92761904761904745</c:v>
                </c:pt>
                <c:pt idx="419">
                  <c:v>0.9285714285714286</c:v>
                </c:pt>
                <c:pt idx="420">
                  <c:v>0.92904761904761879</c:v>
                </c:pt>
                <c:pt idx="421">
                  <c:v>0.92904761904761879</c:v>
                </c:pt>
                <c:pt idx="422">
                  <c:v>0.92952380952380931</c:v>
                </c:pt>
                <c:pt idx="423">
                  <c:v>0.9290476190476189</c:v>
                </c:pt>
                <c:pt idx="424">
                  <c:v>0.92904761904761912</c:v>
                </c:pt>
                <c:pt idx="425">
                  <c:v>0.92899999999999994</c:v>
                </c:pt>
                <c:pt idx="426">
                  <c:v>0.92849999999999999</c:v>
                </c:pt>
                <c:pt idx="427">
                  <c:v>0.92899999999999994</c:v>
                </c:pt>
                <c:pt idx="428">
                  <c:v>0.92900000000000005</c:v>
                </c:pt>
                <c:pt idx="429">
                  <c:v>0.92849999999999999</c:v>
                </c:pt>
                <c:pt idx="430">
                  <c:v>0.92949999999999999</c:v>
                </c:pt>
                <c:pt idx="431">
                  <c:v>0.92899999999999994</c:v>
                </c:pt>
                <c:pt idx="432">
                  <c:v>0.92849999999999988</c:v>
                </c:pt>
                <c:pt idx="433">
                  <c:v>0.92761904761904745</c:v>
                </c:pt>
                <c:pt idx="434">
                  <c:v>0.92714285714285694</c:v>
                </c:pt>
                <c:pt idx="435">
                  <c:v>0.92619047619047601</c:v>
                </c:pt>
                <c:pt idx="436">
                  <c:v>0.92809523809523786</c:v>
                </c:pt>
                <c:pt idx="437">
                  <c:v>0.92999999999999994</c:v>
                </c:pt>
                <c:pt idx="438">
                  <c:v>0.92999999999999994</c:v>
                </c:pt>
                <c:pt idx="439">
                  <c:v>0.92666666666666642</c:v>
                </c:pt>
                <c:pt idx="440">
                  <c:v>0.92666666666666642</c:v>
                </c:pt>
                <c:pt idx="441">
                  <c:v>0.92949999999999999</c:v>
                </c:pt>
                <c:pt idx="442">
                  <c:v>0.92949999999999977</c:v>
                </c:pt>
                <c:pt idx="443">
                  <c:v>0.92761904761904745</c:v>
                </c:pt>
                <c:pt idx="444">
                  <c:v>0.92809523809523797</c:v>
                </c:pt>
                <c:pt idx="445">
                  <c:v>0.92799999999999994</c:v>
                </c:pt>
                <c:pt idx="446">
                  <c:v>0.92949999999999999</c:v>
                </c:pt>
                <c:pt idx="447">
                  <c:v>0.92799999999999994</c:v>
                </c:pt>
                <c:pt idx="448">
                  <c:v>0.92899999999999994</c:v>
                </c:pt>
                <c:pt idx="449">
                  <c:v>0.92899999999999994</c:v>
                </c:pt>
                <c:pt idx="450">
                  <c:v>0.93</c:v>
                </c:pt>
                <c:pt idx="451">
                  <c:v>0.93</c:v>
                </c:pt>
                <c:pt idx="452">
                  <c:v>0.93052631578947365</c:v>
                </c:pt>
                <c:pt idx="453">
                  <c:v>0.92888888888888899</c:v>
                </c:pt>
                <c:pt idx="454">
                  <c:v>0.93105263157894746</c:v>
                </c:pt>
                <c:pt idx="455">
                  <c:v>0.93105263157894746</c:v>
                </c:pt>
                <c:pt idx="456">
                  <c:v>0.92949999999999977</c:v>
                </c:pt>
                <c:pt idx="457">
                  <c:v>0.92899999999999971</c:v>
                </c:pt>
                <c:pt idx="458">
                  <c:v>0.93049999999999977</c:v>
                </c:pt>
                <c:pt idx="459">
                  <c:v>0.92952380952380931</c:v>
                </c:pt>
                <c:pt idx="460">
                  <c:v>0.92952380952380931</c:v>
                </c:pt>
                <c:pt idx="461">
                  <c:v>0.93199999999999983</c:v>
                </c:pt>
                <c:pt idx="462">
                  <c:v>0.93149999999999999</c:v>
                </c:pt>
                <c:pt idx="463">
                  <c:v>0.93149999999999999</c:v>
                </c:pt>
                <c:pt idx="464">
                  <c:v>0.92947368421052612</c:v>
                </c:pt>
                <c:pt idx="465">
                  <c:v>0.92999999999999994</c:v>
                </c:pt>
                <c:pt idx="466">
                  <c:v>0.92999999999999994</c:v>
                </c:pt>
                <c:pt idx="467">
                  <c:v>0.92999999999999994</c:v>
                </c:pt>
                <c:pt idx="468">
                  <c:v>0.92947368421052612</c:v>
                </c:pt>
                <c:pt idx="469">
                  <c:v>0.92799999999999994</c:v>
                </c:pt>
                <c:pt idx="470">
                  <c:v>0.92699999999999994</c:v>
                </c:pt>
                <c:pt idx="471">
                  <c:v>0.92849999999999999</c:v>
                </c:pt>
                <c:pt idx="472">
                  <c:v>0.92949999999999999</c:v>
                </c:pt>
                <c:pt idx="473">
                  <c:v>0.9319047619047619</c:v>
                </c:pt>
                <c:pt idx="474">
                  <c:v>0.93238095238095242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24-494D-8517-C3CEFB2747DD}"/>
            </c:ext>
          </c:extLst>
        </c:ser>
        <c:ser>
          <c:idx val="2"/>
          <c:order val="2"/>
          <c:tx>
            <c:strRef>
              <c:f>ASSETS!$K$18</c:f>
              <c:strCache>
                <c:ptCount val="1"/>
                <c:pt idx="0">
                  <c:v> Structure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ASSETS!$C$19:$C$493</c:f>
              <c:numCache>
                <c:formatCode>_-* #,##0_-;\-* #,##0_-;_-* "-"??_-;_-@_-</c:formatCode>
                <c:ptCount val="4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</c:numCache>
            </c:numRef>
          </c:cat>
          <c:val>
            <c:numRef>
              <c:f>ASSETS!$K$19:$K$493</c:f>
              <c:numCache>
                <c:formatCode>_(* #,##0.00_);_(* \(#,##0.00\);_(* "-"??_);_(@_)</c:formatCode>
                <c:ptCount val="475"/>
                <c:pt idx="0">
                  <c:v>1</c:v>
                </c:pt>
                <c:pt idx="1">
                  <c:v>1</c:v>
                </c:pt>
                <c:pt idx="2">
                  <c:v>0.3571428571428571</c:v>
                </c:pt>
                <c:pt idx="3">
                  <c:v>0.8318965517241379</c:v>
                </c:pt>
                <c:pt idx="4">
                  <c:v>0.6647887323943662</c:v>
                </c:pt>
                <c:pt idx="5">
                  <c:v>0.76829268292682917</c:v>
                </c:pt>
                <c:pt idx="6">
                  <c:v>0.65091184958832016</c:v>
                </c:pt>
                <c:pt idx="7">
                  <c:v>0.69512991881412933</c:v>
                </c:pt>
                <c:pt idx="8">
                  <c:v>0.51870255513586638</c:v>
                </c:pt>
                <c:pt idx="9">
                  <c:v>0.7182468549848916</c:v>
                </c:pt>
                <c:pt idx="10">
                  <c:v>0.67243844325066915</c:v>
                </c:pt>
                <c:pt idx="11">
                  <c:v>0.68330151375388359</c:v>
                </c:pt>
                <c:pt idx="12">
                  <c:v>0.65415711546977784</c:v>
                </c:pt>
                <c:pt idx="13">
                  <c:v>0.70995235102148169</c:v>
                </c:pt>
                <c:pt idx="14">
                  <c:v>0.69516399813760055</c:v>
                </c:pt>
                <c:pt idx="15">
                  <c:v>0.69449489768460682</c:v>
                </c:pt>
                <c:pt idx="16">
                  <c:v>0.7033717189901364</c:v>
                </c:pt>
                <c:pt idx="17">
                  <c:v>0.7023359065145578</c:v>
                </c:pt>
                <c:pt idx="18">
                  <c:v>0.71970411213149998</c:v>
                </c:pt>
                <c:pt idx="19">
                  <c:v>0.75308413666469942</c:v>
                </c:pt>
                <c:pt idx="20">
                  <c:v>0.79035106255438181</c:v>
                </c:pt>
                <c:pt idx="21">
                  <c:v>0.79047941865181703</c:v>
                </c:pt>
                <c:pt idx="22">
                  <c:v>0.79130740163806235</c:v>
                </c:pt>
                <c:pt idx="23">
                  <c:v>0.79206553572969263</c:v>
                </c:pt>
                <c:pt idx="24">
                  <c:v>0.79009213526954214</c:v>
                </c:pt>
                <c:pt idx="25">
                  <c:v>0.78645826154710918</c:v>
                </c:pt>
                <c:pt idx="26">
                  <c:v>0.75784927783743172</c:v>
                </c:pt>
                <c:pt idx="27">
                  <c:v>0.76442438730257367</c:v>
                </c:pt>
                <c:pt idx="28">
                  <c:v>0.761745633036368</c:v>
                </c:pt>
                <c:pt idx="29">
                  <c:v>0.76169216687957575</c:v>
                </c:pt>
                <c:pt idx="30">
                  <c:v>0.76114070684970392</c:v>
                </c:pt>
                <c:pt idx="31">
                  <c:v>0.8278595028561796</c:v>
                </c:pt>
                <c:pt idx="32">
                  <c:v>0.79648086089366732</c:v>
                </c:pt>
                <c:pt idx="33">
                  <c:v>0.79594643362219875</c:v>
                </c:pt>
                <c:pt idx="34">
                  <c:v>0.79378914574467707</c:v>
                </c:pt>
                <c:pt idx="35">
                  <c:v>0.79115544482492339</c:v>
                </c:pt>
                <c:pt idx="36">
                  <c:v>0.7905275074836573</c:v>
                </c:pt>
                <c:pt idx="37">
                  <c:v>0.78867151274734049</c:v>
                </c:pt>
                <c:pt idx="38">
                  <c:v>0.79212070975734861</c:v>
                </c:pt>
                <c:pt idx="39">
                  <c:v>0.84570722812680232</c:v>
                </c:pt>
                <c:pt idx="40">
                  <c:v>0.84075613465464571</c:v>
                </c:pt>
                <c:pt idx="41">
                  <c:v>0.84001145322199067</c:v>
                </c:pt>
                <c:pt idx="42">
                  <c:v>0.78402351846810348</c:v>
                </c:pt>
                <c:pt idx="43">
                  <c:v>0.76849812036702225</c:v>
                </c:pt>
                <c:pt idx="44">
                  <c:v>0.76533033280751395</c:v>
                </c:pt>
                <c:pt idx="45">
                  <c:v>0.80419085600298079</c:v>
                </c:pt>
                <c:pt idx="46">
                  <c:v>0.80262688587355346</c:v>
                </c:pt>
                <c:pt idx="47">
                  <c:v>0.8014517319425164</c:v>
                </c:pt>
                <c:pt idx="48">
                  <c:v>0.87292683074479016</c:v>
                </c:pt>
                <c:pt idx="49">
                  <c:v>0.87384779794777523</c:v>
                </c:pt>
                <c:pt idx="50">
                  <c:v>0.78802163117561363</c:v>
                </c:pt>
                <c:pt idx="51">
                  <c:v>0.77763163099409416</c:v>
                </c:pt>
                <c:pt idx="52">
                  <c:v>0.77814256636228396</c:v>
                </c:pt>
                <c:pt idx="53">
                  <c:v>0.77936036981914891</c:v>
                </c:pt>
                <c:pt idx="54">
                  <c:v>0.79848635019910519</c:v>
                </c:pt>
                <c:pt idx="55">
                  <c:v>0.79928267894678873</c:v>
                </c:pt>
                <c:pt idx="56">
                  <c:v>0.80068256775674085</c:v>
                </c:pt>
                <c:pt idx="57">
                  <c:v>0.80202488341680067</c:v>
                </c:pt>
                <c:pt idx="58">
                  <c:v>0.80244466210027121</c:v>
                </c:pt>
                <c:pt idx="59">
                  <c:v>0.82169696366224598</c:v>
                </c:pt>
                <c:pt idx="60">
                  <c:v>0.79770319849485594</c:v>
                </c:pt>
                <c:pt idx="61">
                  <c:v>0.79598802086786047</c:v>
                </c:pt>
                <c:pt idx="62">
                  <c:v>0.79664352934912475</c:v>
                </c:pt>
                <c:pt idx="63">
                  <c:v>0.7867709182304764</c:v>
                </c:pt>
                <c:pt idx="64">
                  <c:v>0.76907125383740171</c:v>
                </c:pt>
                <c:pt idx="65">
                  <c:v>0.79831335772084722</c:v>
                </c:pt>
                <c:pt idx="66">
                  <c:v>0.79744603074042641</c:v>
                </c:pt>
                <c:pt idx="67">
                  <c:v>0.79370326845435679</c:v>
                </c:pt>
                <c:pt idx="68">
                  <c:v>0.79322385335466694</c:v>
                </c:pt>
                <c:pt idx="69">
                  <c:v>0.78653532593935627</c:v>
                </c:pt>
                <c:pt idx="70">
                  <c:v>0.77044029158463545</c:v>
                </c:pt>
                <c:pt idx="71">
                  <c:v>0.77013290816359103</c:v>
                </c:pt>
                <c:pt idx="72">
                  <c:v>0.81186551028278475</c:v>
                </c:pt>
                <c:pt idx="73">
                  <c:v>0.83076092158229398</c:v>
                </c:pt>
                <c:pt idx="74">
                  <c:v>0.83031330872817466</c:v>
                </c:pt>
                <c:pt idx="75">
                  <c:v>0.81003981971411343</c:v>
                </c:pt>
                <c:pt idx="76">
                  <c:v>0.83561127072044739</c:v>
                </c:pt>
                <c:pt idx="77">
                  <c:v>0.83372090466034632</c:v>
                </c:pt>
                <c:pt idx="78">
                  <c:v>0.82405924614791637</c:v>
                </c:pt>
                <c:pt idx="79">
                  <c:v>0.79889345139091583</c:v>
                </c:pt>
                <c:pt idx="80">
                  <c:v>0.82529609032560403</c:v>
                </c:pt>
                <c:pt idx="81">
                  <c:v>0.82518165098402818</c:v>
                </c:pt>
                <c:pt idx="82">
                  <c:v>0.77320024187755332</c:v>
                </c:pt>
                <c:pt idx="83">
                  <c:v>0.79265030710745032</c:v>
                </c:pt>
                <c:pt idx="84">
                  <c:v>0.80275314313374735</c:v>
                </c:pt>
                <c:pt idx="85">
                  <c:v>0.82635318607164554</c:v>
                </c:pt>
                <c:pt idx="86">
                  <c:v>0.826121672653651</c:v>
                </c:pt>
                <c:pt idx="87">
                  <c:v>0.83444835211467405</c:v>
                </c:pt>
                <c:pt idx="88">
                  <c:v>0.82005227125046909</c:v>
                </c:pt>
                <c:pt idx="89">
                  <c:v>0.82730060809713968</c:v>
                </c:pt>
                <c:pt idx="90">
                  <c:v>0.82407872867645382</c:v>
                </c:pt>
                <c:pt idx="91">
                  <c:v>0.80333643674722</c:v>
                </c:pt>
                <c:pt idx="92">
                  <c:v>0.78964448661281572</c:v>
                </c:pt>
                <c:pt idx="93">
                  <c:v>0.78634182303278888</c:v>
                </c:pt>
                <c:pt idx="94">
                  <c:v>0.78832745221785616</c:v>
                </c:pt>
                <c:pt idx="95">
                  <c:v>0.78976394686276208</c:v>
                </c:pt>
                <c:pt idx="96">
                  <c:v>0.790171551620653</c:v>
                </c:pt>
                <c:pt idx="97">
                  <c:v>0.78497182227851192</c:v>
                </c:pt>
                <c:pt idx="98">
                  <c:v>0.80420370063895197</c:v>
                </c:pt>
                <c:pt idx="99">
                  <c:v>0.8047553861135488</c:v>
                </c:pt>
                <c:pt idx="100">
                  <c:v>0.77662739167257666</c:v>
                </c:pt>
                <c:pt idx="101">
                  <c:v>0.7574744051675173</c:v>
                </c:pt>
                <c:pt idx="102">
                  <c:v>0.86179283956639774</c:v>
                </c:pt>
                <c:pt idx="103">
                  <c:v>0.85384023146211208</c:v>
                </c:pt>
                <c:pt idx="104">
                  <c:v>0.85408381470911421</c:v>
                </c:pt>
                <c:pt idx="105">
                  <c:v>0.8715940935826183</c:v>
                </c:pt>
                <c:pt idx="106">
                  <c:v>0.87288041895177637</c:v>
                </c:pt>
                <c:pt idx="107">
                  <c:v>0.87275138101192318</c:v>
                </c:pt>
                <c:pt idx="108">
                  <c:v>0.84111797154245183</c:v>
                </c:pt>
                <c:pt idx="109">
                  <c:v>0.88674711271029305</c:v>
                </c:pt>
                <c:pt idx="110">
                  <c:v>0.88014340673598324</c:v>
                </c:pt>
                <c:pt idx="111">
                  <c:v>0.85993801942591697</c:v>
                </c:pt>
                <c:pt idx="112">
                  <c:v>0.8547606244977719</c:v>
                </c:pt>
                <c:pt idx="113">
                  <c:v>0.85379051601360556</c:v>
                </c:pt>
                <c:pt idx="114">
                  <c:v>0.82791563709588212</c:v>
                </c:pt>
                <c:pt idx="115">
                  <c:v>0.84630336815253981</c:v>
                </c:pt>
                <c:pt idx="116">
                  <c:v>0.8438366718746646</c:v>
                </c:pt>
                <c:pt idx="117">
                  <c:v>0.83879100712905841</c:v>
                </c:pt>
                <c:pt idx="118">
                  <c:v>0.8481182926384101</c:v>
                </c:pt>
                <c:pt idx="119">
                  <c:v>0.83688091820681954</c:v>
                </c:pt>
                <c:pt idx="120">
                  <c:v>0.83354116710596204</c:v>
                </c:pt>
                <c:pt idx="121">
                  <c:v>0.84861607661356719</c:v>
                </c:pt>
                <c:pt idx="122">
                  <c:v>0.84828282580503767</c:v>
                </c:pt>
                <c:pt idx="123">
                  <c:v>0.82819532806851326</c:v>
                </c:pt>
                <c:pt idx="124">
                  <c:v>0.8293725168152094</c:v>
                </c:pt>
                <c:pt idx="125">
                  <c:v>0.82892068426136845</c:v>
                </c:pt>
                <c:pt idx="126">
                  <c:v>0.78182751887393009</c:v>
                </c:pt>
                <c:pt idx="127">
                  <c:v>0.77636901158774607</c:v>
                </c:pt>
                <c:pt idx="128">
                  <c:v>0.7744843344600203</c:v>
                </c:pt>
                <c:pt idx="129">
                  <c:v>0.76620411297936353</c:v>
                </c:pt>
                <c:pt idx="130">
                  <c:v>0.79253656734953004</c:v>
                </c:pt>
                <c:pt idx="131">
                  <c:v>0.79790424015854677</c:v>
                </c:pt>
                <c:pt idx="132">
                  <c:v>0.78161006328226912</c:v>
                </c:pt>
                <c:pt idx="133">
                  <c:v>0.80052028014355558</c:v>
                </c:pt>
                <c:pt idx="134">
                  <c:v>0.80193140303281263</c:v>
                </c:pt>
                <c:pt idx="135">
                  <c:v>0.79864273859543122</c:v>
                </c:pt>
                <c:pt idx="136">
                  <c:v>0.79528059278340157</c:v>
                </c:pt>
                <c:pt idx="137">
                  <c:v>0.81822895974069709</c:v>
                </c:pt>
                <c:pt idx="138">
                  <c:v>0.81871016548049724</c:v>
                </c:pt>
                <c:pt idx="139">
                  <c:v>0.80427251594131421</c:v>
                </c:pt>
                <c:pt idx="140">
                  <c:v>0.82025234462880692</c:v>
                </c:pt>
                <c:pt idx="141">
                  <c:v>0.80685812588387718</c:v>
                </c:pt>
                <c:pt idx="142">
                  <c:v>0.81812785561004597</c:v>
                </c:pt>
                <c:pt idx="143">
                  <c:v>0.80574816182993936</c:v>
                </c:pt>
                <c:pt idx="144">
                  <c:v>0.78158092582328975</c:v>
                </c:pt>
                <c:pt idx="145">
                  <c:v>0.78138961817431729</c:v>
                </c:pt>
                <c:pt idx="146">
                  <c:v>0.78277132872079269</c:v>
                </c:pt>
                <c:pt idx="147">
                  <c:v>0.7860371930290051</c:v>
                </c:pt>
                <c:pt idx="148">
                  <c:v>0.71225115354726176</c:v>
                </c:pt>
                <c:pt idx="149">
                  <c:v>0.78753055042475284</c:v>
                </c:pt>
                <c:pt idx="150">
                  <c:v>0.79085746545187929</c:v>
                </c:pt>
                <c:pt idx="151">
                  <c:v>0.82069984677761254</c:v>
                </c:pt>
                <c:pt idx="152">
                  <c:v>0.79434156635235709</c:v>
                </c:pt>
                <c:pt idx="153">
                  <c:v>0.79427785122041372</c:v>
                </c:pt>
                <c:pt idx="154">
                  <c:v>0.80948462876404081</c:v>
                </c:pt>
                <c:pt idx="155">
                  <c:v>0.8297216869090086</c:v>
                </c:pt>
                <c:pt idx="156">
                  <c:v>0.84056953209962182</c:v>
                </c:pt>
                <c:pt idx="157">
                  <c:v>0.83723782405296343</c:v>
                </c:pt>
                <c:pt idx="158">
                  <c:v>0.82516466506700825</c:v>
                </c:pt>
                <c:pt idx="159">
                  <c:v>0.82647735931879573</c:v>
                </c:pt>
                <c:pt idx="160">
                  <c:v>0.825574352233021</c:v>
                </c:pt>
                <c:pt idx="161">
                  <c:v>0.81716924717952821</c:v>
                </c:pt>
                <c:pt idx="162">
                  <c:v>0.81599903926081974</c:v>
                </c:pt>
                <c:pt idx="163">
                  <c:v>0.81251950300952669</c:v>
                </c:pt>
                <c:pt idx="164">
                  <c:v>0.79449696951160065</c:v>
                </c:pt>
                <c:pt idx="165">
                  <c:v>0.79761283032373609</c:v>
                </c:pt>
                <c:pt idx="166">
                  <c:v>0.81663254217432635</c:v>
                </c:pt>
                <c:pt idx="167">
                  <c:v>0.81686040601184329</c:v>
                </c:pt>
                <c:pt idx="168">
                  <c:v>0.7964792401154619</c:v>
                </c:pt>
                <c:pt idx="169">
                  <c:v>0.79544090424345903</c:v>
                </c:pt>
                <c:pt idx="170">
                  <c:v>0.7676117487218026</c:v>
                </c:pt>
                <c:pt idx="171">
                  <c:v>0.77378236892973007</c:v>
                </c:pt>
                <c:pt idx="172">
                  <c:v>0.78796386101736171</c:v>
                </c:pt>
                <c:pt idx="173">
                  <c:v>0.67459345579997709</c:v>
                </c:pt>
                <c:pt idx="174">
                  <c:v>0.71055732898085078</c:v>
                </c:pt>
                <c:pt idx="175">
                  <c:v>0.71325334698306875</c:v>
                </c:pt>
                <c:pt idx="176">
                  <c:v>0.70373297845821214</c:v>
                </c:pt>
                <c:pt idx="177">
                  <c:v>0.7302740035897507</c:v>
                </c:pt>
                <c:pt idx="178">
                  <c:v>0.70030176281120649</c:v>
                </c:pt>
                <c:pt idx="179">
                  <c:v>0.73200842720643222</c:v>
                </c:pt>
                <c:pt idx="180">
                  <c:v>0.67596362973345658</c:v>
                </c:pt>
                <c:pt idx="181">
                  <c:v>0.73465906306437001</c:v>
                </c:pt>
                <c:pt idx="182">
                  <c:v>0.73766185197004575</c:v>
                </c:pt>
                <c:pt idx="183">
                  <c:v>0.73893605630007142</c:v>
                </c:pt>
                <c:pt idx="184">
                  <c:v>0.88641434942443975</c:v>
                </c:pt>
                <c:pt idx="185">
                  <c:v>0.87452870827109142</c:v>
                </c:pt>
                <c:pt idx="186">
                  <c:v>0.87434424013311152</c:v>
                </c:pt>
                <c:pt idx="187">
                  <c:v>0.87398029617850548</c:v>
                </c:pt>
                <c:pt idx="188">
                  <c:v>0.87111242489507124</c:v>
                </c:pt>
                <c:pt idx="189">
                  <c:v>0.87060804264894309</c:v>
                </c:pt>
                <c:pt idx="190">
                  <c:v>0.87060617950472186</c:v>
                </c:pt>
                <c:pt idx="191">
                  <c:v>0.8714484286266464</c:v>
                </c:pt>
                <c:pt idx="192">
                  <c:v>0.82809017102331339</c:v>
                </c:pt>
                <c:pt idx="193">
                  <c:v>0.8173514667237447</c:v>
                </c:pt>
                <c:pt idx="194">
                  <c:v>0.86540534092226984</c:v>
                </c:pt>
                <c:pt idx="195">
                  <c:v>0.86532675599432618</c:v>
                </c:pt>
                <c:pt idx="196">
                  <c:v>0.86523842454664368</c:v>
                </c:pt>
                <c:pt idx="197">
                  <c:v>0.86513463677449842</c:v>
                </c:pt>
                <c:pt idx="198">
                  <c:v>0.86683111366237353</c:v>
                </c:pt>
                <c:pt idx="199">
                  <c:v>0.86775416778651915</c:v>
                </c:pt>
                <c:pt idx="200">
                  <c:v>0.87173951517096115</c:v>
                </c:pt>
                <c:pt idx="201">
                  <c:v>0.88746239798528215</c:v>
                </c:pt>
                <c:pt idx="202">
                  <c:v>0.88589217292401168</c:v>
                </c:pt>
                <c:pt idx="203">
                  <c:v>0.88395469486474376</c:v>
                </c:pt>
                <c:pt idx="204">
                  <c:v>0.867587019968176</c:v>
                </c:pt>
                <c:pt idx="205">
                  <c:v>0.86827613861345132</c:v>
                </c:pt>
                <c:pt idx="206">
                  <c:v>0.868017592872244</c:v>
                </c:pt>
                <c:pt idx="207">
                  <c:v>0.8681810414936324</c:v>
                </c:pt>
                <c:pt idx="208">
                  <c:v>0.85074368662408528</c:v>
                </c:pt>
                <c:pt idx="209">
                  <c:v>0.8513113634383046</c:v>
                </c:pt>
                <c:pt idx="210">
                  <c:v>0.84592246396275417</c:v>
                </c:pt>
                <c:pt idx="211">
                  <c:v>0.84204467830335761</c:v>
                </c:pt>
                <c:pt idx="212">
                  <c:v>0.84051422166176282</c:v>
                </c:pt>
                <c:pt idx="213">
                  <c:v>0.84139784946236551</c:v>
                </c:pt>
                <c:pt idx="214">
                  <c:v>0.84224337121212123</c:v>
                </c:pt>
                <c:pt idx="215">
                  <c:v>0.84071948181365219</c:v>
                </c:pt>
                <c:pt idx="216">
                  <c:v>0.86127705824675527</c:v>
                </c:pt>
                <c:pt idx="217">
                  <c:v>0.83457158262788333</c:v>
                </c:pt>
                <c:pt idx="218">
                  <c:v>0.83008198054506754</c:v>
                </c:pt>
                <c:pt idx="219">
                  <c:v>0.82802583325552781</c:v>
                </c:pt>
                <c:pt idx="220">
                  <c:v>0.8267421449985527</c:v>
                </c:pt>
                <c:pt idx="221">
                  <c:v>0.82519733766555081</c:v>
                </c:pt>
                <c:pt idx="222">
                  <c:v>0.82543352495523703</c:v>
                </c:pt>
                <c:pt idx="223">
                  <c:v>0.87277077542577874</c:v>
                </c:pt>
                <c:pt idx="224">
                  <c:v>0.82781352460323365</c:v>
                </c:pt>
                <c:pt idx="225">
                  <c:v>0.75160597578788568</c:v>
                </c:pt>
                <c:pt idx="226">
                  <c:v>0.78313345489743957</c:v>
                </c:pt>
                <c:pt idx="227">
                  <c:v>0.78475788869645069</c:v>
                </c:pt>
                <c:pt idx="228">
                  <c:v>0.82935596036518344</c:v>
                </c:pt>
                <c:pt idx="229">
                  <c:v>0.83055540174936493</c:v>
                </c:pt>
                <c:pt idx="230">
                  <c:v>0.83146708117618662</c:v>
                </c:pt>
                <c:pt idx="231">
                  <c:v>0.83071765864020142</c:v>
                </c:pt>
                <c:pt idx="232">
                  <c:v>0.84428228064506439</c:v>
                </c:pt>
                <c:pt idx="233">
                  <c:v>0.83131707050584802</c:v>
                </c:pt>
                <c:pt idx="234">
                  <c:v>0.82202105725405727</c:v>
                </c:pt>
                <c:pt idx="235">
                  <c:v>0.80457261231069821</c:v>
                </c:pt>
                <c:pt idx="236">
                  <c:v>0.83665878913318736</c:v>
                </c:pt>
                <c:pt idx="237">
                  <c:v>0.85232096354538756</c:v>
                </c:pt>
                <c:pt idx="238">
                  <c:v>0.80010571550376142</c:v>
                </c:pt>
                <c:pt idx="239">
                  <c:v>0.7961619257904835</c:v>
                </c:pt>
                <c:pt idx="240">
                  <c:v>0.80518707571691794</c:v>
                </c:pt>
                <c:pt idx="241">
                  <c:v>0.79570350080095731</c:v>
                </c:pt>
                <c:pt idx="242">
                  <c:v>0.8080320890227437</c:v>
                </c:pt>
                <c:pt idx="243">
                  <c:v>0.8110320872903416</c:v>
                </c:pt>
                <c:pt idx="244">
                  <c:v>0.78356495455087505</c:v>
                </c:pt>
                <c:pt idx="245">
                  <c:v>0.78890353795924573</c:v>
                </c:pt>
                <c:pt idx="246">
                  <c:v>0.76743192605337829</c:v>
                </c:pt>
                <c:pt idx="247">
                  <c:v>0.771374193664084</c:v>
                </c:pt>
                <c:pt idx="248">
                  <c:v>0.77413878819310356</c:v>
                </c:pt>
                <c:pt idx="249">
                  <c:v>0.79491193863397447</c:v>
                </c:pt>
                <c:pt idx="250">
                  <c:v>0.76990459937673805</c:v>
                </c:pt>
                <c:pt idx="251">
                  <c:v>0.77805052529400398</c:v>
                </c:pt>
                <c:pt idx="252">
                  <c:v>0.77376693315355427</c:v>
                </c:pt>
                <c:pt idx="253">
                  <c:v>0.78519469344975601</c:v>
                </c:pt>
                <c:pt idx="254">
                  <c:v>0.78241322413486025</c:v>
                </c:pt>
                <c:pt idx="255">
                  <c:v>0.77027894541884412</c:v>
                </c:pt>
                <c:pt idx="256">
                  <c:v>0.76805121984196711</c:v>
                </c:pt>
                <c:pt idx="257">
                  <c:v>0.77017338015167314</c:v>
                </c:pt>
                <c:pt idx="258">
                  <c:v>0.7760942225362617</c:v>
                </c:pt>
                <c:pt idx="259">
                  <c:v>0.77636466244992941</c:v>
                </c:pt>
                <c:pt idx="260">
                  <c:v>0.77762634158082267</c:v>
                </c:pt>
                <c:pt idx="261">
                  <c:v>0.78031002873845823</c:v>
                </c:pt>
                <c:pt idx="262">
                  <c:v>0.82167473839054028</c:v>
                </c:pt>
                <c:pt idx="263">
                  <c:v>0.82207525661473035</c:v>
                </c:pt>
                <c:pt idx="264">
                  <c:v>0.82104986923528001</c:v>
                </c:pt>
                <c:pt idx="265">
                  <c:v>0.81562741067458056</c:v>
                </c:pt>
                <c:pt idx="266">
                  <c:v>0.82118781550675246</c:v>
                </c:pt>
                <c:pt idx="267">
                  <c:v>0.82267528223410569</c:v>
                </c:pt>
                <c:pt idx="268">
                  <c:v>0.81993854275458045</c:v>
                </c:pt>
                <c:pt idx="269">
                  <c:v>0.82012442826882259</c:v>
                </c:pt>
                <c:pt idx="270">
                  <c:v>0.82107190503416927</c:v>
                </c:pt>
                <c:pt idx="271">
                  <c:v>0.82024249974831376</c:v>
                </c:pt>
                <c:pt idx="272">
                  <c:v>0.87689104868916001</c:v>
                </c:pt>
                <c:pt idx="273">
                  <c:v>0.86050209632886798</c:v>
                </c:pt>
                <c:pt idx="274">
                  <c:v>0.78724019787301247</c:v>
                </c:pt>
                <c:pt idx="275">
                  <c:v>0.81578157815047059</c:v>
                </c:pt>
                <c:pt idx="276">
                  <c:v>0.85015120707778458</c:v>
                </c:pt>
                <c:pt idx="277">
                  <c:v>0.82605787458617641</c:v>
                </c:pt>
                <c:pt idx="278">
                  <c:v>0.85775622006392227</c:v>
                </c:pt>
                <c:pt idx="279">
                  <c:v>0.85765914714640212</c:v>
                </c:pt>
                <c:pt idx="280">
                  <c:v>0.85822327745401339</c:v>
                </c:pt>
                <c:pt idx="281">
                  <c:v>0.86338587848932669</c:v>
                </c:pt>
                <c:pt idx="282">
                  <c:v>0.84323757904245711</c:v>
                </c:pt>
                <c:pt idx="283">
                  <c:v>0.84303124569648702</c:v>
                </c:pt>
                <c:pt idx="284">
                  <c:v>0.83411664072594083</c:v>
                </c:pt>
                <c:pt idx="285">
                  <c:v>0.83922996000999428</c:v>
                </c:pt>
                <c:pt idx="286">
                  <c:v>0.84748265720825944</c:v>
                </c:pt>
                <c:pt idx="287">
                  <c:v>0.8474890360572932</c:v>
                </c:pt>
                <c:pt idx="288">
                  <c:v>0.84833544021111251</c:v>
                </c:pt>
                <c:pt idx="289">
                  <c:v>0.87230379187803753</c:v>
                </c:pt>
                <c:pt idx="290">
                  <c:v>0.87321998689312597</c:v>
                </c:pt>
                <c:pt idx="291">
                  <c:v>0.87205555160201609</c:v>
                </c:pt>
                <c:pt idx="292">
                  <c:v>0.87528236609320853</c:v>
                </c:pt>
                <c:pt idx="293">
                  <c:v>0.89151072694526778</c:v>
                </c:pt>
                <c:pt idx="294">
                  <c:v>0.87362091107673034</c:v>
                </c:pt>
                <c:pt idx="295">
                  <c:v>0.87217515026389025</c:v>
                </c:pt>
                <c:pt idx="296">
                  <c:v>0.87890377079935833</c:v>
                </c:pt>
                <c:pt idx="297">
                  <c:v>0.89409975096355687</c:v>
                </c:pt>
                <c:pt idx="298">
                  <c:v>0.89690436230949688</c:v>
                </c:pt>
                <c:pt idx="299">
                  <c:v>0.85803667360941238</c:v>
                </c:pt>
                <c:pt idx="300">
                  <c:v>0.86086709459059385</c:v>
                </c:pt>
                <c:pt idx="301">
                  <c:v>0.8615106176700682</c:v>
                </c:pt>
                <c:pt idx="302">
                  <c:v>0.86491780033816956</c:v>
                </c:pt>
                <c:pt idx="303">
                  <c:v>0.88424331842076087</c:v>
                </c:pt>
                <c:pt idx="304">
                  <c:v>0.88288026395562225</c:v>
                </c:pt>
                <c:pt idx="305">
                  <c:v>0.88446174583435766</c:v>
                </c:pt>
                <c:pt idx="306">
                  <c:v>0.88460617763183846</c:v>
                </c:pt>
                <c:pt idx="307">
                  <c:v>0.80049770761715144</c:v>
                </c:pt>
                <c:pt idx="308">
                  <c:v>0.79814672856614077</c:v>
                </c:pt>
                <c:pt idx="309">
                  <c:v>0.79759521815349366</c:v>
                </c:pt>
                <c:pt idx="310">
                  <c:v>0.80000496589100389</c:v>
                </c:pt>
                <c:pt idx="311">
                  <c:v>0.79813252991548767</c:v>
                </c:pt>
                <c:pt idx="312">
                  <c:v>0.79701065852880748</c:v>
                </c:pt>
                <c:pt idx="313">
                  <c:v>0.7969781600695901</c:v>
                </c:pt>
                <c:pt idx="314">
                  <c:v>0.7991236108829618</c:v>
                </c:pt>
                <c:pt idx="315">
                  <c:v>0.79768924153324827</c:v>
                </c:pt>
                <c:pt idx="316">
                  <c:v>0.79734531063541847</c:v>
                </c:pt>
                <c:pt idx="317">
                  <c:v>0.7976633573504921</c:v>
                </c:pt>
                <c:pt idx="318">
                  <c:v>0.79203041775784333</c:v>
                </c:pt>
                <c:pt idx="319">
                  <c:v>0.8206063045130263</c:v>
                </c:pt>
                <c:pt idx="320">
                  <c:v>0.79853518454084593</c:v>
                </c:pt>
                <c:pt idx="321">
                  <c:v>0.79463922450741176</c:v>
                </c:pt>
                <c:pt idx="322">
                  <c:v>0.79439614804607739</c:v>
                </c:pt>
                <c:pt idx="323">
                  <c:v>0.79450620446959219</c:v>
                </c:pt>
                <c:pt idx="324">
                  <c:v>0.79177181527335427</c:v>
                </c:pt>
                <c:pt idx="325">
                  <c:v>0.78830975481602383</c:v>
                </c:pt>
                <c:pt idx="326">
                  <c:v>0.78963145949409586</c:v>
                </c:pt>
                <c:pt idx="327">
                  <c:v>0.75256900027062457</c:v>
                </c:pt>
                <c:pt idx="328">
                  <c:v>0.72505385347632145</c:v>
                </c:pt>
                <c:pt idx="329">
                  <c:v>0.72506217483413504</c:v>
                </c:pt>
                <c:pt idx="330">
                  <c:v>0.7443963334632081</c:v>
                </c:pt>
                <c:pt idx="331">
                  <c:v>0.75202734562228146</c:v>
                </c:pt>
                <c:pt idx="332">
                  <c:v>0.7782411815201048</c:v>
                </c:pt>
                <c:pt idx="333">
                  <c:v>0.76047719230858768</c:v>
                </c:pt>
                <c:pt idx="334">
                  <c:v>0.76039074222213765</c:v>
                </c:pt>
                <c:pt idx="335">
                  <c:v>0.73305380217579774</c:v>
                </c:pt>
                <c:pt idx="336">
                  <c:v>0.71928243190557273</c:v>
                </c:pt>
                <c:pt idx="337">
                  <c:v>0.62578445910087199</c:v>
                </c:pt>
                <c:pt idx="338">
                  <c:v>0.88694116048376148</c:v>
                </c:pt>
                <c:pt idx="339">
                  <c:v>0.8850278850278851</c:v>
                </c:pt>
                <c:pt idx="340">
                  <c:v>0.82068027210884342</c:v>
                </c:pt>
                <c:pt idx="341">
                  <c:v>0.82226651901070513</c:v>
                </c:pt>
                <c:pt idx="342">
                  <c:v>0.88296296296296306</c:v>
                </c:pt>
                <c:pt idx="343">
                  <c:v>0.89515148661490129</c:v>
                </c:pt>
                <c:pt idx="344">
                  <c:v>0.89421626579698332</c:v>
                </c:pt>
                <c:pt idx="345">
                  <c:v>0.89297401609045457</c:v>
                </c:pt>
                <c:pt idx="346">
                  <c:v>0.8705089315807214</c:v>
                </c:pt>
                <c:pt idx="347">
                  <c:v>0.87422839506172834</c:v>
                </c:pt>
                <c:pt idx="348">
                  <c:v>0.87511980065171546</c:v>
                </c:pt>
                <c:pt idx="349">
                  <c:v>0.84234109897869514</c:v>
                </c:pt>
                <c:pt idx="350">
                  <c:v>0.78013013013013011</c:v>
                </c:pt>
                <c:pt idx="351">
                  <c:v>0.80994611912043102</c:v>
                </c:pt>
                <c:pt idx="352">
                  <c:v>0.8027126225841601</c:v>
                </c:pt>
                <c:pt idx="353">
                  <c:v>0.77729862131066796</c:v>
                </c:pt>
                <c:pt idx="354">
                  <c:v>0.77097678011355097</c:v>
                </c:pt>
                <c:pt idx="355">
                  <c:v>0.87279069767441853</c:v>
                </c:pt>
                <c:pt idx="356">
                  <c:v>0.87402340781273757</c:v>
                </c:pt>
                <c:pt idx="357">
                  <c:v>0.84789785681714547</c:v>
                </c:pt>
                <c:pt idx="358">
                  <c:v>0.84743053619552078</c:v>
                </c:pt>
                <c:pt idx="359">
                  <c:v>0.84126868392271237</c:v>
                </c:pt>
                <c:pt idx="360">
                  <c:v>0.84484948909141122</c:v>
                </c:pt>
                <c:pt idx="361">
                  <c:v>0.84749862561847178</c:v>
                </c:pt>
                <c:pt idx="362">
                  <c:v>0.84817188769522434</c:v>
                </c:pt>
                <c:pt idx="363">
                  <c:v>0.84704607046070457</c:v>
                </c:pt>
                <c:pt idx="364">
                  <c:v>0.84294249439880509</c:v>
                </c:pt>
                <c:pt idx="365">
                  <c:v>0.84904854368932037</c:v>
                </c:pt>
                <c:pt idx="366">
                  <c:v>0.80690554649156376</c:v>
                </c:pt>
                <c:pt idx="367">
                  <c:v>0.84458151086070132</c:v>
                </c:pt>
                <c:pt idx="368">
                  <c:v>0.74526455026455019</c:v>
                </c:pt>
                <c:pt idx="369">
                  <c:v>0.68850428769385386</c:v>
                </c:pt>
                <c:pt idx="370">
                  <c:v>0.71266926661722163</c:v>
                </c:pt>
                <c:pt idx="371">
                  <c:v>0.66178233840625811</c:v>
                </c:pt>
                <c:pt idx="372">
                  <c:v>0.65564958846252408</c:v>
                </c:pt>
                <c:pt idx="373">
                  <c:v>0.66932859399684042</c:v>
                </c:pt>
                <c:pt idx="374">
                  <c:v>0.66956964006259778</c:v>
                </c:pt>
                <c:pt idx="375">
                  <c:v>0.69430901040582826</c:v>
                </c:pt>
                <c:pt idx="376">
                  <c:v>0.69268694786611917</c:v>
                </c:pt>
                <c:pt idx="377">
                  <c:v>0.77169395320991063</c:v>
                </c:pt>
                <c:pt idx="378">
                  <c:v>0.74832983959168797</c:v>
                </c:pt>
                <c:pt idx="379">
                  <c:v>0.77737989493155368</c:v>
                </c:pt>
                <c:pt idx="380">
                  <c:v>0.68907548677730734</c:v>
                </c:pt>
                <c:pt idx="381">
                  <c:v>0.68864821191826686</c:v>
                </c:pt>
                <c:pt idx="382">
                  <c:v>0.72710431150303079</c:v>
                </c:pt>
                <c:pt idx="383">
                  <c:v>0.73380169371310622</c:v>
                </c:pt>
                <c:pt idx="384">
                  <c:v>0.76340504056408731</c:v>
                </c:pt>
                <c:pt idx="385">
                  <c:v>0.79582985753779112</c:v>
                </c:pt>
                <c:pt idx="386">
                  <c:v>0.77713591801010606</c:v>
                </c:pt>
                <c:pt idx="387">
                  <c:v>0.74915949156057016</c:v>
                </c:pt>
                <c:pt idx="388">
                  <c:v>0.7294439433591392</c:v>
                </c:pt>
                <c:pt idx="389">
                  <c:v>0.72831195842003049</c:v>
                </c:pt>
                <c:pt idx="390">
                  <c:v>0.71801787568444531</c:v>
                </c:pt>
                <c:pt idx="391">
                  <c:v>0.71854112019061578</c:v>
                </c:pt>
                <c:pt idx="392">
                  <c:v>0.71673227403122741</c:v>
                </c:pt>
                <c:pt idx="393">
                  <c:v>0.6776067053451198</c:v>
                </c:pt>
                <c:pt idx="394">
                  <c:v>0.71704052621283554</c:v>
                </c:pt>
                <c:pt idx="395">
                  <c:v>0.7171052773909391</c:v>
                </c:pt>
                <c:pt idx="396">
                  <c:v>0.77019224933867092</c:v>
                </c:pt>
                <c:pt idx="397">
                  <c:v>0.81430374206897083</c:v>
                </c:pt>
                <c:pt idx="398">
                  <c:v>0.81519171695839121</c:v>
                </c:pt>
                <c:pt idx="399">
                  <c:v>0.77924187644517351</c:v>
                </c:pt>
                <c:pt idx="400">
                  <c:v>0.7785259640780825</c:v>
                </c:pt>
                <c:pt idx="401">
                  <c:v>0.81562728285773711</c:v>
                </c:pt>
                <c:pt idx="402">
                  <c:v>0.81573759232127707</c:v>
                </c:pt>
                <c:pt idx="403">
                  <c:v>0.77466560768192128</c:v>
                </c:pt>
                <c:pt idx="404">
                  <c:v>0.77414364928323265</c:v>
                </c:pt>
                <c:pt idx="405">
                  <c:v>0.77447010089965906</c:v>
                </c:pt>
                <c:pt idx="406">
                  <c:v>0.81323021571237364</c:v>
                </c:pt>
                <c:pt idx="407">
                  <c:v>0.84597345528124002</c:v>
                </c:pt>
                <c:pt idx="408">
                  <c:v>0.8470870140762542</c:v>
                </c:pt>
                <c:pt idx="409">
                  <c:v>0.84618659027311838</c:v>
                </c:pt>
                <c:pt idx="410">
                  <c:v>0.84650847540113583</c:v>
                </c:pt>
                <c:pt idx="411">
                  <c:v>0.84706244276662523</c:v>
                </c:pt>
                <c:pt idx="412">
                  <c:v>0.84306969957649613</c:v>
                </c:pt>
                <c:pt idx="413">
                  <c:v>0.86298987209921718</c:v>
                </c:pt>
                <c:pt idx="414">
                  <c:v>0.87534065986008691</c:v>
                </c:pt>
                <c:pt idx="415">
                  <c:v>0.85739795619043846</c:v>
                </c:pt>
                <c:pt idx="416">
                  <c:v>0.85851680457372315</c:v>
                </c:pt>
                <c:pt idx="417">
                  <c:v>0.85962676200288946</c:v>
                </c:pt>
                <c:pt idx="418">
                  <c:v>0.85738311584796534</c:v>
                </c:pt>
                <c:pt idx="419">
                  <c:v>0.85668267802257947</c:v>
                </c:pt>
                <c:pt idx="420">
                  <c:v>0.8565936713265474</c:v>
                </c:pt>
                <c:pt idx="421">
                  <c:v>0.87231467019103703</c:v>
                </c:pt>
                <c:pt idx="422">
                  <c:v>0.87341354958480721</c:v>
                </c:pt>
                <c:pt idx="423">
                  <c:v>0.87651319268966332</c:v>
                </c:pt>
                <c:pt idx="424">
                  <c:v>0.87592864125122194</c:v>
                </c:pt>
                <c:pt idx="425">
                  <c:v>0.89491717295962236</c:v>
                </c:pt>
                <c:pt idx="426">
                  <c:v>0.8123032401668292</c:v>
                </c:pt>
                <c:pt idx="427">
                  <c:v>0.8201177675371224</c:v>
                </c:pt>
                <c:pt idx="428">
                  <c:v>0.83842867773399421</c:v>
                </c:pt>
                <c:pt idx="429">
                  <c:v>0.81922382008870931</c:v>
                </c:pt>
                <c:pt idx="430">
                  <c:v>0.84001143662492495</c:v>
                </c:pt>
                <c:pt idx="431">
                  <c:v>0.81806783710485287</c:v>
                </c:pt>
                <c:pt idx="432">
                  <c:v>0.79246094969487624</c:v>
                </c:pt>
                <c:pt idx="433">
                  <c:v>0.81949711186265473</c:v>
                </c:pt>
                <c:pt idx="434">
                  <c:v>0.82104531735174702</c:v>
                </c:pt>
                <c:pt idx="435">
                  <c:v>0.77483002358957054</c:v>
                </c:pt>
                <c:pt idx="436">
                  <c:v>0.84127071702769707</c:v>
                </c:pt>
                <c:pt idx="437">
                  <c:v>0.86554294636365903</c:v>
                </c:pt>
                <c:pt idx="438">
                  <c:v>0.86788077182092349</c:v>
                </c:pt>
                <c:pt idx="439">
                  <c:v>0.86797683935471148</c:v>
                </c:pt>
                <c:pt idx="440">
                  <c:v>0.86781084505696693</c:v>
                </c:pt>
                <c:pt idx="441">
                  <c:v>0.90158978952082403</c:v>
                </c:pt>
                <c:pt idx="442">
                  <c:v>0.90006069511883458</c:v>
                </c:pt>
                <c:pt idx="443">
                  <c:v>0.90139751552795033</c:v>
                </c:pt>
                <c:pt idx="444">
                  <c:v>0.90167958103229306</c:v>
                </c:pt>
                <c:pt idx="445">
                  <c:v>0.89861553540798822</c:v>
                </c:pt>
                <c:pt idx="446">
                  <c:v>0.9000937420106242</c:v>
                </c:pt>
                <c:pt idx="447">
                  <c:v>0.89880292139039752</c:v>
                </c:pt>
                <c:pt idx="448">
                  <c:v>0.89998361730013099</c:v>
                </c:pt>
                <c:pt idx="449">
                  <c:v>0.91251014307068135</c:v>
                </c:pt>
                <c:pt idx="450">
                  <c:v>0.91083399732205794</c:v>
                </c:pt>
                <c:pt idx="451">
                  <c:v>0.90989104588405689</c:v>
                </c:pt>
                <c:pt idx="452">
                  <c:v>0.89222222222222225</c:v>
                </c:pt>
                <c:pt idx="453">
                  <c:v>0.91011471532019483</c:v>
                </c:pt>
                <c:pt idx="454">
                  <c:v>0.91141916674503898</c:v>
                </c:pt>
                <c:pt idx="455">
                  <c:v>0.90609063184136251</c:v>
                </c:pt>
                <c:pt idx="456">
                  <c:v>0.87367303139407526</c:v>
                </c:pt>
                <c:pt idx="457">
                  <c:v>0.87312053026338743</c:v>
                </c:pt>
                <c:pt idx="458">
                  <c:v>0.88372269881413035</c:v>
                </c:pt>
                <c:pt idx="459">
                  <c:v>0.88418633475632424</c:v>
                </c:pt>
                <c:pt idx="460">
                  <c:v>0.87233024077340748</c:v>
                </c:pt>
                <c:pt idx="461">
                  <c:v>0.88256450544204168</c:v>
                </c:pt>
                <c:pt idx="462">
                  <c:v>0.8830089424450327</c:v>
                </c:pt>
                <c:pt idx="463">
                  <c:v>0.88313798788501641</c:v>
                </c:pt>
                <c:pt idx="464">
                  <c:v>0.88289086648698645</c:v>
                </c:pt>
                <c:pt idx="465">
                  <c:v>0.88124347122427404</c:v>
                </c:pt>
                <c:pt idx="466">
                  <c:v>0.87967094261369039</c:v>
                </c:pt>
                <c:pt idx="467">
                  <c:v>0.88037754339572349</c:v>
                </c:pt>
                <c:pt idx="468">
                  <c:v>0.84000540801913037</c:v>
                </c:pt>
                <c:pt idx="469">
                  <c:v>0.8374316895096946</c:v>
                </c:pt>
                <c:pt idx="470">
                  <c:v>0.8354525196474839</c:v>
                </c:pt>
                <c:pt idx="471">
                  <c:v>0.85641642813773955</c:v>
                </c:pt>
                <c:pt idx="472">
                  <c:v>0.83264391151715089</c:v>
                </c:pt>
                <c:pt idx="473">
                  <c:v>0.83403988217965142</c:v>
                </c:pt>
                <c:pt idx="474">
                  <c:v>0.82955615476801925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24-494D-8517-C3CEFB274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3800511"/>
        <c:axId val="813800991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ASSETS!$L$18</c15:sqref>
                        </c15:formulaRef>
                      </c:ext>
                    </c:extLst>
                    <c:strCache>
                      <c:ptCount val="1"/>
                      <c:pt idx="0">
                        <c:v> Drift magnitude 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ASSETS!$C$19:$C$493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7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ASSETS!$L$19:$L$493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475"/>
                      <c:pt idx="0">
                        <c:v>1</c:v>
                      </c:pt>
                      <c:pt idx="1">
                        <c:v>1</c:v>
                      </c:pt>
                      <c:pt idx="2">
                        <c:v>7.2796843074874801E-2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5.2925159318655567E-2</c:v>
                      </c:pt>
                      <c:pt idx="7">
                        <c:v>9.193652061042823E-2</c:v>
                      </c:pt>
                      <c:pt idx="8">
                        <c:v>0.13823650851250441</c:v>
                      </c:pt>
                      <c:pt idx="9">
                        <c:v>1</c:v>
                      </c:pt>
                      <c:pt idx="10">
                        <c:v>3.3579259577835252E-2</c:v>
                      </c:pt>
                      <c:pt idx="11">
                        <c:v>5.3835211445127248E-2</c:v>
                      </c:pt>
                      <c:pt idx="12">
                        <c:v>7.1311311464680144E-2</c:v>
                      </c:pt>
                      <c:pt idx="13">
                        <c:v>8.2218596398275848E-2</c:v>
                      </c:pt>
                      <c:pt idx="14">
                        <c:v>9.4454159949271144E-2</c:v>
                      </c:pt>
                      <c:pt idx="15">
                        <c:v>0.1028607278457052</c:v>
                      </c:pt>
                      <c:pt idx="16">
                        <c:v>0.11098516629180161</c:v>
                      </c:pt>
                      <c:pt idx="17">
                        <c:v>0.10588907738044839</c:v>
                      </c:pt>
                      <c:pt idx="18">
                        <c:v>0.10760280143907409</c:v>
                      </c:pt>
                      <c:pt idx="19">
                        <c:v>1</c:v>
                      </c:pt>
                      <c:pt idx="20">
                        <c:v>2.0146139964668779E-2</c:v>
                      </c:pt>
                      <c:pt idx="21">
                        <c:v>2.9682552189093971E-2</c:v>
                      </c:pt>
                      <c:pt idx="22">
                        <c:v>3.4003378246744292E-2</c:v>
                      </c:pt>
                      <c:pt idx="23">
                        <c:v>4.3951330867887523E-2</c:v>
                      </c:pt>
                      <c:pt idx="24">
                        <c:v>5.3083788332053718E-2</c:v>
                      </c:pt>
                      <c:pt idx="25">
                        <c:v>6.1283315932522758E-2</c:v>
                      </c:pt>
                      <c:pt idx="26">
                        <c:v>7.4728944812063672E-2</c:v>
                      </c:pt>
                      <c:pt idx="27">
                        <c:v>8.0572111748854841E-2</c:v>
                      </c:pt>
                      <c:pt idx="28">
                        <c:v>9.3247358320082088E-2</c:v>
                      </c:pt>
                      <c:pt idx="29">
                        <c:v>9.9623214392308257E-2</c:v>
                      </c:pt>
                      <c:pt idx="30">
                        <c:v>0.1147392350153508</c:v>
                      </c:pt>
                      <c:pt idx="31">
                        <c:v>0.13136803576968059</c:v>
                      </c:pt>
                      <c:pt idx="32">
                        <c:v>0.1327144611414981</c:v>
                      </c:pt>
                      <c:pt idx="33">
                        <c:v>0.1313439977458484</c:v>
                      </c:pt>
                      <c:pt idx="34">
                        <c:v>0.13467890658896431</c:v>
                      </c:pt>
                      <c:pt idx="35">
                        <c:v>0.13793508726275511</c:v>
                      </c:pt>
                      <c:pt idx="36">
                        <c:v>0.14311757416519361</c:v>
                      </c:pt>
                      <c:pt idx="37">
                        <c:v>0.14984152028656941</c:v>
                      </c:pt>
                      <c:pt idx="38">
                        <c:v>0.14252493129254451</c:v>
                      </c:pt>
                      <c:pt idx="39">
                        <c:v>0.1504594106374276</c:v>
                      </c:pt>
                      <c:pt idx="40">
                        <c:v>2.073230731598107E-2</c:v>
                      </c:pt>
                      <c:pt idx="41">
                        <c:v>2.4677556845728161E-2</c:v>
                      </c:pt>
                      <c:pt idx="42">
                        <c:v>2.7478489874993382E-2</c:v>
                      </c:pt>
                      <c:pt idx="43">
                        <c:v>4.0178189410054722E-2</c:v>
                      </c:pt>
                      <c:pt idx="44">
                        <c:v>5.2665393625959983E-2</c:v>
                      </c:pt>
                      <c:pt idx="45">
                        <c:v>5.8345146083284137E-2</c:v>
                      </c:pt>
                      <c:pt idx="46">
                        <c:v>7.2115233419588656E-2</c:v>
                      </c:pt>
                      <c:pt idx="47">
                        <c:v>7.2833770730686739E-2</c:v>
                      </c:pt>
                      <c:pt idx="48">
                        <c:v>7.3233892799309114E-2</c:v>
                      </c:pt>
                      <c:pt idx="49">
                        <c:v>7.381217389934544E-2</c:v>
                      </c:pt>
                      <c:pt idx="50">
                        <c:v>7.2324588355994132E-2</c:v>
                      </c:pt>
                      <c:pt idx="51">
                        <c:v>7.1249425808108183E-2</c:v>
                      </c:pt>
                      <c:pt idx="52">
                        <c:v>7.5482436257884561E-2</c:v>
                      </c:pt>
                      <c:pt idx="53">
                        <c:v>7.8129358858470915E-2</c:v>
                      </c:pt>
                      <c:pt idx="54">
                        <c:v>7.748480871382174E-2</c:v>
                      </c:pt>
                      <c:pt idx="55">
                        <c:v>8.6256822304721079E-2</c:v>
                      </c:pt>
                      <c:pt idx="56">
                        <c:v>8.8264428637118517E-2</c:v>
                      </c:pt>
                      <c:pt idx="57">
                        <c:v>9.0608236949357046E-2</c:v>
                      </c:pt>
                      <c:pt idx="58">
                        <c:v>9.3637029560730153E-2</c:v>
                      </c:pt>
                      <c:pt idx="59">
                        <c:v>9.1169684700867754E-2</c:v>
                      </c:pt>
                      <c:pt idx="60">
                        <c:v>9.1141126764502589E-2</c:v>
                      </c:pt>
                      <c:pt idx="61">
                        <c:v>9.0696995720942905E-2</c:v>
                      </c:pt>
                      <c:pt idx="62">
                        <c:v>9.3898509422412207E-2</c:v>
                      </c:pt>
                      <c:pt idx="63">
                        <c:v>9.3145447674661486E-2</c:v>
                      </c:pt>
                      <c:pt idx="64">
                        <c:v>9.805464851572071E-2</c:v>
                      </c:pt>
                      <c:pt idx="65">
                        <c:v>0.1000415189796045</c:v>
                      </c:pt>
                      <c:pt idx="66">
                        <c:v>9.8734496340869018E-2</c:v>
                      </c:pt>
                      <c:pt idx="67">
                        <c:v>0.1029167690923139</c:v>
                      </c:pt>
                      <c:pt idx="68">
                        <c:v>0.1021365650131873</c:v>
                      </c:pt>
                      <c:pt idx="69">
                        <c:v>0.1010587620626523</c:v>
                      </c:pt>
                      <c:pt idx="70">
                        <c:v>0.1012207068837407</c:v>
                      </c:pt>
                      <c:pt idx="71">
                        <c:v>9.6075074416086564E-2</c:v>
                      </c:pt>
                      <c:pt idx="72">
                        <c:v>9.4248552870295557E-2</c:v>
                      </c:pt>
                      <c:pt idx="73">
                        <c:v>9.2272098900126998E-2</c:v>
                      </c:pt>
                      <c:pt idx="74">
                        <c:v>9.2126462699924208E-2</c:v>
                      </c:pt>
                      <c:pt idx="75">
                        <c:v>9.6285785449277628E-2</c:v>
                      </c:pt>
                      <c:pt idx="76">
                        <c:v>9.8038501687038829E-2</c:v>
                      </c:pt>
                      <c:pt idx="77">
                        <c:v>9.9685377435356479E-2</c:v>
                      </c:pt>
                      <c:pt idx="78">
                        <c:v>9.9227466373369239E-2</c:v>
                      </c:pt>
                      <c:pt idx="79">
                        <c:v>0.1040099908037084</c:v>
                      </c:pt>
                      <c:pt idx="80">
                        <c:v>0.1067894550568154</c:v>
                      </c:pt>
                      <c:pt idx="81">
                        <c:v>0.1060437299754896</c:v>
                      </c:pt>
                      <c:pt idx="82">
                        <c:v>0.1058119088629032</c:v>
                      </c:pt>
                      <c:pt idx="83">
                        <c:v>9.9824725500557127E-2</c:v>
                      </c:pt>
                      <c:pt idx="84">
                        <c:v>9.7776869871088107E-2</c:v>
                      </c:pt>
                      <c:pt idx="85">
                        <c:v>9.842287037827506E-2</c:v>
                      </c:pt>
                      <c:pt idx="86">
                        <c:v>9.6057204891160139E-2</c:v>
                      </c:pt>
                      <c:pt idx="87">
                        <c:v>9.4993537887319429E-2</c:v>
                      </c:pt>
                      <c:pt idx="88">
                        <c:v>9.8429772594542539E-2</c:v>
                      </c:pt>
                      <c:pt idx="89">
                        <c:v>0.10226997542982</c:v>
                      </c:pt>
                      <c:pt idx="90">
                        <c:v>0.1096287163132067</c:v>
                      </c:pt>
                      <c:pt idx="91">
                        <c:v>0.11019760839596331</c:v>
                      </c:pt>
                      <c:pt idx="92">
                        <c:v>0.1088604438797037</c:v>
                      </c:pt>
                      <c:pt idx="93">
                        <c:v>0.1097910681172871</c:v>
                      </c:pt>
                      <c:pt idx="94">
                        <c:v>0.10699599353617791</c:v>
                      </c:pt>
                      <c:pt idx="95">
                        <c:v>0.1026087861689246</c:v>
                      </c:pt>
                      <c:pt idx="96">
                        <c:v>0.10376415019364819</c:v>
                      </c:pt>
                      <c:pt idx="97">
                        <c:v>0.1048279638679646</c:v>
                      </c:pt>
                      <c:pt idx="98">
                        <c:v>0.1043719103840049</c:v>
                      </c:pt>
                      <c:pt idx="99">
                        <c:v>0.1018952740625268</c:v>
                      </c:pt>
                      <c:pt idx="100">
                        <c:v>0.1019345131973773</c:v>
                      </c:pt>
                      <c:pt idx="101">
                        <c:v>9.9292049993025502E-2</c:v>
                      </c:pt>
                      <c:pt idx="102">
                        <c:v>1</c:v>
                      </c:pt>
                      <c:pt idx="103">
                        <c:v>1.7443944065613878E-2</c:v>
                      </c:pt>
                      <c:pt idx="104">
                        <c:v>2.109085668297753E-2</c:v>
                      </c:pt>
                      <c:pt idx="105">
                        <c:v>3.2460589086845848E-2</c:v>
                      </c:pt>
                      <c:pt idx="106">
                        <c:v>3.7037765803252971E-2</c:v>
                      </c:pt>
                      <c:pt idx="107">
                        <c:v>3.7804117236357911E-2</c:v>
                      </c:pt>
                      <c:pt idx="108">
                        <c:v>4.3752387804804713E-2</c:v>
                      </c:pt>
                      <c:pt idx="109">
                        <c:v>4.568828836000903E-2</c:v>
                      </c:pt>
                      <c:pt idx="110">
                        <c:v>5.2493996901601801E-2</c:v>
                      </c:pt>
                      <c:pt idx="111">
                        <c:v>5.5157564846599949E-2</c:v>
                      </c:pt>
                      <c:pt idx="112">
                        <c:v>5.7602305760636643E-2</c:v>
                      </c:pt>
                      <c:pt idx="113">
                        <c:v>5.9326326624321017E-2</c:v>
                      </c:pt>
                      <c:pt idx="114">
                        <c:v>5.9646716851600577E-2</c:v>
                      </c:pt>
                      <c:pt idx="115">
                        <c:v>6.4760299330279922E-2</c:v>
                      </c:pt>
                      <c:pt idx="116">
                        <c:v>7.0025753394860529E-2</c:v>
                      </c:pt>
                      <c:pt idx="117">
                        <c:v>6.5423438781988058E-2</c:v>
                      </c:pt>
                      <c:pt idx="118">
                        <c:v>6.7229489028879055E-2</c:v>
                      </c:pt>
                      <c:pt idx="119">
                        <c:v>6.7576008902523022E-2</c:v>
                      </c:pt>
                      <c:pt idx="120">
                        <c:v>6.6857916092296202E-2</c:v>
                      </c:pt>
                      <c:pt idx="121">
                        <c:v>6.8087160135268221E-2</c:v>
                      </c:pt>
                      <c:pt idx="122">
                        <c:v>7.2554972729347675E-2</c:v>
                      </c:pt>
                      <c:pt idx="123">
                        <c:v>7.2554873263382613E-2</c:v>
                      </c:pt>
                      <c:pt idx="124">
                        <c:v>7.3353197595371941E-2</c:v>
                      </c:pt>
                      <c:pt idx="125">
                        <c:v>8.0816511095576624E-2</c:v>
                      </c:pt>
                      <c:pt idx="126">
                        <c:v>8.0141815015089005E-2</c:v>
                      </c:pt>
                      <c:pt idx="127">
                        <c:v>8.1987653488290069E-2</c:v>
                      </c:pt>
                      <c:pt idx="128">
                        <c:v>8.2576079277345699E-2</c:v>
                      </c:pt>
                      <c:pt idx="129">
                        <c:v>8.4531064932100719E-2</c:v>
                      </c:pt>
                      <c:pt idx="130">
                        <c:v>8.4085657641697023E-2</c:v>
                      </c:pt>
                      <c:pt idx="131">
                        <c:v>7.8845648104426527E-2</c:v>
                      </c:pt>
                      <c:pt idx="132">
                        <c:v>7.7710649834858828E-2</c:v>
                      </c:pt>
                      <c:pt idx="133">
                        <c:v>8.1853964004279675E-2</c:v>
                      </c:pt>
                      <c:pt idx="134">
                        <c:v>7.9958567879297712E-2</c:v>
                      </c:pt>
                      <c:pt idx="135">
                        <c:v>7.863954230956717E-2</c:v>
                      </c:pt>
                      <c:pt idx="136">
                        <c:v>8.5825519791288232E-2</c:v>
                      </c:pt>
                      <c:pt idx="137">
                        <c:v>8.5410168960750835E-2</c:v>
                      </c:pt>
                      <c:pt idx="138">
                        <c:v>8.4604655949373206E-2</c:v>
                      </c:pt>
                      <c:pt idx="139">
                        <c:v>8.6122621260891041E-2</c:v>
                      </c:pt>
                      <c:pt idx="140">
                        <c:v>8.6873513196618998E-2</c:v>
                      </c:pt>
                      <c:pt idx="141">
                        <c:v>8.8004582989886074E-2</c:v>
                      </c:pt>
                      <c:pt idx="142">
                        <c:v>8.3773979592476053E-2</c:v>
                      </c:pt>
                      <c:pt idx="143">
                        <c:v>8.3390593606256558E-2</c:v>
                      </c:pt>
                      <c:pt idx="144">
                        <c:v>8.1996489889006582E-2</c:v>
                      </c:pt>
                      <c:pt idx="145">
                        <c:v>8.496828531530834E-2</c:v>
                      </c:pt>
                      <c:pt idx="146">
                        <c:v>8.5694187904422819E-2</c:v>
                      </c:pt>
                      <c:pt idx="147">
                        <c:v>8.753092066543583E-2</c:v>
                      </c:pt>
                      <c:pt idx="148">
                        <c:v>8.8275912937589185E-2</c:v>
                      </c:pt>
                      <c:pt idx="149">
                        <c:v>1</c:v>
                      </c:pt>
                      <c:pt idx="150">
                        <c:v>1.8021611510471991E-2</c:v>
                      </c:pt>
                      <c:pt idx="151">
                        <c:v>2.9755480432446552E-2</c:v>
                      </c:pt>
                      <c:pt idx="152">
                        <c:v>3.3749986039905658E-2</c:v>
                      </c:pt>
                      <c:pt idx="153">
                        <c:v>3.5776614024227951E-2</c:v>
                      </c:pt>
                      <c:pt idx="154">
                        <c:v>4.069470174837627E-2</c:v>
                      </c:pt>
                      <c:pt idx="155">
                        <c:v>1</c:v>
                      </c:pt>
                      <c:pt idx="156">
                        <c:v>1.6857122904947439E-2</c:v>
                      </c:pt>
                      <c:pt idx="157">
                        <c:v>4.0812155594955997E-2</c:v>
                      </c:pt>
                      <c:pt idx="158">
                        <c:v>4.6906532083887911E-2</c:v>
                      </c:pt>
                      <c:pt idx="159">
                        <c:v>4.8137617007043852E-2</c:v>
                      </c:pt>
                      <c:pt idx="160">
                        <c:v>5.2451037954199857E-2</c:v>
                      </c:pt>
                      <c:pt idx="161">
                        <c:v>5.2803924413353562E-2</c:v>
                      </c:pt>
                      <c:pt idx="162">
                        <c:v>6.0257482320620073E-2</c:v>
                      </c:pt>
                      <c:pt idx="163">
                        <c:v>6.2499391843739489E-2</c:v>
                      </c:pt>
                      <c:pt idx="164">
                        <c:v>6.5206182173382671E-2</c:v>
                      </c:pt>
                      <c:pt idx="165">
                        <c:v>6.9050961716564913E-2</c:v>
                      </c:pt>
                      <c:pt idx="166">
                        <c:v>7.3411323691829206E-2</c:v>
                      </c:pt>
                      <c:pt idx="167">
                        <c:v>7.5606250840690239E-2</c:v>
                      </c:pt>
                      <c:pt idx="168">
                        <c:v>8.1083383740369067E-2</c:v>
                      </c:pt>
                      <c:pt idx="169">
                        <c:v>8.3335438844810164E-2</c:v>
                      </c:pt>
                      <c:pt idx="170">
                        <c:v>8.2251621134379782E-2</c:v>
                      </c:pt>
                      <c:pt idx="171">
                        <c:v>8.1749797665465557E-2</c:v>
                      </c:pt>
                      <c:pt idx="172">
                        <c:v>8.3966784490423357E-2</c:v>
                      </c:pt>
                      <c:pt idx="173">
                        <c:v>8.6218935599776225E-2</c:v>
                      </c:pt>
                      <c:pt idx="174">
                        <c:v>8.8130695480413968E-2</c:v>
                      </c:pt>
                      <c:pt idx="175">
                        <c:v>9.4462023966602068E-2</c:v>
                      </c:pt>
                      <c:pt idx="176">
                        <c:v>9.3231897149552809E-2</c:v>
                      </c:pt>
                      <c:pt idx="177">
                        <c:v>9.6938616806762856E-2</c:v>
                      </c:pt>
                      <c:pt idx="178">
                        <c:v>9.6629615989375084E-2</c:v>
                      </c:pt>
                      <c:pt idx="179">
                        <c:v>0.1007649588503453</c:v>
                      </c:pt>
                      <c:pt idx="180">
                        <c:v>0.1054950592344774</c:v>
                      </c:pt>
                      <c:pt idx="181">
                        <c:v>0.10926606726245799</c:v>
                      </c:pt>
                      <c:pt idx="182">
                        <c:v>0.1094739542092984</c:v>
                      </c:pt>
                      <c:pt idx="183">
                        <c:v>0.1114041981899738</c:v>
                      </c:pt>
                      <c:pt idx="184">
                        <c:v>1</c:v>
                      </c:pt>
                      <c:pt idx="185">
                        <c:v>1.850863906893294E-2</c:v>
                      </c:pt>
                      <c:pt idx="186">
                        <c:v>3.1461574628687657E-2</c:v>
                      </c:pt>
                      <c:pt idx="187">
                        <c:v>3.6570744711483603E-2</c:v>
                      </c:pt>
                      <c:pt idx="188">
                        <c:v>4.6334408275461862E-2</c:v>
                      </c:pt>
                      <c:pt idx="189">
                        <c:v>4.7468340818325253E-2</c:v>
                      </c:pt>
                      <c:pt idx="190">
                        <c:v>5.0444707475372177E-2</c:v>
                      </c:pt>
                      <c:pt idx="191">
                        <c:v>5.3191711696934513E-2</c:v>
                      </c:pt>
                      <c:pt idx="192">
                        <c:v>6.3279738145263789E-2</c:v>
                      </c:pt>
                      <c:pt idx="193">
                        <c:v>6.7834611732428954E-2</c:v>
                      </c:pt>
                      <c:pt idx="194">
                        <c:v>1</c:v>
                      </c:pt>
                      <c:pt idx="195">
                        <c:v>8.7880870027270616E-3</c:v>
                      </c:pt>
                      <c:pt idx="196">
                        <c:v>1.410740841709239E-2</c:v>
                      </c:pt>
                      <c:pt idx="197">
                        <c:v>1.9923206962817529E-2</c:v>
                      </c:pt>
                      <c:pt idx="198">
                        <c:v>2.228693164863935E-2</c:v>
                      </c:pt>
                      <c:pt idx="199">
                        <c:v>2.293290040957353E-2</c:v>
                      </c:pt>
                      <c:pt idx="200">
                        <c:v>1</c:v>
                      </c:pt>
                      <c:pt idx="201">
                        <c:v>1.6611543044852441E-2</c:v>
                      </c:pt>
                      <c:pt idx="202">
                        <c:v>1.9976569712556701E-2</c:v>
                      </c:pt>
                      <c:pt idx="203">
                        <c:v>2.20077912041854E-2</c:v>
                      </c:pt>
                      <c:pt idx="204">
                        <c:v>3.0809012521178871E-2</c:v>
                      </c:pt>
                      <c:pt idx="205">
                        <c:v>3.4989312279448202E-2</c:v>
                      </c:pt>
                      <c:pt idx="206">
                        <c:v>3.7078760767733039E-2</c:v>
                      </c:pt>
                      <c:pt idx="207">
                        <c:v>3.7670005544948967E-2</c:v>
                      </c:pt>
                      <c:pt idx="208">
                        <c:v>3.8600082515959012E-2</c:v>
                      </c:pt>
                      <c:pt idx="209">
                        <c:v>3.902450197534197E-2</c:v>
                      </c:pt>
                      <c:pt idx="210">
                        <c:v>4.0587765312256413E-2</c:v>
                      </c:pt>
                      <c:pt idx="211">
                        <c:v>4.6932491359326867E-2</c:v>
                      </c:pt>
                      <c:pt idx="212">
                        <c:v>5.2974892658199831E-2</c:v>
                      </c:pt>
                      <c:pt idx="213">
                        <c:v>5.6284603106810487E-2</c:v>
                      </c:pt>
                      <c:pt idx="214">
                        <c:v>5.6964808736637451E-2</c:v>
                      </c:pt>
                      <c:pt idx="215">
                        <c:v>5.9253803842426567E-2</c:v>
                      </c:pt>
                      <c:pt idx="216">
                        <c:v>6.3469876863937305E-2</c:v>
                      </c:pt>
                      <c:pt idx="217">
                        <c:v>6.8433647988623364E-2</c:v>
                      </c:pt>
                      <c:pt idx="218">
                        <c:v>7.0760495812185215E-2</c:v>
                      </c:pt>
                      <c:pt idx="219">
                        <c:v>7.8899004274989609E-2</c:v>
                      </c:pt>
                      <c:pt idx="220">
                        <c:v>8.1759653978049615E-2</c:v>
                      </c:pt>
                      <c:pt idx="221">
                        <c:v>8.5632812505482409E-2</c:v>
                      </c:pt>
                      <c:pt idx="222">
                        <c:v>9.1232941763337613E-2</c:v>
                      </c:pt>
                      <c:pt idx="223">
                        <c:v>9.4380747849718533E-2</c:v>
                      </c:pt>
                      <c:pt idx="224">
                        <c:v>9.5770692983159739E-2</c:v>
                      </c:pt>
                      <c:pt idx="225">
                        <c:v>9.6065340090861262E-2</c:v>
                      </c:pt>
                      <c:pt idx="226">
                        <c:v>0.1015367513997532</c:v>
                      </c:pt>
                      <c:pt idx="227">
                        <c:v>0.10274111149342061</c:v>
                      </c:pt>
                      <c:pt idx="228">
                        <c:v>0.1010562556151864</c:v>
                      </c:pt>
                      <c:pt idx="229">
                        <c:v>0.10107780046668929</c:v>
                      </c:pt>
                      <c:pt idx="230">
                        <c:v>0.1003619352803337</c:v>
                      </c:pt>
                      <c:pt idx="231">
                        <c:v>0.1027482994903533</c:v>
                      </c:pt>
                      <c:pt idx="232">
                        <c:v>0.1028317724706902</c:v>
                      </c:pt>
                      <c:pt idx="233">
                        <c:v>0.1063863386324571</c:v>
                      </c:pt>
                      <c:pt idx="234">
                        <c:v>0.1093704771806439</c:v>
                      </c:pt>
                      <c:pt idx="235">
                        <c:v>0.11168156913131699</c:v>
                      </c:pt>
                      <c:pt idx="236">
                        <c:v>0.1080007224304282</c:v>
                      </c:pt>
                      <c:pt idx="237">
                        <c:v>0.1106704995233057</c:v>
                      </c:pt>
                      <c:pt idx="238">
                        <c:v>0.1133527942912298</c:v>
                      </c:pt>
                      <c:pt idx="239">
                        <c:v>0.1105051292192159</c:v>
                      </c:pt>
                      <c:pt idx="240">
                        <c:v>0.1078916044061837</c:v>
                      </c:pt>
                      <c:pt idx="241">
                        <c:v>0.109765155127831</c:v>
                      </c:pt>
                      <c:pt idx="242">
                        <c:v>0.1090337330991472</c:v>
                      </c:pt>
                      <c:pt idx="243">
                        <c:v>0.10835425008238569</c:v>
                      </c:pt>
                      <c:pt idx="244">
                        <c:v>0.10643168385395189</c:v>
                      </c:pt>
                      <c:pt idx="245">
                        <c:v>0.1079636633726221</c:v>
                      </c:pt>
                      <c:pt idx="246">
                        <c:v>0.1082845087215594</c:v>
                      </c:pt>
                      <c:pt idx="247">
                        <c:v>0.11008615598397931</c:v>
                      </c:pt>
                      <c:pt idx="248">
                        <c:v>0.1098192619722947</c:v>
                      </c:pt>
                      <c:pt idx="249">
                        <c:v>0.1102859481548073</c:v>
                      </c:pt>
                      <c:pt idx="250">
                        <c:v>0.1122414905224558</c:v>
                      </c:pt>
                      <c:pt idx="251">
                        <c:v>0.1119847807377921</c:v>
                      </c:pt>
                      <c:pt idx="252">
                        <c:v>0.1093608334118015</c:v>
                      </c:pt>
                      <c:pt idx="253">
                        <c:v>0.1118101760212724</c:v>
                      </c:pt>
                      <c:pt idx="254">
                        <c:v>0.1083763947348096</c:v>
                      </c:pt>
                      <c:pt idx="255">
                        <c:v>0.1110752082669671</c:v>
                      </c:pt>
                      <c:pt idx="256">
                        <c:v>0.1113273512787285</c:v>
                      </c:pt>
                      <c:pt idx="257">
                        <c:v>0.11195796471076511</c:v>
                      </c:pt>
                      <c:pt idx="258">
                        <c:v>0.1129466403709395</c:v>
                      </c:pt>
                      <c:pt idx="259">
                        <c:v>0.1141907262522998</c:v>
                      </c:pt>
                      <c:pt idx="260">
                        <c:v>0.1165538292404231</c:v>
                      </c:pt>
                      <c:pt idx="261">
                        <c:v>0.116469963301156</c:v>
                      </c:pt>
                      <c:pt idx="262">
                        <c:v>0.12325831399444891</c:v>
                      </c:pt>
                      <c:pt idx="263">
                        <c:v>0.1232379944966943</c:v>
                      </c:pt>
                      <c:pt idx="264">
                        <c:v>0.1249671677158922</c:v>
                      </c:pt>
                      <c:pt idx="265">
                        <c:v>0.1209168765031312</c:v>
                      </c:pt>
                      <c:pt idx="266">
                        <c:v>0.12264070568941381</c:v>
                      </c:pt>
                      <c:pt idx="267">
                        <c:v>0.1228488901583718</c:v>
                      </c:pt>
                      <c:pt idx="268">
                        <c:v>0.1174751504011516</c:v>
                      </c:pt>
                      <c:pt idx="269">
                        <c:v>0.118126768450553</c:v>
                      </c:pt>
                      <c:pt idx="270">
                        <c:v>0.1184259037792265</c:v>
                      </c:pt>
                      <c:pt idx="271">
                        <c:v>0.11931729130444479</c:v>
                      </c:pt>
                      <c:pt idx="272">
                        <c:v>0.1194151880658948</c:v>
                      </c:pt>
                      <c:pt idx="273">
                        <c:v>0.12093934722166109</c:v>
                      </c:pt>
                      <c:pt idx="274">
                        <c:v>0.1208497323110207</c:v>
                      </c:pt>
                      <c:pt idx="275">
                        <c:v>0.1260161534298776</c:v>
                      </c:pt>
                      <c:pt idx="276">
                        <c:v>0.1257136327440414</c:v>
                      </c:pt>
                      <c:pt idx="277">
                        <c:v>0.1294971879114325</c:v>
                      </c:pt>
                      <c:pt idx="278">
                        <c:v>0.12990318630268849</c:v>
                      </c:pt>
                      <c:pt idx="279">
                        <c:v>0.1312416466922022</c:v>
                      </c:pt>
                      <c:pt idx="280">
                        <c:v>0.13195647455385981</c:v>
                      </c:pt>
                      <c:pt idx="281">
                        <c:v>0.13584712340347119</c:v>
                      </c:pt>
                      <c:pt idx="282">
                        <c:v>0.1410185766108967</c:v>
                      </c:pt>
                      <c:pt idx="283">
                        <c:v>0.14066078601918999</c:v>
                      </c:pt>
                      <c:pt idx="284">
                        <c:v>0.1392272761593637</c:v>
                      </c:pt>
                      <c:pt idx="285">
                        <c:v>0.1429923067759811</c:v>
                      </c:pt>
                      <c:pt idx="286">
                        <c:v>0.14648738556292179</c:v>
                      </c:pt>
                      <c:pt idx="287">
                        <c:v>0.1503312133022208</c:v>
                      </c:pt>
                      <c:pt idx="288">
                        <c:v>1.476486936055952E-2</c:v>
                      </c:pt>
                      <c:pt idx="289">
                        <c:v>3.2789939992155903E-2</c:v>
                      </c:pt>
                      <c:pt idx="290">
                        <c:v>3.5219863300281401E-2</c:v>
                      </c:pt>
                      <c:pt idx="291">
                        <c:v>3.8631936734404772E-2</c:v>
                      </c:pt>
                      <c:pt idx="292">
                        <c:v>4.1735030744088963E-2</c:v>
                      </c:pt>
                      <c:pt idx="293">
                        <c:v>4.7509123173672181E-2</c:v>
                      </c:pt>
                      <c:pt idx="294">
                        <c:v>4.5789990711005077E-2</c:v>
                      </c:pt>
                      <c:pt idx="295">
                        <c:v>4.8379376475742759E-2</c:v>
                      </c:pt>
                      <c:pt idx="296">
                        <c:v>4.9420545143651143E-2</c:v>
                      </c:pt>
                      <c:pt idx="297">
                        <c:v>5.5721838311996397E-2</c:v>
                      </c:pt>
                      <c:pt idx="298">
                        <c:v>5.751878791078989E-2</c:v>
                      </c:pt>
                      <c:pt idx="299">
                        <c:v>5.7378260995127058E-2</c:v>
                      </c:pt>
                      <c:pt idx="300">
                        <c:v>6.5060231628651113E-2</c:v>
                      </c:pt>
                      <c:pt idx="301">
                        <c:v>6.5651771229809086E-2</c:v>
                      </c:pt>
                      <c:pt idx="302">
                        <c:v>7.1639932901500739E-2</c:v>
                      </c:pt>
                      <c:pt idx="303">
                        <c:v>7.1902460956052683E-2</c:v>
                      </c:pt>
                      <c:pt idx="304">
                        <c:v>7.910416032287261E-2</c:v>
                      </c:pt>
                      <c:pt idx="305">
                        <c:v>8.2177834137644679E-2</c:v>
                      </c:pt>
                      <c:pt idx="306">
                        <c:v>8.4466420618536125E-2</c:v>
                      </c:pt>
                      <c:pt idx="307">
                        <c:v>8.5983650676934406E-2</c:v>
                      </c:pt>
                      <c:pt idx="308">
                        <c:v>8.5184653316507264E-2</c:v>
                      </c:pt>
                      <c:pt idx="309">
                        <c:v>8.5227089927248798E-2</c:v>
                      </c:pt>
                      <c:pt idx="310">
                        <c:v>8.7306293094315826E-2</c:v>
                      </c:pt>
                      <c:pt idx="311">
                        <c:v>8.7128121960622501E-2</c:v>
                      </c:pt>
                      <c:pt idx="312">
                        <c:v>8.663558180408204E-2</c:v>
                      </c:pt>
                      <c:pt idx="313">
                        <c:v>8.9844582415424964E-2</c:v>
                      </c:pt>
                      <c:pt idx="314">
                        <c:v>9.1174252617537241E-2</c:v>
                      </c:pt>
                      <c:pt idx="315">
                        <c:v>9.2533324647101373E-2</c:v>
                      </c:pt>
                      <c:pt idx="316">
                        <c:v>9.0805618199171739E-2</c:v>
                      </c:pt>
                      <c:pt idx="317">
                        <c:v>9.196651237678187E-2</c:v>
                      </c:pt>
                      <c:pt idx="318">
                        <c:v>9.5486693124097077E-2</c:v>
                      </c:pt>
                      <c:pt idx="319">
                        <c:v>0.1022739159578798</c:v>
                      </c:pt>
                      <c:pt idx="320">
                        <c:v>0.1016452870339586</c:v>
                      </c:pt>
                      <c:pt idx="321">
                        <c:v>0.1037117766766783</c:v>
                      </c:pt>
                      <c:pt idx="322">
                        <c:v>0.1055337255974506</c:v>
                      </c:pt>
                      <c:pt idx="323">
                        <c:v>0.1103722050613479</c:v>
                      </c:pt>
                      <c:pt idx="324">
                        <c:v>0.11363297580179781</c:v>
                      </c:pt>
                      <c:pt idx="325">
                        <c:v>0.11412623071543131</c:v>
                      </c:pt>
                      <c:pt idx="326">
                        <c:v>0.1166958320133043</c:v>
                      </c:pt>
                      <c:pt idx="327">
                        <c:v>0.11768518628258801</c:v>
                      </c:pt>
                      <c:pt idx="328">
                        <c:v>0.115057810863714</c:v>
                      </c:pt>
                      <c:pt idx="329">
                        <c:v>0.11619539077842719</c:v>
                      </c:pt>
                      <c:pt idx="330">
                        <c:v>0.1210447993139962</c:v>
                      </c:pt>
                      <c:pt idx="331">
                        <c:v>0.12121923001424841</c:v>
                      </c:pt>
                      <c:pt idx="332">
                        <c:v>0.1233924144370379</c:v>
                      </c:pt>
                      <c:pt idx="333">
                        <c:v>0.1228325250900188</c:v>
                      </c:pt>
                      <c:pt idx="334">
                        <c:v>0.12148338221947159</c:v>
                      </c:pt>
                      <c:pt idx="335">
                        <c:v>0.12197068911911629</c:v>
                      </c:pt>
                      <c:pt idx="336">
                        <c:v>0.12483518481516991</c:v>
                      </c:pt>
                      <c:pt idx="337">
                        <c:v>0.1234221461250347</c:v>
                      </c:pt>
                      <c:pt idx="338">
                        <c:v>1</c:v>
                      </c:pt>
                      <c:pt idx="339">
                        <c:v>2.9326570783646248E-2</c:v>
                      </c:pt>
                      <c:pt idx="340">
                        <c:v>3.4499452108247328E-2</c:v>
                      </c:pt>
                      <c:pt idx="341">
                        <c:v>4.0005475809567689E-2</c:v>
                      </c:pt>
                      <c:pt idx="342">
                        <c:v>4.1608038630684942E-2</c:v>
                      </c:pt>
                      <c:pt idx="343">
                        <c:v>1</c:v>
                      </c:pt>
                      <c:pt idx="344">
                        <c:v>2.424750151967859E-2</c:v>
                      </c:pt>
                      <c:pt idx="345">
                        <c:v>3.195535200982532E-2</c:v>
                      </c:pt>
                      <c:pt idx="346">
                        <c:v>4.1083204862885143E-2</c:v>
                      </c:pt>
                      <c:pt idx="347">
                        <c:v>4.0645831174495203E-2</c:v>
                      </c:pt>
                      <c:pt idx="348">
                        <c:v>4.1045962199182107E-2</c:v>
                      </c:pt>
                      <c:pt idx="349">
                        <c:v>4.7851183074495457E-2</c:v>
                      </c:pt>
                      <c:pt idx="350">
                        <c:v>4.9392798201403937E-2</c:v>
                      </c:pt>
                      <c:pt idx="351">
                        <c:v>5.129783449010171E-2</c:v>
                      </c:pt>
                      <c:pt idx="352">
                        <c:v>5.2661051131022221E-2</c:v>
                      </c:pt>
                      <c:pt idx="353">
                        <c:v>4.881100202029813E-2</c:v>
                      </c:pt>
                      <c:pt idx="354">
                        <c:v>5.9924442262459257E-2</c:v>
                      </c:pt>
                      <c:pt idx="355">
                        <c:v>6.5049724445928811E-2</c:v>
                      </c:pt>
                      <c:pt idx="356">
                        <c:v>6.9395902581364924E-2</c:v>
                      </c:pt>
                      <c:pt idx="357">
                        <c:v>7.3806973542497781E-2</c:v>
                      </c:pt>
                      <c:pt idx="358">
                        <c:v>7.776526645019062E-2</c:v>
                      </c:pt>
                      <c:pt idx="359">
                        <c:v>8.0532828154469688E-2</c:v>
                      </c:pt>
                      <c:pt idx="360">
                        <c:v>8.2295468985214934E-2</c:v>
                      </c:pt>
                      <c:pt idx="361">
                        <c:v>8.0635268200058979E-2</c:v>
                      </c:pt>
                      <c:pt idx="362">
                        <c:v>8.4109063180659444E-2</c:v>
                      </c:pt>
                      <c:pt idx="363">
                        <c:v>8.6104511163083458E-2</c:v>
                      </c:pt>
                      <c:pt idx="364">
                        <c:v>8.5991998527447266E-2</c:v>
                      </c:pt>
                      <c:pt idx="365">
                        <c:v>8.621433580574675E-2</c:v>
                      </c:pt>
                      <c:pt idx="366">
                        <c:v>8.9752119291166402E-2</c:v>
                      </c:pt>
                      <c:pt idx="367">
                        <c:v>8.9264930768587866E-2</c:v>
                      </c:pt>
                      <c:pt idx="368">
                        <c:v>9.0072172397283962E-2</c:v>
                      </c:pt>
                      <c:pt idx="369">
                        <c:v>9.2243639346206885E-2</c:v>
                      </c:pt>
                      <c:pt idx="370">
                        <c:v>9.2009868496999797E-2</c:v>
                      </c:pt>
                      <c:pt idx="371">
                        <c:v>9.4472394917221397E-2</c:v>
                      </c:pt>
                      <c:pt idx="372">
                        <c:v>9.5230294669032461E-2</c:v>
                      </c:pt>
                      <c:pt idx="373">
                        <c:v>9.7793280961553847E-2</c:v>
                      </c:pt>
                      <c:pt idx="374">
                        <c:v>9.7780247720005098E-2</c:v>
                      </c:pt>
                      <c:pt idx="375">
                        <c:v>9.6570716109835739E-2</c:v>
                      </c:pt>
                      <c:pt idx="376">
                        <c:v>9.9336006795498699E-2</c:v>
                      </c:pt>
                      <c:pt idx="377">
                        <c:v>9.8720422096618549E-2</c:v>
                      </c:pt>
                      <c:pt idx="378">
                        <c:v>9.9688697662211709E-2</c:v>
                      </c:pt>
                      <c:pt idx="379">
                        <c:v>9.9250460907746349E-2</c:v>
                      </c:pt>
                      <c:pt idx="380">
                        <c:v>9.6709435142421307E-2</c:v>
                      </c:pt>
                      <c:pt idx="381">
                        <c:v>9.6395800927672345E-2</c:v>
                      </c:pt>
                      <c:pt idx="382">
                        <c:v>9.679626729839326E-2</c:v>
                      </c:pt>
                      <c:pt idx="383">
                        <c:v>9.8303496710009236E-2</c:v>
                      </c:pt>
                      <c:pt idx="384">
                        <c:v>0.1002608887235934</c:v>
                      </c:pt>
                      <c:pt idx="385">
                        <c:v>0.10688633280176529</c:v>
                      </c:pt>
                      <c:pt idx="386">
                        <c:v>0.10544621484760459</c:v>
                      </c:pt>
                      <c:pt idx="387">
                        <c:v>0.1055210546534622</c:v>
                      </c:pt>
                      <c:pt idx="388">
                        <c:v>0.1004547437020387</c:v>
                      </c:pt>
                      <c:pt idx="389">
                        <c:v>0.1000760988644824</c:v>
                      </c:pt>
                      <c:pt idx="390">
                        <c:v>9.629864293702492E-2</c:v>
                      </c:pt>
                      <c:pt idx="391">
                        <c:v>9.3459885264362427E-2</c:v>
                      </c:pt>
                      <c:pt idx="392">
                        <c:v>9.4190904465548106E-2</c:v>
                      </c:pt>
                      <c:pt idx="393">
                        <c:v>9.3738445586726282E-2</c:v>
                      </c:pt>
                      <c:pt idx="394">
                        <c:v>9.1683396148126831E-2</c:v>
                      </c:pt>
                      <c:pt idx="395">
                        <c:v>9.2129217499314658E-2</c:v>
                      </c:pt>
                      <c:pt idx="396">
                        <c:v>8.8681977561082162E-2</c:v>
                      </c:pt>
                      <c:pt idx="397">
                        <c:v>9.0419865047754983E-2</c:v>
                      </c:pt>
                      <c:pt idx="398">
                        <c:v>8.7160065323925326E-2</c:v>
                      </c:pt>
                      <c:pt idx="399">
                        <c:v>8.4706895831074533E-2</c:v>
                      </c:pt>
                      <c:pt idx="400">
                        <c:v>8.8915911503275866E-2</c:v>
                      </c:pt>
                      <c:pt idx="401">
                        <c:v>8.9469812895236131E-2</c:v>
                      </c:pt>
                      <c:pt idx="402">
                        <c:v>9.3755003848717725E-2</c:v>
                      </c:pt>
                      <c:pt idx="403">
                        <c:v>9.8025144797205088E-2</c:v>
                      </c:pt>
                      <c:pt idx="404">
                        <c:v>0.1025397342347116</c:v>
                      </c:pt>
                      <c:pt idx="405">
                        <c:v>0.1022180754870254</c:v>
                      </c:pt>
                      <c:pt idx="406">
                        <c:v>0.10246659214129521</c:v>
                      </c:pt>
                      <c:pt idx="407">
                        <c:v>0.10119091920970751</c:v>
                      </c:pt>
                      <c:pt idx="408">
                        <c:v>0.1014510229617302</c:v>
                      </c:pt>
                      <c:pt idx="409">
                        <c:v>0.1025725963635334</c:v>
                      </c:pt>
                      <c:pt idx="410">
                        <c:v>9.9803080898344623E-2</c:v>
                      </c:pt>
                      <c:pt idx="411">
                        <c:v>9.9639810052900485E-2</c:v>
                      </c:pt>
                      <c:pt idx="412">
                        <c:v>0.1058491072016749</c:v>
                      </c:pt>
                      <c:pt idx="413">
                        <c:v>0.1038585017299084</c:v>
                      </c:pt>
                      <c:pt idx="414">
                        <c:v>0.1029078258988023</c:v>
                      </c:pt>
                      <c:pt idx="415">
                        <c:v>0.1039897498720594</c:v>
                      </c:pt>
                      <c:pt idx="416">
                        <c:v>0.10292048618404211</c:v>
                      </c:pt>
                      <c:pt idx="417">
                        <c:v>0.10366876418117139</c:v>
                      </c:pt>
                      <c:pt idx="418">
                        <c:v>0.10102205149452009</c:v>
                      </c:pt>
                      <c:pt idx="419">
                        <c:v>9.8676404468665546E-2</c:v>
                      </c:pt>
                      <c:pt idx="420">
                        <c:v>0.10023292235584851</c:v>
                      </c:pt>
                      <c:pt idx="421">
                        <c:v>9.5101651233005388E-2</c:v>
                      </c:pt>
                      <c:pt idx="422">
                        <c:v>9.2741279200694388E-2</c:v>
                      </c:pt>
                      <c:pt idx="423">
                        <c:v>9.0415425724048565E-2</c:v>
                      </c:pt>
                      <c:pt idx="424">
                        <c:v>9.0313080001259163E-2</c:v>
                      </c:pt>
                      <c:pt idx="425">
                        <c:v>9.4364525917059613E-2</c:v>
                      </c:pt>
                      <c:pt idx="426">
                        <c:v>9.439127516780968E-2</c:v>
                      </c:pt>
                      <c:pt idx="427">
                        <c:v>9.6197454626283666E-2</c:v>
                      </c:pt>
                      <c:pt idx="428">
                        <c:v>9.6105766413026344E-2</c:v>
                      </c:pt>
                      <c:pt idx="429">
                        <c:v>9.7741725016325318E-2</c:v>
                      </c:pt>
                      <c:pt idx="430">
                        <c:v>9.5297538934214762E-2</c:v>
                      </c:pt>
                      <c:pt idx="431">
                        <c:v>9.5011959129496101E-2</c:v>
                      </c:pt>
                      <c:pt idx="432">
                        <c:v>9.9327399013480103E-2</c:v>
                      </c:pt>
                      <c:pt idx="433">
                        <c:v>9.4822493750161801E-2</c:v>
                      </c:pt>
                      <c:pt idx="434">
                        <c:v>9.483108599640834E-2</c:v>
                      </c:pt>
                      <c:pt idx="435">
                        <c:v>9.3582315321808426E-2</c:v>
                      </c:pt>
                      <c:pt idx="436">
                        <c:v>9.7489767892782145E-2</c:v>
                      </c:pt>
                      <c:pt idx="437">
                        <c:v>9.9701208264252855E-2</c:v>
                      </c:pt>
                      <c:pt idx="438">
                        <c:v>9.4294410829124542E-2</c:v>
                      </c:pt>
                      <c:pt idx="439">
                        <c:v>9.4135089729445995E-2</c:v>
                      </c:pt>
                      <c:pt idx="440">
                        <c:v>9.3052454997592182E-2</c:v>
                      </c:pt>
                      <c:pt idx="441">
                        <c:v>9.6082983243983872E-2</c:v>
                      </c:pt>
                      <c:pt idx="442">
                        <c:v>9.8578375193281317E-2</c:v>
                      </c:pt>
                      <c:pt idx="443">
                        <c:v>9.9375909217945396E-2</c:v>
                      </c:pt>
                      <c:pt idx="444">
                        <c:v>9.799957474481262E-2</c:v>
                      </c:pt>
                      <c:pt idx="445">
                        <c:v>9.5220813786580261E-2</c:v>
                      </c:pt>
                      <c:pt idx="446">
                        <c:v>9.4120858995267745E-2</c:v>
                      </c:pt>
                      <c:pt idx="447">
                        <c:v>9.2424933194746622E-2</c:v>
                      </c:pt>
                      <c:pt idx="448">
                        <c:v>9.1128865121869407E-2</c:v>
                      </c:pt>
                      <c:pt idx="449">
                        <c:v>9.1990789187820235E-2</c:v>
                      </c:pt>
                      <c:pt idx="450">
                        <c:v>9.0439493573535354E-2</c:v>
                      </c:pt>
                      <c:pt idx="451">
                        <c:v>8.9667501399429972E-2</c:v>
                      </c:pt>
                      <c:pt idx="452">
                        <c:v>8.8951136854403187E-2</c:v>
                      </c:pt>
                      <c:pt idx="453">
                        <c:v>8.8475349467133202E-2</c:v>
                      </c:pt>
                      <c:pt idx="454">
                        <c:v>9.0102876863730211E-2</c:v>
                      </c:pt>
                      <c:pt idx="455">
                        <c:v>1</c:v>
                      </c:pt>
                      <c:pt idx="456">
                        <c:v>1.5095421751906179E-2</c:v>
                      </c:pt>
                      <c:pt idx="457">
                        <c:v>2.258470040087527E-2</c:v>
                      </c:pt>
                      <c:pt idx="458">
                        <c:v>2.5507583882849849E-2</c:v>
                      </c:pt>
                      <c:pt idx="459">
                        <c:v>3.4471062955899183E-2</c:v>
                      </c:pt>
                      <c:pt idx="460">
                        <c:v>3.369493466607662E-2</c:v>
                      </c:pt>
                      <c:pt idx="461">
                        <c:v>4.4259785430551347E-2</c:v>
                      </c:pt>
                      <c:pt idx="462">
                        <c:v>4.3687881170750648E-2</c:v>
                      </c:pt>
                      <c:pt idx="463">
                        <c:v>4.8060170021057648E-2</c:v>
                      </c:pt>
                      <c:pt idx="464">
                        <c:v>4.78695754232462E-2</c:v>
                      </c:pt>
                      <c:pt idx="465">
                        <c:v>5.1994720506439163E-2</c:v>
                      </c:pt>
                      <c:pt idx="466">
                        <c:v>5.2045584421627551E-2</c:v>
                      </c:pt>
                      <c:pt idx="467">
                        <c:v>5.1374086865174418E-2</c:v>
                      </c:pt>
                      <c:pt idx="468">
                        <c:v>6.0329507014090213E-2</c:v>
                      </c:pt>
                      <c:pt idx="469">
                        <c:v>6.5732057692716311E-2</c:v>
                      </c:pt>
                      <c:pt idx="470">
                        <c:v>7.3786127871299165E-2</c:v>
                      </c:pt>
                      <c:pt idx="471">
                        <c:v>8.7434771522065621E-2</c:v>
                      </c:pt>
                      <c:pt idx="472">
                        <c:v>0.1000605817388838</c:v>
                      </c:pt>
                      <c:pt idx="473">
                        <c:v>0.11127444825055841</c:v>
                      </c:pt>
                      <c:pt idx="474">
                        <c:v>0.12074718276390629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424-494D-8517-C3CEFB2747D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ASSETS!$M$18</c15:sqref>
                        </c15:formulaRef>
                      </c:ext>
                    </c:extLst>
                    <c:strCache>
                      <c:ptCount val="1"/>
                      <c:pt idx="0">
                        <c:v> Drift threshold </c:v>
                      </c:pt>
                    </c:strCache>
                  </c:strRef>
                </c:tx>
                <c:spPr>
                  <a:ln w="38100" cap="rnd">
                    <a:solidFill>
                      <a:schemeClr val="accent5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ASSETS!$C$19:$C$493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7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ASSETS!$M$19:$M$493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475"/>
                      <c:pt idx="0">
                        <c:v>0.15</c:v>
                      </c:pt>
                      <c:pt idx="1">
                        <c:v>0.15</c:v>
                      </c:pt>
                      <c:pt idx="2">
                        <c:v>0.15</c:v>
                      </c:pt>
                      <c:pt idx="3">
                        <c:v>0.15</c:v>
                      </c:pt>
                      <c:pt idx="4">
                        <c:v>0.15</c:v>
                      </c:pt>
                      <c:pt idx="5">
                        <c:v>0.15</c:v>
                      </c:pt>
                      <c:pt idx="6">
                        <c:v>0.15</c:v>
                      </c:pt>
                      <c:pt idx="7">
                        <c:v>0.15</c:v>
                      </c:pt>
                      <c:pt idx="8">
                        <c:v>0.15</c:v>
                      </c:pt>
                      <c:pt idx="9">
                        <c:v>0.15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0.15</c:v>
                      </c:pt>
                      <c:pt idx="13">
                        <c:v>0.15</c:v>
                      </c:pt>
                      <c:pt idx="14">
                        <c:v>0.15</c:v>
                      </c:pt>
                      <c:pt idx="15">
                        <c:v>0.15</c:v>
                      </c:pt>
                      <c:pt idx="16">
                        <c:v>0.15</c:v>
                      </c:pt>
                      <c:pt idx="17">
                        <c:v>0.15</c:v>
                      </c:pt>
                      <c:pt idx="18">
                        <c:v>0.15</c:v>
                      </c:pt>
                      <c:pt idx="19">
                        <c:v>0.15</c:v>
                      </c:pt>
                      <c:pt idx="20">
                        <c:v>0.15</c:v>
                      </c:pt>
                      <c:pt idx="21">
                        <c:v>0.15</c:v>
                      </c:pt>
                      <c:pt idx="22">
                        <c:v>0.15</c:v>
                      </c:pt>
                      <c:pt idx="23">
                        <c:v>0.15</c:v>
                      </c:pt>
                      <c:pt idx="24">
                        <c:v>0.15</c:v>
                      </c:pt>
                      <c:pt idx="25">
                        <c:v>0.15</c:v>
                      </c:pt>
                      <c:pt idx="26">
                        <c:v>0.15</c:v>
                      </c:pt>
                      <c:pt idx="27">
                        <c:v>0.15</c:v>
                      </c:pt>
                      <c:pt idx="28">
                        <c:v>0.15</c:v>
                      </c:pt>
                      <c:pt idx="29">
                        <c:v>0.15</c:v>
                      </c:pt>
                      <c:pt idx="30">
                        <c:v>0.15</c:v>
                      </c:pt>
                      <c:pt idx="31">
                        <c:v>0.15</c:v>
                      </c:pt>
                      <c:pt idx="32">
                        <c:v>0.15</c:v>
                      </c:pt>
                      <c:pt idx="33">
                        <c:v>0.15</c:v>
                      </c:pt>
                      <c:pt idx="34">
                        <c:v>0.15</c:v>
                      </c:pt>
                      <c:pt idx="35">
                        <c:v>0.15</c:v>
                      </c:pt>
                      <c:pt idx="36">
                        <c:v>0.15</c:v>
                      </c:pt>
                      <c:pt idx="37">
                        <c:v>0.15</c:v>
                      </c:pt>
                      <c:pt idx="38">
                        <c:v>0.15</c:v>
                      </c:pt>
                      <c:pt idx="39">
                        <c:v>0.15</c:v>
                      </c:pt>
                      <c:pt idx="40">
                        <c:v>0.15</c:v>
                      </c:pt>
                      <c:pt idx="41">
                        <c:v>0.15</c:v>
                      </c:pt>
                      <c:pt idx="42">
                        <c:v>0.15</c:v>
                      </c:pt>
                      <c:pt idx="43">
                        <c:v>0.15</c:v>
                      </c:pt>
                      <c:pt idx="44">
                        <c:v>0.15</c:v>
                      </c:pt>
                      <c:pt idx="45">
                        <c:v>0.15</c:v>
                      </c:pt>
                      <c:pt idx="46">
                        <c:v>0.15</c:v>
                      </c:pt>
                      <c:pt idx="47">
                        <c:v>0.15</c:v>
                      </c:pt>
                      <c:pt idx="48">
                        <c:v>0.15</c:v>
                      </c:pt>
                      <c:pt idx="49">
                        <c:v>0.15</c:v>
                      </c:pt>
                      <c:pt idx="50">
                        <c:v>0.15</c:v>
                      </c:pt>
                      <c:pt idx="51">
                        <c:v>0.15</c:v>
                      </c:pt>
                      <c:pt idx="52">
                        <c:v>0.15</c:v>
                      </c:pt>
                      <c:pt idx="53">
                        <c:v>0.15</c:v>
                      </c:pt>
                      <c:pt idx="54">
                        <c:v>0.15</c:v>
                      </c:pt>
                      <c:pt idx="55">
                        <c:v>0.15</c:v>
                      </c:pt>
                      <c:pt idx="56">
                        <c:v>0.15</c:v>
                      </c:pt>
                      <c:pt idx="57">
                        <c:v>0.15</c:v>
                      </c:pt>
                      <c:pt idx="58">
                        <c:v>0.15</c:v>
                      </c:pt>
                      <c:pt idx="59">
                        <c:v>0.15</c:v>
                      </c:pt>
                      <c:pt idx="60">
                        <c:v>0.15</c:v>
                      </c:pt>
                      <c:pt idx="61">
                        <c:v>0.15</c:v>
                      </c:pt>
                      <c:pt idx="62">
                        <c:v>0.15</c:v>
                      </c:pt>
                      <c:pt idx="63">
                        <c:v>0.15</c:v>
                      </c:pt>
                      <c:pt idx="64">
                        <c:v>0.15</c:v>
                      </c:pt>
                      <c:pt idx="65">
                        <c:v>0.15</c:v>
                      </c:pt>
                      <c:pt idx="66">
                        <c:v>0.15</c:v>
                      </c:pt>
                      <c:pt idx="67">
                        <c:v>0.15</c:v>
                      </c:pt>
                      <c:pt idx="68">
                        <c:v>0.15</c:v>
                      </c:pt>
                      <c:pt idx="69">
                        <c:v>0.15</c:v>
                      </c:pt>
                      <c:pt idx="70">
                        <c:v>0.15</c:v>
                      </c:pt>
                      <c:pt idx="71">
                        <c:v>0.15</c:v>
                      </c:pt>
                      <c:pt idx="72">
                        <c:v>0.15</c:v>
                      </c:pt>
                      <c:pt idx="73">
                        <c:v>0.15</c:v>
                      </c:pt>
                      <c:pt idx="74">
                        <c:v>0.15</c:v>
                      </c:pt>
                      <c:pt idx="75">
                        <c:v>0.15</c:v>
                      </c:pt>
                      <c:pt idx="76">
                        <c:v>0.15</c:v>
                      </c:pt>
                      <c:pt idx="77">
                        <c:v>0.15</c:v>
                      </c:pt>
                      <c:pt idx="78">
                        <c:v>0.15</c:v>
                      </c:pt>
                      <c:pt idx="79">
                        <c:v>0.15</c:v>
                      </c:pt>
                      <c:pt idx="80">
                        <c:v>0.15</c:v>
                      </c:pt>
                      <c:pt idx="81">
                        <c:v>0.15</c:v>
                      </c:pt>
                      <c:pt idx="82">
                        <c:v>0.15</c:v>
                      </c:pt>
                      <c:pt idx="83">
                        <c:v>0.15</c:v>
                      </c:pt>
                      <c:pt idx="84">
                        <c:v>0.15</c:v>
                      </c:pt>
                      <c:pt idx="85">
                        <c:v>0.15</c:v>
                      </c:pt>
                      <c:pt idx="86">
                        <c:v>0.15</c:v>
                      </c:pt>
                      <c:pt idx="87">
                        <c:v>0.15</c:v>
                      </c:pt>
                      <c:pt idx="88">
                        <c:v>0.15</c:v>
                      </c:pt>
                      <c:pt idx="89">
                        <c:v>0.15</c:v>
                      </c:pt>
                      <c:pt idx="90">
                        <c:v>0.15</c:v>
                      </c:pt>
                      <c:pt idx="91">
                        <c:v>0.15</c:v>
                      </c:pt>
                      <c:pt idx="92">
                        <c:v>0.15</c:v>
                      </c:pt>
                      <c:pt idx="93">
                        <c:v>0.15</c:v>
                      </c:pt>
                      <c:pt idx="94">
                        <c:v>0.15</c:v>
                      </c:pt>
                      <c:pt idx="95">
                        <c:v>0.15</c:v>
                      </c:pt>
                      <c:pt idx="96">
                        <c:v>0.15</c:v>
                      </c:pt>
                      <c:pt idx="97">
                        <c:v>0.15</c:v>
                      </c:pt>
                      <c:pt idx="98">
                        <c:v>0.15</c:v>
                      </c:pt>
                      <c:pt idx="99">
                        <c:v>0.15</c:v>
                      </c:pt>
                      <c:pt idx="100">
                        <c:v>0.15</c:v>
                      </c:pt>
                      <c:pt idx="101">
                        <c:v>0.15</c:v>
                      </c:pt>
                      <c:pt idx="102">
                        <c:v>0.15</c:v>
                      </c:pt>
                      <c:pt idx="103">
                        <c:v>0.15</c:v>
                      </c:pt>
                      <c:pt idx="104">
                        <c:v>0.15</c:v>
                      </c:pt>
                      <c:pt idx="105">
                        <c:v>0.15</c:v>
                      </c:pt>
                      <c:pt idx="106">
                        <c:v>0.15</c:v>
                      </c:pt>
                      <c:pt idx="107">
                        <c:v>0.15</c:v>
                      </c:pt>
                      <c:pt idx="108">
                        <c:v>0.15</c:v>
                      </c:pt>
                      <c:pt idx="109">
                        <c:v>0.15</c:v>
                      </c:pt>
                      <c:pt idx="110">
                        <c:v>0.15</c:v>
                      </c:pt>
                      <c:pt idx="111">
                        <c:v>0.15</c:v>
                      </c:pt>
                      <c:pt idx="112">
                        <c:v>0.15</c:v>
                      </c:pt>
                      <c:pt idx="113">
                        <c:v>0.15</c:v>
                      </c:pt>
                      <c:pt idx="114">
                        <c:v>0.15</c:v>
                      </c:pt>
                      <c:pt idx="115">
                        <c:v>0.15</c:v>
                      </c:pt>
                      <c:pt idx="116">
                        <c:v>0.15</c:v>
                      </c:pt>
                      <c:pt idx="117">
                        <c:v>0.15</c:v>
                      </c:pt>
                      <c:pt idx="118">
                        <c:v>0.15</c:v>
                      </c:pt>
                      <c:pt idx="119">
                        <c:v>0.15</c:v>
                      </c:pt>
                      <c:pt idx="120">
                        <c:v>0.15</c:v>
                      </c:pt>
                      <c:pt idx="121">
                        <c:v>0.15</c:v>
                      </c:pt>
                      <c:pt idx="122">
                        <c:v>0.15</c:v>
                      </c:pt>
                      <c:pt idx="123">
                        <c:v>0.15</c:v>
                      </c:pt>
                      <c:pt idx="124">
                        <c:v>0.15</c:v>
                      </c:pt>
                      <c:pt idx="125">
                        <c:v>0.15</c:v>
                      </c:pt>
                      <c:pt idx="126">
                        <c:v>0.15</c:v>
                      </c:pt>
                      <c:pt idx="127">
                        <c:v>0.15</c:v>
                      </c:pt>
                      <c:pt idx="128">
                        <c:v>0.15</c:v>
                      </c:pt>
                      <c:pt idx="129">
                        <c:v>0.15</c:v>
                      </c:pt>
                      <c:pt idx="130">
                        <c:v>0.15</c:v>
                      </c:pt>
                      <c:pt idx="131">
                        <c:v>0.15</c:v>
                      </c:pt>
                      <c:pt idx="132">
                        <c:v>0.15</c:v>
                      </c:pt>
                      <c:pt idx="133">
                        <c:v>0.15</c:v>
                      </c:pt>
                      <c:pt idx="134">
                        <c:v>0.15</c:v>
                      </c:pt>
                      <c:pt idx="135">
                        <c:v>0.15</c:v>
                      </c:pt>
                      <c:pt idx="136">
                        <c:v>0.15</c:v>
                      </c:pt>
                      <c:pt idx="137">
                        <c:v>0.15</c:v>
                      </c:pt>
                      <c:pt idx="138">
                        <c:v>0.15</c:v>
                      </c:pt>
                      <c:pt idx="139">
                        <c:v>0.15</c:v>
                      </c:pt>
                      <c:pt idx="140">
                        <c:v>0.15</c:v>
                      </c:pt>
                      <c:pt idx="141">
                        <c:v>0.15</c:v>
                      </c:pt>
                      <c:pt idx="142">
                        <c:v>0.15</c:v>
                      </c:pt>
                      <c:pt idx="143">
                        <c:v>0.15</c:v>
                      </c:pt>
                      <c:pt idx="144">
                        <c:v>0.15</c:v>
                      </c:pt>
                      <c:pt idx="145">
                        <c:v>0.15</c:v>
                      </c:pt>
                      <c:pt idx="146">
                        <c:v>0.15</c:v>
                      </c:pt>
                      <c:pt idx="147">
                        <c:v>0.15</c:v>
                      </c:pt>
                      <c:pt idx="148">
                        <c:v>0.15</c:v>
                      </c:pt>
                      <c:pt idx="149">
                        <c:v>0.15</c:v>
                      </c:pt>
                      <c:pt idx="150">
                        <c:v>0.15</c:v>
                      </c:pt>
                      <c:pt idx="151">
                        <c:v>0.15</c:v>
                      </c:pt>
                      <c:pt idx="152">
                        <c:v>0.15</c:v>
                      </c:pt>
                      <c:pt idx="153">
                        <c:v>0.15</c:v>
                      </c:pt>
                      <c:pt idx="154">
                        <c:v>0.15</c:v>
                      </c:pt>
                      <c:pt idx="155">
                        <c:v>0.15</c:v>
                      </c:pt>
                      <c:pt idx="156">
                        <c:v>0.15</c:v>
                      </c:pt>
                      <c:pt idx="157">
                        <c:v>0.15</c:v>
                      </c:pt>
                      <c:pt idx="158">
                        <c:v>0.15</c:v>
                      </c:pt>
                      <c:pt idx="159">
                        <c:v>0.15</c:v>
                      </c:pt>
                      <c:pt idx="160">
                        <c:v>0.15</c:v>
                      </c:pt>
                      <c:pt idx="161">
                        <c:v>0.15</c:v>
                      </c:pt>
                      <c:pt idx="162">
                        <c:v>0.15</c:v>
                      </c:pt>
                      <c:pt idx="163">
                        <c:v>0.15</c:v>
                      </c:pt>
                      <c:pt idx="164">
                        <c:v>0.15</c:v>
                      </c:pt>
                      <c:pt idx="165">
                        <c:v>0.15</c:v>
                      </c:pt>
                      <c:pt idx="166">
                        <c:v>0.15</c:v>
                      </c:pt>
                      <c:pt idx="167">
                        <c:v>0.15</c:v>
                      </c:pt>
                      <c:pt idx="168">
                        <c:v>0.15</c:v>
                      </c:pt>
                      <c:pt idx="169">
                        <c:v>0.15</c:v>
                      </c:pt>
                      <c:pt idx="170">
                        <c:v>0.15</c:v>
                      </c:pt>
                      <c:pt idx="171">
                        <c:v>0.15</c:v>
                      </c:pt>
                      <c:pt idx="172">
                        <c:v>0.15</c:v>
                      </c:pt>
                      <c:pt idx="173">
                        <c:v>0.15</c:v>
                      </c:pt>
                      <c:pt idx="174">
                        <c:v>0.15</c:v>
                      </c:pt>
                      <c:pt idx="175">
                        <c:v>0.15</c:v>
                      </c:pt>
                      <c:pt idx="176">
                        <c:v>0.15</c:v>
                      </c:pt>
                      <c:pt idx="177">
                        <c:v>0.15</c:v>
                      </c:pt>
                      <c:pt idx="178">
                        <c:v>0.15</c:v>
                      </c:pt>
                      <c:pt idx="179">
                        <c:v>0.15</c:v>
                      </c:pt>
                      <c:pt idx="180">
                        <c:v>0.15</c:v>
                      </c:pt>
                      <c:pt idx="181">
                        <c:v>0.15</c:v>
                      </c:pt>
                      <c:pt idx="182">
                        <c:v>0.15</c:v>
                      </c:pt>
                      <c:pt idx="183">
                        <c:v>0.15</c:v>
                      </c:pt>
                      <c:pt idx="184">
                        <c:v>0.15</c:v>
                      </c:pt>
                      <c:pt idx="185">
                        <c:v>0.15</c:v>
                      </c:pt>
                      <c:pt idx="186">
                        <c:v>0.15</c:v>
                      </c:pt>
                      <c:pt idx="187">
                        <c:v>0.15</c:v>
                      </c:pt>
                      <c:pt idx="188">
                        <c:v>0.15</c:v>
                      </c:pt>
                      <c:pt idx="189">
                        <c:v>0.15</c:v>
                      </c:pt>
                      <c:pt idx="190">
                        <c:v>0.15</c:v>
                      </c:pt>
                      <c:pt idx="191">
                        <c:v>0.15</c:v>
                      </c:pt>
                      <c:pt idx="192">
                        <c:v>0.15</c:v>
                      </c:pt>
                      <c:pt idx="193">
                        <c:v>0.15</c:v>
                      </c:pt>
                      <c:pt idx="194">
                        <c:v>0.15</c:v>
                      </c:pt>
                      <c:pt idx="195">
                        <c:v>0.15</c:v>
                      </c:pt>
                      <c:pt idx="196">
                        <c:v>0.15</c:v>
                      </c:pt>
                      <c:pt idx="197">
                        <c:v>0.15</c:v>
                      </c:pt>
                      <c:pt idx="198">
                        <c:v>0.15</c:v>
                      </c:pt>
                      <c:pt idx="199">
                        <c:v>0.15</c:v>
                      </c:pt>
                      <c:pt idx="200">
                        <c:v>0.15</c:v>
                      </c:pt>
                      <c:pt idx="201">
                        <c:v>0.15</c:v>
                      </c:pt>
                      <c:pt idx="202">
                        <c:v>0.15</c:v>
                      </c:pt>
                      <c:pt idx="203">
                        <c:v>0.15</c:v>
                      </c:pt>
                      <c:pt idx="204">
                        <c:v>0.15</c:v>
                      </c:pt>
                      <c:pt idx="205">
                        <c:v>0.15</c:v>
                      </c:pt>
                      <c:pt idx="206">
                        <c:v>0.15</c:v>
                      </c:pt>
                      <c:pt idx="207">
                        <c:v>0.15</c:v>
                      </c:pt>
                      <c:pt idx="208">
                        <c:v>0.15</c:v>
                      </c:pt>
                      <c:pt idx="209">
                        <c:v>0.15</c:v>
                      </c:pt>
                      <c:pt idx="210">
                        <c:v>0.15</c:v>
                      </c:pt>
                      <c:pt idx="211">
                        <c:v>0.15</c:v>
                      </c:pt>
                      <c:pt idx="212">
                        <c:v>0.15</c:v>
                      </c:pt>
                      <c:pt idx="213">
                        <c:v>0.15</c:v>
                      </c:pt>
                      <c:pt idx="214">
                        <c:v>0.15</c:v>
                      </c:pt>
                      <c:pt idx="215">
                        <c:v>0.15</c:v>
                      </c:pt>
                      <c:pt idx="216">
                        <c:v>0.15</c:v>
                      </c:pt>
                      <c:pt idx="217">
                        <c:v>0.15</c:v>
                      </c:pt>
                      <c:pt idx="218">
                        <c:v>0.15</c:v>
                      </c:pt>
                      <c:pt idx="219">
                        <c:v>0.15</c:v>
                      </c:pt>
                      <c:pt idx="220">
                        <c:v>0.15</c:v>
                      </c:pt>
                      <c:pt idx="221">
                        <c:v>0.15</c:v>
                      </c:pt>
                      <c:pt idx="222">
                        <c:v>0.15</c:v>
                      </c:pt>
                      <c:pt idx="223">
                        <c:v>0.15</c:v>
                      </c:pt>
                      <c:pt idx="224">
                        <c:v>0.15</c:v>
                      </c:pt>
                      <c:pt idx="225">
                        <c:v>0.15</c:v>
                      </c:pt>
                      <c:pt idx="226">
                        <c:v>0.15</c:v>
                      </c:pt>
                      <c:pt idx="227">
                        <c:v>0.15</c:v>
                      </c:pt>
                      <c:pt idx="228">
                        <c:v>0.15</c:v>
                      </c:pt>
                      <c:pt idx="229">
                        <c:v>0.15</c:v>
                      </c:pt>
                      <c:pt idx="230">
                        <c:v>0.15</c:v>
                      </c:pt>
                      <c:pt idx="231">
                        <c:v>0.15</c:v>
                      </c:pt>
                      <c:pt idx="232">
                        <c:v>0.15</c:v>
                      </c:pt>
                      <c:pt idx="233">
                        <c:v>0.15</c:v>
                      </c:pt>
                      <c:pt idx="234">
                        <c:v>0.15</c:v>
                      </c:pt>
                      <c:pt idx="235">
                        <c:v>0.15</c:v>
                      </c:pt>
                      <c:pt idx="236">
                        <c:v>0.15</c:v>
                      </c:pt>
                      <c:pt idx="237">
                        <c:v>0.15</c:v>
                      </c:pt>
                      <c:pt idx="238">
                        <c:v>0.15</c:v>
                      </c:pt>
                      <c:pt idx="239">
                        <c:v>0.15</c:v>
                      </c:pt>
                      <c:pt idx="240">
                        <c:v>0.15</c:v>
                      </c:pt>
                      <c:pt idx="241">
                        <c:v>0.15</c:v>
                      </c:pt>
                      <c:pt idx="242">
                        <c:v>0.15</c:v>
                      </c:pt>
                      <c:pt idx="243">
                        <c:v>0.15</c:v>
                      </c:pt>
                      <c:pt idx="244">
                        <c:v>0.15</c:v>
                      </c:pt>
                      <c:pt idx="245">
                        <c:v>0.15</c:v>
                      </c:pt>
                      <c:pt idx="246">
                        <c:v>0.15</c:v>
                      </c:pt>
                      <c:pt idx="247">
                        <c:v>0.15</c:v>
                      </c:pt>
                      <c:pt idx="248">
                        <c:v>0.15</c:v>
                      </c:pt>
                      <c:pt idx="249">
                        <c:v>0.15</c:v>
                      </c:pt>
                      <c:pt idx="250">
                        <c:v>0.15</c:v>
                      </c:pt>
                      <c:pt idx="251">
                        <c:v>0.15</c:v>
                      </c:pt>
                      <c:pt idx="252">
                        <c:v>0.15</c:v>
                      </c:pt>
                      <c:pt idx="253">
                        <c:v>0.15</c:v>
                      </c:pt>
                      <c:pt idx="254">
                        <c:v>0.15</c:v>
                      </c:pt>
                      <c:pt idx="255">
                        <c:v>0.15</c:v>
                      </c:pt>
                      <c:pt idx="256">
                        <c:v>0.15</c:v>
                      </c:pt>
                      <c:pt idx="257">
                        <c:v>0.15</c:v>
                      </c:pt>
                      <c:pt idx="258">
                        <c:v>0.15</c:v>
                      </c:pt>
                      <c:pt idx="259">
                        <c:v>0.15</c:v>
                      </c:pt>
                      <c:pt idx="260">
                        <c:v>0.15</c:v>
                      </c:pt>
                      <c:pt idx="261">
                        <c:v>0.15</c:v>
                      </c:pt>
                      <c:pt idx="262">
                        <c:v>0.15</c:v>
                      </c:pt>
                      <c:pt idx="263">
                        <c:v>0.15</c:v>
                      </c:pt>
                      <c:pt idx="264">
                        <c:v>0.15</c:v>
                      </c:pt>
                      <c:pt idx="265">
                        <c:v>0.15</c:v>
                      </c:pt>
                      <c:pt idx="266">
                        <c:v>0.15</c:v>
                      </c:pt>
                      <c:pt idx="267">
                        <c:v>0.15</c:v>
                      </c:pt>
                      <c:pt idx="268">
                        <c:v>0.15</c:v>
                      </c:pt>
                      <c:pt idx="269">
                        <c:v>0.15</c:v>
                      </c:pt>
                      <c:pt idx="270">
                        <c:v>0.15</c:v>
                      </c:pt>
                      <c:pt idx="271">
                        <c:v>0.15</c:v>
                      </c:pt>
                      <c:pt idx="272">
                        <c:v>0.15</c:v>
                      </c:pt>
                      <c:pt idx="273">
                        <c:v>0.15</c:v>
                      </c:pt>
                      <c:pt idx="274">
                        <c:v>0.15</c:v>
                      </c:pt>
                      <c:pt idx="275">
                        <c:v>0.15</c:v>
                      </c:pt>
                      <c:pt idx="276">
                        <c:v>0.15</c:v>
                      </c:pt>
                      <c:pt idx="277">
                        <c:v>0.15</c:v>
                      </c:pt>
                      <c:pt idx="278">
                        <c:v>0.15</c:v>
                      </c:pt>
                      <c:pt idx="279">
                        <c:v>0.15</c:v>
                      </c:pt>
                      <c:pt idx="280">
                        <c:v>0.15</c:v>
                      </c:pt>
                      <c:pt idx="281">
                        <c:v>0.15</c:v>
                      </c:pt>
                      <c:pt idx="282">
                        <c:v>0.15</c:v>
                      </c:pt>
                      <c:pt idx="283">
                        <c:v>0.15</c:v>
                      </c:pt>
                      <c:pt idx="284">
                        <c:v>0.15</c:v>
                      </c:pt>
                      <c:pt idx="285">
                        <c:v>0.15</c:v>
                      </c:pt>
                      <c:pt idx="286">
                        <c:v>0.15</c:v>
                      </c:pt>
                      <c:pt idx="287">
                        <c:v>0.15</c:v>
                      </c:pt>
                      <c:pt idx="288">
                        <c:v>0.15</c:v>
                      </c:pt>
                      <c:pt idx="289">
                        <c:v>0.15</c:v>
                      </c:pt>
                      <c:pt idx="290">
                        <c:v>0.15</c:v>
                      </c:pt>
                      <c:pt idx="291">
                        <c:v>0.15</c:v>
                      </c:pt>
                      <c:pt idx="292">
                        <c:v>0.15</c:v>
                      </c:pt>
                      <c:pt idx="293">
                        <c:v>0.15</c:v>
                      </c:pt>
                      <c:pt idx="294">
                        <c:v>0.15</c:v>
                      </c:pt>
                      <c:pt idx="295">
                        <c:v>0.15</c:v>
                      </c:pt>
                      <c:pt idx="296">
                        <c:v>0.15</c:v>
                      </c:pt>
                      <c:pt idx="297">
                        <c:v>0.15</c:v>
                      </c:pt>
                      <c:pt idx="298">
                        <c:v>0.15</c:v>
                      </c:pt>
                      <c:pt idx="299">
                        <c:v>0.15</c:v>
                      </c:pt>
                      <c:pt idx="300">
                        <c:v>0.15</c:v>
                      </c:pt>
                      <c:pt idx="301">
                        <c:v>0.15</c:v>
                      </c:pt>
                      <c:pt idx="302">
                        <c:v>0.15</c:v>
                      </c:pt>
                      <c:pt idx="303">
                        <c:v>0.15</c:v>
                      </c:pt>
                      <c:pt idx="304">
                        <c:v>0.15</c:v>
                      </c:pt>
                      <c:pt idx="305">
                        <c:v>0.15</c:v>
                      </c:pt>
                      <c:pt idx="306">
                        <c:v>0.15</c:v>
                      </c:pt>
                      <c:pt idx="307">
                        <c:v>0.15</c:v>
                      </c:pt>
                      <c:pt idx="308">
                        <c:v>0.15</c:v>
                      </c:pt>
                      <c:pt idx="309">
                        <c:v>0.15</c:v>
                      </c:pt>
                      <c:pt idx="310">
                        <c:v>0.15</c:v>
                      </c:pt>
                      <c:pt idx="311">
                        <c:v>0.15</c:v>
                      </c:pt>
                      <c:pt idx="312">
                        <c:v>0.15</c:v>
                      </c:pt>
                      <c:pt idx="313">
                        <c:v>0.15</c:v>
                      </c:pt>
                      <c:pt idx="314">
                        <c:v>0.15</c:v>
                      </c:pt>
                      <c:pt idx="315">
                        <c:v>0.15</c:v>
                      </c:pt>
                      <c:pt idx="316">
                        <c:v>0.15</c:v>
                      </c:pt>
                      <c:pt idx="317">
                        <c:v>0.15</c:v>
                      </c:pt>
                      <c:pt idx="318">
                        <c:v>0.15</c:v>
                      </c:pt>
                      <c:pt idx="319">
                        <c:v>0.15</c:v>
                      </c:pt>
                      <c:pt idx="320">
                        <c:v>0.15</c:v>
                      </c:pt>
                      <c:pt idx="321">
                        <c:v>0.15</c:v>
                      </c:pt>
                      <c:pt idx="322">
                        <c:v>0.15</c:v>
                      </c:pt>
                      <c:pt idx="323">
                        <c:v>0.15</c:v>
                      </c:pt>
                      <c:pt idx="324">
                        <c:v>0.15</c:v>
                      </c:pt>
                      <c:pt idx="325">
                        <c:v>0.15</c:v>
                      </c:pt>
                      <c:pt idx="326">
                        <c:v>0.15</c:v>
                      </c:pt>
                      <c:pt idx="327">
                        <c:v>0.15</c:v>
                      </c:pt>
                      <c:pt idx="328">
                        <c:v>0.15</c:v>
                      </c:pt>
                      <c:pt idx="329">
                        <c:v>0.15</c:v>
                      </c:pt>
                      <c:pt idx="330">
                        <c:v>0.15</c:v>
                      </c:pt>
                      <c:pt idx="331">
                        <c:v>0.15</c:v>
                      </c:pt>
                      <c:pt idx="332">
                        <c:v>0.15</c:v>
                      </c:pt>
                      <c:pt idx="333">
                        <c:v>0.15</c:v>
                      </c:pt>
                      <c:pt idx="334">
                        <c:v>0.15</c:v>
                      </c:pt>
                      <c:pt idx="335">
                        <c:v>0.15</c:v>
                      </c:pt>
                      <c:pt idx="336">
                        <c:v>0.15</c:v>
                      </c:pt>
                      <c:pt idx="337">
                        <c:v>0.15</c:v>
                      </c:pt>
                      <c:pt idx="338">
                        <c:v>0.15</c:v>
                      </c:pt>
                      <c:pt idx="339">
                        <c:v>0.15</c:v>
                      </c:pt>
                      <c:pt idx="340">
                        <c:v>0.15</c:v>
                      </c:pt>
                      <c:pt idx="341">
                        <c:v>0.15</c:v>
                      </c:pt>
                      <c:pt idx="342">
                        <c:v>0.15</c:v>
                      </c:pt>
                      <c:pt idx="343">
                        <c:v>0.15</c:v>
                      </c:pt>
                      <c:pt idx="344">
                        <c:v>0.15</c:v>
                      </c:pt>
                      <c:pt idx="345">
                        <c:v>0.15</c:v>
                      </c:pt>
                      <c:pt idx="346">
                        <c:v>0.15</c:v>
                      </c:pt>
                      <c:pt idx="347">
                        <c:v>0.15</c:v>
                      </c:pt>
                      <c:pt idx="348">
                        <c:v>0.15</c:v>
                      </c:pt>
                      <c:pt idx="349">
                        <c:v>0.15</c:v>
                      </c:pt>
                      <c:pt idx="350">
                        <c:v>0.15</c:v>
                      </c:pt>
                      <c:pt idx="351">
                        <c:v>0.15</c:v>
                      </c:pt>
                      <c:pt idx="352">
                        <c:v>0.15</c:v>
                      </c:pt>
                      <c:pt idx="353">
                        <c:v>0.15</c:v>
                      </c:pt>
                      <c:pt idx="354">
                        <c:v>0.15</c:v>
                      </c:pt>
                      <c:pt idx="355">
                        <c:v>0.15</c:v>
                      </c:pt>
                      <c:pt idx="356">
                        <c:v>0.15</c:v>
                      </c:pt>
                      <c:pt idx="357">
                        <c:v>0.15</c:v>
                      </c:pt>
                      <c:pt idx="358">
                        <c:v>0.15</c:v>
                      </c:pt>
                      <c:pt idx="359">
                        <c:v>0.15</c:v>
                      </c:pt>
                      <c:pt idx="360">
                        <c:v>0.15</c:v>
                      </c:pt>
                      <c:pt idx="361">
                        <c:v>0.15</c:v>
                      </c:pt>
                      <c:pt idx="362">
                        <c:v>0.15</c:v>
                      </c:pt>
                      <c:pt idx="363">
                        <c:v>0.15</c:v>
                      </c:pt>
                      <c:pt idx="364">
                        <c:v>0.15</c:v>
                      </c:pt>
                      <c:pt idx="365">
                        <c:v>0.15</c:v>
                      </c:pt>
                      <c:pt idx="366">
                        <c:v>0.15</c:v>
                      </c:pt>
                      <c:pt idx="367">
                        <c:v>0.15</c:v>
                      </c:pt>
                      <c:pt idx="368">
                        <c:v>0.15</c:v>
                      </c:pt>
                      <c:pt idx="369">
                        <c:v>0.15</c:v>
                      </c:pt>
                      <c:pt idx="370">
                        <c:v>0.15</c:v>
                      </c:pt>
                      <c:pt idx="371">
                        <c:v>0.15</c:v>
                      </c:pt>
                      <c:pt idx="372">
                        <c:v>0.15</c:v>
                      </c:pt>
                      <c:pt idx="373">
                        <c:v>0.15</c:v>
                      </c:pt>
                      <c:pt idx="374">
                        <c:v>0.15</c:v>
                      </c:pt>
                      <c:pt idx="375">
                        <c:v>0.15</c:v>
                      </c:pt>
                      <c:pt idx="376">
                        <c:v>0.15</c:v>
                      </c:pt>
                      <c:pt idx="377">
                        <c:v>0.15</c:v>
                      </c:pt>
                      <c:pt idx="378">
                        <c:v>0.15</c:v>
                      </c:pt>
                      <c:pt idx="379">
                        <c:v>0.15</c:v>
                      </c:pt>
                      <c:pt idx="380">
                        <c:v>0.15</c:v>
                      </c:pt>
                      <c:pt idx="381">
                        <c:v>0.15</c:v>
                      </c:pt>
                      <c:pt idx="382">
                        <c:v>0.15</c:v>
                      </c:pt>
                      <c:pt idx="383">
                        <c:v>0.15</c:v>
                      </c:pt>
                      <c:pt idx="384">
                        <c:v>0.15</c:v>
                      </c:pt>
                      <c:pt idx="385">
                        <c:v>0.15</c:v>
                      </c:pt>
                      <c:pt idx="386">
                        <c:v>0.15</c:v>
                      </c:pt>
                      <c:pt idx="387">
                        <c:v>0.15</c:v>
                      </c:pt>
                      <c:pt idx="388">
                        <c:v>0.15</c:v>
                      </c:pt>
                      <c:pt idx="389">
                        <c:v>0.15</c:v>
                      </c:pt>
                      <c:pt idx="390">
                        <c:v>0.15</c:v>
                      </c:pt>
                      <c:pt idx="391">
                        <c:v>0.15</c:v>
                      </c:pt>
                      <c:pt idx="392">
                        <c:v>0.15</c:v>
                      </c:pt>
                      <c:pt idx="393">
                        <c:v>0.15</c:v>
                      </c:pt>
                      <c:pt idx="394">
                        <c:v>0.15</c:v>
                      </c:pt>
                      <c:pt idx="395">
                        <c:v>0.15</c:v>
                      </c:pt>
                      <c:pt idx="396">
                        <c:v>0.15</c:v>
                      </c:pt>
                      <c:pt idx="397">
                        <c:v>0.15</c:v>
                      </c:pt>
                      <c:pt idx="398">
                        <c:v>0.15</c:v>
                      </c:pt>
                      <c:pt idx="399">
                        <c:v>0.15</c:v>
                      </c:pt>
                      <c:pt idx="400">
                        <c:v>0.15</c:v>
                      </c:pt>
                      <c:pt idx="401">
                        <c:v>0.15</c:v>
                      </c:pt>
                      <c:pt idx="402">
                        <c:v>0.15</c:v>
                      </c:pt>
                      <c:pt idx="403">
                        <c:v>0.15</c:v>
                      </c:pt>
                      <c:pt idx="404">
                        <c:v>0.15</c:v>
                      </c:pt>
                      <c:pt idx="405">
                        <c:v>0.15</c:v>
                      </c:pt>
                      <c:pt idx="406">
                        <c:v>0.15</c:v>
                      </c:pt>
                      <c:pt idx="407">
                        <c:v>0.15</c:v>
                      </c:pt>
                      <c:pt idx="408">
                        <c:v>0.15</c:v>
                      </c:pt>
                      <c:pt idx="409">
                        <c:v>0.15</c:v>
                      </c:pt>
                      <c:pt idx="410">
                        <c:v>0.15</c:v>
                      </c:pt>
                      <c:pt idx="411">
                        <c:v>0.15</c:v>
                      </c:pt>
                      <c:pt idx="412">
                        <c:v>0.15</c:v>
                      </c:pt>
                      <c:pt idx="413">
                        <c:v>0.15</c:v>
                      </c:pt>
                      <c:pt idx="414">
                        <c:v>0.15</c:v>
                      </c:pt>
                      <c:pt idx="415">
                        <c:v>0.15</c:v>
                      </c:pt>
                      <c:pt idx="416">
                        <c:v>0.15</c:v>
                      </c:pt>
                      <c:pt idx="417">
                        <c:v>0.15</c:v>
                      </c:pt>
                      <c:pt idx="418">
                        <c:v>0.15</c:v>
                      </c:pt>
                      <c:pt idx="419">
                        <c:v>0.15</c:v>
                      </c:pt>
                      <c:pt idx="420">
                        <c:v>0.15</c:v>
                      </c:pt>
                      <c:pt idx="421">
                        <c:v>0.15</c:v>
                      </c:pt>
                      <c:pt idx="422">
                        <c:v>0.15</c:v>
                      </c:pt>
                      <c:pt idx="423">
                        <c:v>0.15</c:v>
                      </c:pt>
                      <c:pt idx="424">
                        <c:v>0.15</c:v>
                      </c:pt>
                      <c:pt idx="425">
                        <c:v>0.15</c:v>
                      </c:pt>
                      <c:pt idx="426">
                        <c:v>0.15</c:v>
                      </c:pt>
                      <c:pt idx="427">
                        <c:v>0.15</c:v>
                      </c:pt>
                      <c:pt idx="428">
                        <c:v>0.15</c:v>
                      </c:pt>
                      <c:pt idx="429">
                        <c:v>0.15</c:v>
                      </c:pt>
                      <c:pt idx="430">
                        <c:v>0.15</c:v>
                      </c:pt>
                      <c:pt idx="431">
                        <c:v>0.15</c:v>
                      </c:pt>
                      <c:pt idx="432">
                        <c:v>0.15</c:v>
                      </c:pt>
                      <c:pt idx="433">
                        <c:v>0.15</c:v>
                      </c:pt>
                      <c:pt idx="434">
                        <c:v>0.15</c:v>
                      </c:pt>
                      <c:pt idx="435">
                        <c:v>0.15</c:v>
                      </c:pt>
                      <c:pt idx="436">
                        <c:v>0.15</c:v>
                      </c:pt>
                      <c:pt idx="437">
                        <c:v>0.15</c:v>
                      </c:pt>
                      <c:pt idx="438">
                        <c:v>0.15</c:v>
                      </c:pt>
                      <c:pt idx="439">
                        <c:v>0.15</c:v>
                      </c:pt>
                      <c:pt idx="440">
                        <c:v>0.15</c:v>
                      </c:pt>
                      <c:pt idx="441">
                        <c:v>0.15</c:v>
                      </c:pt>
                      <c:pt idx="442">
                        <c:v>0.15</c:v>
                      </c:pt>
                      <c:pt idx="443">
                        <c:v>0.15</c:v>
                      </c:pt>
                      <c:pt idx="444">
                        <c:v>0.15</c:v>
                      </c:pt>
                      <c:pt idx="445">
                        <c:v>0.15</c:v>
                      </c:pt>
                      <c:pt idx="446">
                        <c:v>0.15</c:v>
                      </c:pt>
                      <c:pt idx="447">
                        <c:v>0.15</c:v>
                      </c:pt>
                      <c:pt idx="448">
                        <c:v>0.15</c:v>
                      </c:pt>
                      <c:pt idx="449">
                        <c:v>0.15</c:v>
                      </c:pt>
                      <c:pt idx="450">
                        <c:v>0.15</c:v>
                      </c:pt>
                      <c:pt idx="451">
                        <c:v>0.15</c:v>
                      </c:pt>
                      <c:pt idx="452">
                        <c:v>0.15</c:v>
                      </c:pt>
                      <c:pt idx="453">
                        <c:v>0.15</c:v>
                      </c:pt>
                      <c:pt idx="454">
                        <c:v>0.15</c:v>
                      </c:pt>
                      <c:pt idx="455">
                        <c:v>0.15</c:v>
                      </c:pt>
                      <c:pt idx="456">
                        <c:v>0.15</c:v>
                      </c:pt>
                      <c:pt idx="457">
                        <c:v>0.15</c:v>
                      </c:pt>
                      <c:pt idx="458">
                        <c:v>0.15</c:v>
                      </c:pt>
                      <c:pt idx="459">
                        <c:v>0.15</c:v>
                      </c:pt>
                      <c:pt idx="460">
                        <c:v>0.15</c:v>
                      </c:pt>
                      <c:pt idx="461">
                        <c:v>0.15</c:v>
                      </c:pt>
                      <c:pt idx="462">
                        <c:v>0.15</c:v>
                      </c:pt>
                      <c:pt idx="463">
                        <c:v>0.15</c:v>
                      </c:pt>
                      <c:pt idx="464">
                        <c:v>0.15</c:v>
                      </c:pt>
                      <c:pt idx="465">
                        <c:v>0.15</c:v>
                      </c:pt>
                      <c:pt idx="466">
                        <c:v>0.15</c:v>
                      </c:pt>
                      <c:pt idx="467">
                        <c:v>0.15</c:v>
                      </c:pt>
                      <c:pt idx="468">
                        <c:v>0.15</c:v>
                      </c:pt>
                      <c:pt idx="469">
                        <c:v>0.15</c:v>
                      </c:pt>
                      <c:pt idx="470">
                        <c:v>0.15</c:v>
                      </c:pt>
                      <c:pt idx="471">
                        <c:v>0.15</c:v>
                      </c:pt>
                      <c:pt idx="472">
                        <c:v>0.15</c:v>
                      </c:pt>
                      <c:pt idx="473">
                        <c:v>0.15</c:v>
                      </c:pt>
                      <c:pt idx="474">
                        <c:v>0.15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424-494D-8517-C3CEFB2747DD}"/>
                  </c:ext>
                </c:extLst>
              </c15:ser>
            </c15:filteredLineSeries>
          </c:ext>
        </c:extLst>
      </c:lineChart>
      <c:catAx>
        <c:axId val="813800511"/>
        <c:scaling>
          <c:orientation val="minMax"/>
        </c:scaling>
        <c:delete val="0"/>
        <c:axPos val="b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3800991"/>
        <c:crosses val="autoZero"/>
        <c:auto val="1"/>
        <c:lblAlgn val="ctr"/>
        <c:lblOffset val="100"/>
        <c:noMultiLvlLbl val="0"/>
      </c:catAx>
      <c:valAx>
        <c:axId val="8138009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380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 sz="1600" b="1" baseline="0">
                <a:solidFill>
                  <a:sysClr val="windowText" lastClr="000000"/>
                </a:solidFill>
              </a:rPr>
              <a:t>(a) New credit</a:t>
            </a:r>
            <a:endParaRPr lang="fr-FR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ASSETS!$G$18</c:f>
              <c:strCache>
                <c:ptCount val="1"/>
                <c:pt idx="0">
                  <c:v> Drift magnitude </c:v>
                </c:pt>
              </c:strCache>
            </c:strRef>
          </c:tx>
          <c:spPr>
            <a:ln w="12700" cap="sq">
              <a:solidFill>
                <a:schemeClr val="tx1">
                  <a:lumMod val="95000"/>
                  <a:lumOff val="5000"/>
                </a:schemeClr>
              </a:solidFill>
              <a:prstDash val="solid"/>
              <a:round/>
            </a:ln>
            <a:effectLst>
              <a:softEdge rad="0"/>
            </a:effectLst>
          </c:spPr>
          <c:marker>
            <c:symbol val="none"/>
          </c:marker>
          <c:cat>
            <c:numRef>
              <c:f>ASSETS!$C$19:$C$493</c:f>
              <c:numCache>
                <c:formatCode>_-* #,##0_-;\-* #,##0_-;_-* "-"??_-;_-@_-</c:formatCode>
                <c:ptCount val="4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</c:numCache>
            </c:numRef>
          </c:cat>
          <c:val>
            <c:numRef>
              <c:f>ASSETS!$G$19:$G$493</c:f>
              <c:numCache>
                <c:formatCode>_(* #,##0.00_);_(* \(#,##0.00\);_(* "-"??_);_(@_)</c:formatCode>
                <c:ptCount val="475"/>
                <c:pt idx="0">
                  <c:v>1</c:v>
                </c:pt>
                <c:pt idx="1">
                  <c:v>7.5834592469833206E-2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8.386645630693576E-2</c:v>
                </c:pt>
                <c:pt idx="6">
                  <c:v>1</c:v>
                </c:pt>
                <c:pt idx="7">
                  <c:v>9.375886436411171E-2</c:v>
                </c:pt>
                <c:pt idx="8">
                  <c:v>0.17484675524944629</c:v>
                </c:pt>
                <c:pt idx="9">
                  <c:v>7.2918543482594772E-2</c:v>
                </c:pt>
                <c:pt idx="10">
                  <c:v>0.11230528050989</c:v>
                </c:pt>
                <c:pt idx="11">
                  <c:v>1</c:v>
                </c:pt>
                <c:pt idx="12">
                  <c:v>6.6453537242951263E-2</c:v>
                </c:pt>
                <c:pt idx="13">
                  <c:v>8.3313359516260219E-2</c:v>
                </c:pt>
                <c:pt idx="14">
                  <c:v>1</c:v>
                </c:pt>
                <c:pt idx="15">
                  <c:v>1</c:v>
                </c:pt>
                <c:pt idx="16">
                  <c:v>0.1012194455273091</c:v>
                </c:pt>
                <c:pt idx="17">
                  <c:v>0.1210016056775365</c:v>
                </c:pt>
                <c:pt idx="18">
                  <c:v>0.1418522820050851</c:v>
                </c:pt>
                <c:pt idx="19">
                  <c:v>0.18282068239840291</c:v>
                </c:pt>
                <c:pt idx="20">
                  <c:v>9.369159540166061E-2</c:v>
                </c:pt>
                <c:pt idx="21">
                  <c:v>0.13229805012053941</c:v>
                </c:pt>
                <c:pt idx="22">
                  <c:v>0.1706736873450001</c:v>
                </c:pt>
                <c:pt idx="23">
                  <c:v>0.143243179061745</c:v>
                </c:pt>
                <c:pt idx="24">
                  <c:v>0.29310427146489693</c:v>
                </c:pt>
                <c:pt idx="25">
                  <c:v>1</c:v>
                </c:pt>
                <c:pt idx="26">
                  <c:v>0.1162233810887723</c:v>
                </c:pt>
                <c:pt idx="27">
                  <c:v>0.20461269967764029</c:v>
                </c:pt>
                <c:pt idx="28">
                  <c:v>0.167280042660339</c:v>
                </c:pt>
                <c:pt idx="29">
                  <c:v>1</c:v>
                </c:pt>
                <c:pt idx="30">
                  <c:v>9.3370446753272912E-2</c:v>
                </c:pt>
                <c:pt idx="31">
                  <c:v>0.1134490431037104</c:v>
                </c:pt>
                <c:pt idx="32">
                  <c:v>0.1555818942973039</c:v>
                </c:pt>
                <c:pt idx="33">
                  <c:v>0.129060699043648</c:v>
                </c:pt>
                <c:pt idx="34">
                  <c:v>0.16376669107901901</c:v>
                </c:pt>
                <c:pt idx="35">
                  <c:v>1</c:v>
                </c:pt>
                <c:pt idx="36">
                  <c:v>6.2605129081294578E-2</c:v>
                </c:pt>
                <c:pt idx="37">
                  <c:v>0.14741901733653259</c:v>
                </c:pt>
                <c:pt idx="38">
                  <c:v>0.17517462334531109</c:v>
                </c:pt>
                <c:pt idx="39">
                  <c:v>7.9269559785983948E-2</c:v>
                </c:pt>
                <c:pt idx="40">
                  <c:v>1</c:v>
                </c:pt>
                <c:pt idx="41">
                  <c:v>0.1076916466264853</c:v>
                </c:pt>
                <c:pt idx="42">
                  <c:v>0.1294644521479214</c:v>
                </c:pt>
                <c:pt idx="43">
                  <c:v>0.1731906438575003</c:v>
                </c:pt>
                <c:pt idx="44">
                  <c:v>8.9914905845369666E-2</c:v>
                </c:pt>
                <c:pt idx="45">
                  <c:v>1</c:v>
                </c:pt>
                <c:pt idx="46">
                  <c:v>1</c:v>
                </c:pt>
                <c:pt idx="47">
                  <c:v>8.4886181777097294E-2</c:v>
                </c:pt>
                <c:pt idx="48">
                  <c:v>0.1124111135233011</c:v>
                </c:pt>
                <c:pt idx="49">
                  <c:v>0.1601605791458417</c:v>
                </c:pt>
                <c:pt idx="50">
                  <c:v>0.14230698377846179</c:v>
                </c:pt>
                <c:pt idx="51">
                  <c:v>1</c:v>
                </c:pt>
                <c:pt idx="52">
                  <c:v>0.1128273192916852</c:v>
                </c:pt>
                <c:pt idx="53">
                  <c:v>1</c:v>
                </c:pt>
                <c:pt idx="54">
                  <c:v>8.7709479982460092E-2</c:v>
                </c:pt>
                <c:pt idx="55">
                  <c:v>0.1084411182114443</c:v>
                </c:pt>
                <c:pt idx="56">
                  <c:v>0.17798391644064321</c:v>
                </c:pt>
                <c:pt idx="57">
                  <c:v>1</c:v>
                </c:pt>
                <c:pt idx="58">
                  <c:v>1</c:v>
                </c:pt>
                <c:pt idx="59">
                  <c:v>0.13761496595042649</c:v>
                </c:pt>
                <c:pt idx="60">
                  <c:v>1</c:v>
                </c:pt>
                <c:pt idx="61">
                  <c:v>1</c:v>
                </c:pt>
                <c:pt idx="62">
                  <c:v>0.2660797841624305</c:v>
                </c:pt>
                <c:pt idx="63">
                  <c:v>8.965569471239658E-2</c:v>
                </c:pt>
                <c:pt idx="64">
                  <c:v>0.16485167015880431</c:v>
                </c:pt>
                <c:pt idx="65">
                  <c:v>5.3713134207473742E-2</c:v>
                </c:pt>
                <c:pt idx="66">
                  <c:v>0.1254775264468955</c:v>
                </c:pt>
                <c:pt idx="67">
                  <c:v>0.16534479385370901</c:v>
                </c:pt>
                <c:pt idx="68">
                  <c:v>9.1188072708564175E-2</c:v>
                </c:pt>
                <c:pt idx="69">
                  <c:v>1</c:v>
                </c:pt>
                <c:pt idx="70">
                  <c:v>0.10715112468227431</c:v>
                </c:pt>
                <c:pt idx="71">
                  <c:v>0.18430274274544081</c:v>
                </c:pt>
                <c:pt idx="72">
                  <c:v>1</c:v>
                </c:pt>
                <c:pt idx="73">
                  <c:v>6.4030739139251974E-2</c:v>
                </c:pt>
                <c:pt idx="74">
                  <c:v>0.1080485386945983</c:v>
                </c:pt>
                <c:pt idx="75">
                  <c:v>1</c:v>
                </c:pt>
                <c:pt idx="76">
                  <c:v>0.1105562495217106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0.106527654834498</c:v>
                </c:pt>
                <c:pt idx="81">
                  <c:v>0.1222818660752968</c:v>
                </c:pt>
                <c:pt idx="82">
                  <c:v>0.1360942592554483</c:v>
                </c:pt>
                <c:pt idx="83">
                  <c:v>0.15366695856604429</c:v>
                </c:pt>
                <c:pt idx="84">
                  <c:v>7.2948891289643714E-2</c:v>
                </c:pt>
                <c:pt idx="85">
                  <c:v>1</c:v>
                </c:pt>
                <c:pt idx="86">
                  <c:v>7.1904970139076124E-2</c:v>
                </c:pt>
                <c:pt idx="87">
                  <c:v>1</c:v>
                </c:pt>
                <c:pt idx="88">
                  <c:v>0.1184801141073157</c:v>
                </c:pt>
                <c:pt idx="89">
                  <c:v>0.16284338726244879</c:v>
                </c:pt>
                <c:pt idx="90">
                  <c:v>0.1209271927912156</c:v>
                </c:pt>
                <c:pt idx="91">
                  <c:v>0.1861410868868455</c:v>
                </c:pt>
                <c:pt idx="92">
                  <c:v>1</c:v>
                </c:pt>
                <c:pt idx="93">
                  <c:v>1</c:v>
                </c:pt>
                <c:pt idx="94">
                  <c:v>9.4180174557816812E-2</c:v>
                </c:pt>
                <c:pt idx="95">
                  <c:v>1</c:v>
                </c:pt>
                <c:pt idx="96">
                  <c:v>0.13982830255050641</c:v>
                </c:pt>
                <c:pt idx="97">
                  <c:v>0.20730962553115739</c:v>
                </c:pt>
                <c:pt idx="98">
                  <c:v>1</c:v>
                </c:pt>
                <c:pt idx="99">
                  <c:v>9.1730555799039423E-2</c:v>
                </c:pt>
                <c:pt idx="100">
                  <c:v>1</c:v>
                </c:pt>
                <c:pt idx="101">
                  <c:v>7.2624468417846796E-2</c:v>
                </c:pt>
                <c:pt idx="102">
                  <c:v>0.1214860421541992</c:v>
                </c:pt>
                <c:pt idx="103">
                  <c:v>0.17523808229613971</c:v>
                </c:pt>
                <c:pt idx="104">
                  <c:v>8.547472659307008E-2</c:v>
                </c:pt>
                <c:pt idx="105">
                  <c:v>8.9414728977269153E-2</c:v>
                </c:pt>
                <c:pt idx="106">
                  <c:v>0.1262246708820644</c:v>
                </c:pt>
                <c:pt idx="107">
                  <c:v>0.14858663391729179</c:v>
                </c:pt>
                <c:pt idx="108">
                  <c:v>0.17801795441612689</c:v>
                </c:pt>
                <c:pt idx="109">
                  <c:v>1</c:v>
                </c:pt>
                <c:pt idx="110">
                  <c:v>7.6234031622593401E-2</c:v>
                </c:pt>
                <c:pt idx="111">
                  <c:v>0.16079646761313179</c:v>
                </c:pt>
                <c:pt idx="112">
                  <c:v>9.6014157345081313E-2</c:v>
                </c:pt>
                <c:pt idx="113">
                  <c:v>0.1043263918523126</c:v>
                </c:pt>
                <c:pt idx="114">
                  <c:v>1</c:v>
                </c:pt>
                <c:pt idx="115">
                  <c:v>0.13181084931160869</c:v>
                </c:pt>
                <c:pt idx="116">
                  <c:v>0.14967231376392459</c:v>
                </c:pt>
                <c:pt idx="117">
                  <c:v>0.1731922152442596</c:v>
                </c:pt>
                <c:pt idx="118">
                  <c:v>0.1163421712088321</c:v>
                </c:pt>
                <c:pt idx="119">
                  <c:v>0.18093004683249009</c:v>
                </c:pt>
                <c:pt idx="120">
                  <c:v>0.1016781687887412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0.15601943328617759</c:v>
                </c:pt>
                <c:pt idx="126">
                  <c:v>0.11153750597299809</c:v>
                </c:pt>
                <c:pt idx="127">
                  <c:v>0.1567810405957879</c:v>
                </c:pt>
                <c:pt idx="128">
                  <c:v>1</c:v>
                </c:pt>
                <c:pt idx="129">
                  <c:v>7.8638647522137672E-2</c:v>
                </c:pt>
                <c:pt idx="130">
                  <c:v>0.1136321622391555</c:v>
                </c:pt>
                <c:pt idx="131">
                  <c:v>0.13566424530252269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9.5542677158155898E-2</c:v>
                </c:pt>
                <c:pt idx="136">
                  <c:v>0.1073141516168869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0.11986917503843331</c:v>
                </c:pt>
                <c:pt idx="142">
                  <c:v>0.14738287396568869</c:v>
                </c:pt>
                <c:pt idx="143">
                  <c:v>0.1405399499442066</c:v>
                </c:pt>
                <c:pt idx="144">
                  <c:v>0.13958242833007581</c:v>
                </c:pt>
                <c:pt idx="145">
                  <c:v>0.14029258683721799</c:v>
                </c:pt>
                <c:pt idx="146">
                  <c:v>0.13358818929863411</c:v>
                </c:pt>
                <c:pt idx="147">
                  <c:v>0.1480997246995063</c:v>
                </c:pt>
                <c:pt idx="148">
                  <c:v>0.16732809246073729</c:v>
                </c:pt>
                <c:pt idx="149">
                  <c:v>8.9962135282265571E-2</c:v>
                </c:pt>
                <c:pt idx="150">
                  <c:v>0.1424765987688944</c:v>
                </c:pt>
                <c:pt idx="151">
                  <c:v>0.18939049124439081</c:v>
                </c:pt>
                <c:pt idx="152">
                  <c:v>0.15758323905698399</c:v>
                </c:pt>
                <c:pt idx="153">
                  <c:v>0.11915433875232211</c:v>
                </c:pt>
                <c:pt idx="154">
                  <c:v>0.1419623830124776</c:v>
                </c:pt>
                <c:pt idx="155">
                  <c:v>0.19198531779501901</c:v>
                </c:pt>
                <c:pt idx="156">
                  <c:v>0.1066352119789961</c:v>
                </c:pt>
                <c:pt idx="157">
                  <c:v>0.1047441203561605</c:v>
                </c:pt>
                <c:pt idx="158">
                  <c:v>0.13479755002712679</c:v>
                </c:pt>
                <c:pt idx="159">
                  <c:v>0.2406709480708816</c:v>
                </c:pt>
                <c:pt idx="160">
                  <c:v>0.15014498189799441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8.6426060583563363E-2</c:v>
                </c:pt>
                <c:pt idx="165">
                  <c:v>0.12979456376795481</c:v>
                </c:pt>
                <c:pt idx="166">
                  <c:v>0.16686300573888849</c:v>
                </c:pt>
                <c:pt idx="167">
                  <c:v>0.1030177204502966</c:v>
                </c:pt>
                <c:pt idx="168">
                  <c:v>1</c:v>
                </c:pt>
                <c:pt idx="169">
                  <c:v>1</c:v>
                </c:pt>
                <c:pt idx="170">
                  <c:v>0.1067960185336588</c:v>
                </c:pt>
                <c:pt idx="171">
                  <c:v>0.14739598359241921</c:v>
                </c:pt>
                <c:pt idx="172">
                  <c:v>0.1311222729861756</c:v>
                </c:pt>
                <c:pt idx="173">
                  <c:v>1</c:v>
                </c:pt>
                <c:pt idx="174">
                  <c:v>8.2751452372481729E-2</c:v>
                </c:pt>
                <c:pt idx="175">
                  <c:v>1</c:v>
                </c:pt>
                <c:pt idx="176">
                  <c:v>7.6975332548627928E-2</c:v>
                </c:pt>
                <c:pt idx="177">
                  <c:v>0.1407463368429932</c:v>
                </c:pt>
                <c:pt idx="178">
                  <c:v>0.15121921763333071</c:v>
                </c:pt>
                <c:pt idx="179">
                  <c:v>9.5753930927305678E-2</c:v>
                </c:pt>
                <c:pt idx="180">
                  <c:v>0.108892794386917</c:v>
                </c:pt>
                <c:pt idx="181">
                  <c:v>0.12619088863566649</c:v>
                </c:pt>
                <c:pt idx="182">
                  <c:v>1</c:v>
                </c:pt>
                <c:pt idx="183">
                  <c:v>6.9593687454860081E-2</c:v>
                </c:pt>
                <c:pt idx="184">
                  <c:v>1</c:v>
                </c:pt>
                <c:pt idx="185">
                  <c:v>1</c:v>
                </c:pt>
                <c:pt idx="186">
                  <c:v>9.3058499340247069E-2</c:v>
                </c:pt>
                <c:pt idx="187">
                  <c:v>0.13894938515205499</c:v>
                </c:pt>
                <c:pt idx="188">
                  <c:v>1</c:v>
                </c:pt>
                <c:pt idx="189">
                  <c:v>8.1876463236706581E-2</c:v>
                </c:pt>
                <c:pt idx="190">
                  <c:v>0.1352415907401717</c:v>
                </c:pt>
                <c:pt idx="191">
                  <c:v>0.26320707025814261</c:v>
                </c:pt>
                <c:pt idx="192">
                  <c:v>8.7703653276777135E-2</c:v>
                </c:pt>
                <c:pt idx="193">
                  <c:v>1</c:v>
                </c:pt>
                <c:pt idx="194">
                  <c:v>1</c:v>
                </c:pt>
                <c:pt idx="195">
                  <c:v>0.11509533442871681</c:v>
                </c:pt>
                <c:pt idx="196">
                  <c:v>0.15133655318342881</c:v>
                </c:pt>
                <c:pt idx="197">
                  <c:v>0.1313946932557285</c:v>
                </c:pt>
                <c:pt idx="198">
                  <c:v>1</c:v>
                </c:pt>
                <c:pt idx="199">
                  <c:v>0.2420304448783632</c:v>
                </c:pt>
                <c:pt idx="200">
                  <c:v>1</c:v>
                </c:pt>
                <c:pt idx="201">
                  <c:v>0.1120578607286815</c:v>
                </c:pt>
                <c:pt idx="202">
                  <c:v>0.17086816434435231</c:v>
                </c:pt>
                <c:pt idx="203">
                  <c:v>0.12757810241491779</c:v>
                </c:pt>
                <c:pt idx="204">
                  <c:v>0.13446403293058681</c:v>
                </c:pt>
                <c:pt idx="205">
                  <c:v>0.17699958048757999</c:v>
                </c:pt>
                <c:pt idx="206">
                  <c:v>1</c:v>
                </c:pt>
                <c:pt idx="207">
                  <c:v>0.1232029956076517</c:v>
                </c:pt>
                <c:pt idx="208">
                  <c:v>0.20968270783100451</c:v>
                </c:pt>
                <c:pt idx="209">
                  <c:v>0.1364215336225664</c:v>
                </c:pt>
                <c:pt idx="210">
                  <c:v>0.24325206973419811</c:v>
                </c:pt>
                <c:pt idx="211">
                  <c:v>0.1237791971523865</c:v>
                </c:pt>
                <c:pt idx="212">
                  <c:v>1</c:v>
                </c:pt>
                <c:pt idx="213">
                  <c:v>0.13083959548674789</c:v>
                </c:pt>
                <c:pt idx="214">
                  <c:v>0.2155104203311706</c:v>
                </c:pt>
                <c:pt idx="215">
                  <c:v>0.11615720781454671</c:v>
                </c:pt>
                <c:pt idx="216">
                  <c:v>0.1504899595832192</c:v>
                </c:pt>
                <c:pt idx="217">
                  <c:v>0.10417256126016609</c:v>
                </c:pt>
                <c:pt idx="218">
                  <c:v>0.1009511272630704</c:v>
                </c:pt>
                <c:pt idx="219">
                  <c:v>0.19029278971658359</c:v>
                </c:pt>
                <c:pt idx="220">
                  <c:v>1</c:v>
                </c:pt>
                <c:pt idx="221">
                  <c:v>1</c:v>
                </c:pt>
                <c:pt idx="222">
                  <c:v>8.6691381429329001E-2</c:v>
                </c:pt>
                <c:pt idx="223">
                  <c:v>0.12954879343457809</c:v>
                </c:pt>
                <c:pt idx="224">
                  <c:v>0.14544689983953199</c:v>
                </c:pt>
                <c:pt idx="225">
                  <c:v>0.18333248806875019</c:v>
                </c:pt>
                <c:pt idx="226">
                  <c:v>9.1653847235392397E-2</c:v>
                </c:pt>
                <c:pt idx="227">
                  <c:v>0.13119909092342891</c:v>
                </c:pt>
                <c:pt idx="228">
                  <c:v>0.14881457829023051</c:v>
                </c:pt>
                <c:pt idx="229">
                  <c:v>0.16199008948326421</c:v>
                </c:pt>
                <c:pt idx="230">
                  <c:v>0.1015452537075463</c:v>
                </c:pt>
                <c:pt idx="231">
                  <c:v>0.17325996249056599</c:v>
                </c:pt>
                <c:pt idx="232">
                  <c:v>8.8755050806073793E-2</c:v>
                </c:pt>
                <c:pt idx="233">
                  <c:v>1</c:v>
                </c:pt>
                <c:pt idx="234">
                  <c:v>1</c:v>
                </c:pt>
                <c:pt idx="235">
                  <c:v>0.1035930561575472</c:v>
                </c:pt>
                <c:pt idx="236">
                  <c:v>0.112827668116632</c:v>
                </c:pt>
                <c:pt idx="237">
                  <c:v>0.14014210847343361</c:v>
                </c:pt>
                <c:pt idx="238">
                  <c:v>0.19047014851669969</c:v>
                </c:pt>
                <c:pt idx="239">
                  <c:v>0.2292199733144793</c:v>
                </c:pt>
                <c:pt idx="240">
                  <c:v>0.1464425273993106</c:v>
                </c:pt>
                <c:pt idx="241">
                  <c:v>0.20500599707533479</c:v>
                </c:pt>
                <c:pt idx="242">
                  <c:v>0.2115859301168671</c:v>
                </c:pt>
                <c:pt idx="243">
                  <c:v>0.1557368963924112</c:v>
                </c:pt>
                <c:pt idx="244">
                  <c:v>0.11296430715484609</c:v>
                </c:pt>
                <c:pt idx="245">
                  <c:v>0.16801475747831501</c:v>
                </c:pt>
                <c:pt idx="246">
                  <c:v>9.2864244099292503E-2</c:v>
                </c:pt>
                <c:pt idx="247">
                  <c:v>0.11157905734773541</c:v>
                </c:pt>
                <c:pt idx="248">
                  <c:v>0.15039731114401811</c:v>
                </c:pt>
                <c:pt idx="249">
                  <c:v>0.1200402252982135</c:v>
                </c:pt>
                <c:pt idx="250">
                  <c:v>0.1245273334801415</c:v>
                </c:pt>
                <c:pt idx="251">
                  <c:v>0.1895757411739179</c:v>
                </c:pt>
                <c:pt idx="252">
                  <c:v>1</c:v>
                </c:pt>
                <c:pt idx="253">
                  <c:v>1</c:v>
                </c:pt>
                <c:pt idx="254">
                  <c:v>0.1162781517844131</c:v>
                </c:pt>
                <c:pt idx="255">
                  <c:v>0.17888193969344071</c:v>
                </c:pt>
                <c:pt idx="256">
                  <c:v>8.4170601148924704E-2</c:v>
                </c:pt>
                <c:pt idx="257">
                  <c:v>0.1820131185224419</c:v>
                </c:pt>
                <c:pt idx="258">
                  <c:v>7.2335913864412293E-2</c:v>
                </c:pt>
                <c:pt idx="259">
                  <c:v>0.1085117378524057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0.12860102207782539</c:v>
                </c:pt>
                <c:pt idx="264">
                  <c:v>0.17632801339860249</c:v>
                </c:pt>
                <c:pt idx="265">
                  <c:v>1</c:v>
                </c:pt>
                <c:pt idx="266">
                  <c:v>8.5673389663378133E-2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8.5830980943580215E-2</c:v>
                </c:pt>
                <c:pt idx="271">
                  <c:v>0.113730350637683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0.1027100702708057</c:v>
                </c:pt>
                <c:pt idx="276">
                  <c:v>0.14202690732339129</c:v>
                </c:pt>
                <c:pt idx="277">
                  <c:v>0.15563048673280039</c:v>
                </c:pt>
                <c:pt idx="278">
                  <c:v>7.0577396874834691E-2</c:v>
                </c:pt>
                <c:pt idx="279">
                  <c:v>9.6650054120026724E-2</c:v>
                </c:pt>
                <c:pt idx="280">
                  <c:v>0.12854379463839891</c:v>
                </c:pt>
                <c:pt idx="281">
                  <c:v>0.24287696963844679</c:v>
                </c:pt>
                <c:pt idx="282">
                  <c:v>0.15685760416756531</c:v>
                </c:pt>
                <c:pt idx="283">
                  <c:v>0.1395244204360295</c:v>
                </c:pt>
                <c:pt idx="284">
                  <c:v>0.22163577649684171</c:v>
                </c:pt>
                <c:pt idx="285">
                  <c:v>0.1426981582013053</c:v>
                </c:pt>
                <c:pt idx="286">
                  <c:v>0.18094840340452761</c:v>
                </c:pt>
                <c:pt idx="287">
                  <c:v>1</c:v>
                </c:pt>
                <c:pt idx="288">
                  <c:v>8.5126501306926339E-2</c:v>
                </c:pt>
                <c:pt idx="289">
                  <c:v>1</c:v>
                </c:pt>
                <c:pt idx="290">
                  <c:v>7.6543183690541167E-2</c:v>
                </c:pt>
                <c:pt idx="291">
                  <c:v>1</c:v>
                </c:pt>
                <c:pt idx="292">
                  <c:v>8.6325153284138423E-2</c:v>
                </c:pt>
                <c:pt idx="293">
                  <c:v>1</c:v>
                </c:pt>
                <c:pt idx="294">
                  <c:v>0.1684966999712624</c:v>
                </c:pt>
                <c:pt idx="295">
                  <c:v>9.3011421276505871E-2</c:v>
                </c:pt>
                <c:pt idx="296">
                  <c:v>0.1642043577794696</c:v>
                </c:pt>
                <c:pt idx="297">
                  <c:v>1</c:v>
                </c:pt>
                <c:pt idx="298">
                  <c:v>1</c:v>
                </c:pt>
                <c:pt idx="299">
                  <c:v>0.13596725121229489</c:v>
                </c:pt>
                <c:pt idx="300">
                  <c:v>0.14257593306233721</c:v>
                </c:pt>
                <c:pt idx="301">
                  <c:v>0.2393604514748528</c:v>
                </c:pt>
                <c:pt idx="302">
                  <c:v>1</c:v>
                </c:pt>
                <c:pt idx="303">
                  <c:v>1</c:v>
                </c:pt>
                <c:pt idx="304">
                  <c:v>0.14520682781370431</c:v>
                </c:pt>
                <c:pt idx="305">
                  <c:v>0.2040543471557166</c:v>
                </c:pt>
                <c:pt idx="306">
                  <c:v>1</c:v>
                </c:pt>
                <c:pt idx="307">
                  <c:v>1</c:v>
                </c:pt>
                <c:pt idx="308">
                  <c:v>8.6601513360103438E-2</c:v>
                </c:pt>
                <c:pt idx="309">
                  <c:v>1</c:v>
                </c:pt>
                <c:pt idx="310">
                  <c:v>8.2345268924873413E-2</c:v>
                </c:pt>
                <c:pt idx="311">
                  <c:v>1</c:v>
                </c:pt>
                <c:pt idx="312">
                  <c:v>9.3495810206658786E-2</c:v>
                </c:pt>
                <c:pt idx="313">
                  <c:v>1</c:v>
                </c:pt>
                <c:pt idx="314">
                  <c:v>8.5289610691416121E-2</c:v>
                </c:pt>
                <c:pt idx="315">
                  <c:v>0.14974312293088529</c:v>
                </c:pt>
                <c:pt idx="316">
                  <c:v>1</c:v>
                </c:pt>
                <c:pt idx="317">
                  <c:v>0.13208507430464769</c:v>
                </c:pt>
                <c:pt idx="318">
                  <c:v>0.12453193136172</c:v>
                </c:pt>
                <c:pt idx="319">
                  <c:v>0.15335086087846311</c:v>
                </c:pt>
                <c:pt idx="320">
                  <c:v>0.119931860566675</c:v>
                </c:pt>
                <c:pt idx="321">
                  <c:v>0.11813989719446211</c:v>
                </c:pt>
                <c:pt idx="322">
                  <c:v>1</c:v>
                </c:pt>
                <c:pt idx="323">
                  <c:v>1</c:v>
                </c:pt>
                <c:pt idx="324">
                  <c:v>0.1106860800782261</c:v>
                </c:pt>
                <c:pt idx="325">
                  <c:v>0.1199546128160885</c:v>
                </c:pt>
                <c:pt idx="326">
                  <c:v>0.16855122979040671</c:v>
                </c:pt>
                <c:pt idx="327">
                  <c:v>9.6429370624937671E-2</c:v>
                </c:pt>
                <c:pt idx="328">
                  <c:v>0.1596690330701854</c:v>
                </c:pt>
                <c:pt idx="329">
                  <c:v>1</c:v>
                </c:pt>
                <c:pt idx="330">
                  <c:v>0.1013152440363425</c:v>
                </c:pt>
                <c:pt idx="331">
                  <c:v>1</c:v>
                </c:pt>
                <c:pt idx="332">
                  <c:v>1</c:v>
                </c:pt>
                <c:pt idx="333">
                  <c:v>0.1439518872392492</c:v>
                </c:pt>
                <c:pt idx="334">
                  <c:v>0.1357387987551987</c:v>
                </c:pt>
                <c:pt idx="335">
                  <c:v>1</c:v>
                </c:pt>
                <c:pt idx="336">
                  <c:v>0.120430585242166</c:v>
                </c:pt>
                <c:pt idx="337">
                  <c:v>0.1579178361997777</c:v>
                </c:pt>
                <c:pt idx="338">
                  <c:v>0.1058648006655078</c:v>
                </c:pt>
                <c:pt idx="339">
                  <c:v>1</c:v>
                </c:pt>
                <c:pt idx="340">
                  <c:v>1</c:v>
                </c:pt>
                <c:pt idx="341">
                  <c:v>9.0895124080130424E-2</c:v>
                </c:pt>
                <c:pt idx="342">
                  <c:v>1</c:v>
                </c:pt>
                <c:pt idx="343">
                  <c:v>1</c:v>
                </c:pt>
                <c:pt idx="344">
                  <c:v>0.1372280052508868</c:v>
                </c:pt>
                <c:pt idx="345">
                  <c:v>0.15298124629957061</c:v>
                </c:pt>
                <c:pt idx="346">
                  <c:v>8.5890612779018202E-2</c:v>
                </c:pt>
                <c:pt idx="347">
                  <c:v>0.1657999988504138</c:v>
                </c:pt>
                <c:pt idx="348">
                  <c:v>7.2742506991248512E-2</c:v>
                </c:pt>
                <c:pt idx="349">
                  <c:v>1</c:v>
                </c:pt>
                <c:pt idx="350">
                  <c:v>1</c:v>
                </c:pt>
                <c:pt idx="351">
                  <c:v>8.936514177354643E-2</c:v>
                </c:pt>
                <c:pt idx="352">
                  <c:v>0.12073938566589749</c:v>
                </c:pt>
                <c:pt idx="353">
                  <c:v>0.15093927999016529</c:v>
                </c:pt>
                <c:pt idx="354">
                  <c:v>0.13267483612652359</c:v>
                </c:pt>
                <c:pt idx="355">
                  <c:v>0.14475282381566509</c:v>
                </c:pt>
                <c:pt idx="356">
                  <c:v>1</c:v>
                </c:pt>
                <c:pt idx="357">
                  <c:v>1</c:v>
                </c:pt>
                <c:pt idx="358">
                  <c:v>0.1148821682962451</c:v>
                </c:pt>
                <c:pt idx="359">
                  <c:v>1</c:v>
                </c:pt>
                <c:pt idx="360">
                  <c:v>1</c:v>
                </c:pt>
                <c:pt idx="361">
                  <c:v>7.8264872362409352E-2</c:v>
                </c:pt>
                <c:pt idx="362">
                  <c:v>0.12068578395875861</c:v>
                </c:pt>
                <c:pt idx="363">
                  <c:v>0.14163240237789021</c:v>
                </c:pt>
                <c:pt idx="364">
                  <c:v>0.1984298448553366</c:v>
                </c:pt>
                <c:pt idx="365">
                  <c:v>0.10174400003248529</c:v>
                </c:pt>
                <c:pt idx="366">
                  <c:v>1</c:v>
                </c:pt>
                <c:pt idx="367">
                  <c:v>0.1101100377798834</c:v>
                </c:pt>
                <c:pt idx="368">
                  <c:v>0.1812930381512069</c:v>
                </c:pt>
                <c:pt idx="369">
                  <c:v>7.8386761733314311E-2</c:v>
                </c:pt>
                <c:pt idx="370">
                  <c:v>0.1097981414522233</c:v>
                </c:pt>
                <c:pt idx="371">
                  <c:v>0.13389979547476649</c:v>
                </c:pt>
                <c:pt idx="372">
                  <c:v>0.1587005859974723</c:v>
                </c:pt>
                <c:pt idx="373">
                  <c:v>8.2743245331020024E-2</c:v>
                </c:pt>
                <c:pt idx="374">
                  <c:v>1</c:v>
                </c:pt>
                <c:pt idx="375">
                  <c:v>0.23677078843283181</c:v>
                </c:pt>
                <c:pt idx="376">
                  <c:v>1</c:v>
                </c:pt>
                <c:pt idx="377">
                  <c:v>0.13158890873551871</c:v>
                </c:pt>
                <c:pt idx="378">
                  <c:v>0.30788107465355002</c:v>
                </c:pt>
                <c:pt idx="379">
                  <c:v>0.1239756001787736</c:v>
                </c:pt>
                <c:pt idx="380">
                  <c:v>1</c:v>
                </c:pt>
                <c:pt idx="381">
                  <c:v>9.2345877618613556E-2</c:v>
                </c:pt>
                <c:pt idx="382">
                  <c:v>0.1395960738690265</c:v>
                </c:pt>
                <c:pt idx="383">
                  <c:v>0.17406063742947731</c:v>
                </c:pt>
                <c:pt idx="384">
                  <c:v>7.6873858785582561E-2</c:v>
                </c:pt>
                <c:pt idx="385">
                  <c:v>0.16331588008547779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0.14005443430893769</c:v>
                </c:pt>
                <c:pt idx="390">
                  <c:v>0.15718572541121081</c:v>
                </c:pt>
                <c:pt idx="391">
                  <c:v>9.7443689798951794E-2</c:v>
                </c:pt>
                <c:pt idx="392">
                  <c:v>0.1390324316165259</c:v>
                </c:pt>
                <c:pt idx="393">
                  <c:v>1</c:v>
                </c:pt>
                <c:pt idx="394">
                  <c:v>1</c:v>
                </c:pt>
                <c:pt idx="395">
                  <c:v>0.1347239414235375</c:v>
                </c:pt>
                <c:pt idx="396">
                  <c:v>0.15839967441632891</c:v>
                </c:pt>
                <c:pt idx="397">
                  <c:v>1</c:v>
                </c:pt>
                <c:pt idx="398">
                  <c:v>1</c:v>
                </c:pt>
                <c:pt idx="399">
                  <c:v>0.13680898963121471</c:v>
                </c:pt>
                <c:pt idx="400">
                  <c:v>0.15185955134467891</c:v>
                </c:pt>
                <c:pt idx="401">
                  <c:v>8.4912910332739774E-2</c:v>
                </c:pt>
                <c:pt idx="402">
                  <c:v>0.12322038303248101</c:v>
                </c:pt>
                <c:pt idx="403">
                  <c:v>0.1524296833999616</c:v>
                </c:pt>
                <c:pt idx="404">
                  <c:v>1</c:v>
                </c:pt>
                <c:pt idx="405">
                  <c:v>1</c:v>
                </c:pt>
                <c:pt idx="406">
                  <c:v>9.3826213834182839E-2</c:v>
                </c:pt>
                <c:pt idx="407">
                  <c:v>1</c:v>
                </c:pt>
                <c:pt idx="408">
                  <c:v>0.1051215568661734</c:v>
                </c:pt>
                <c:pt idx="409">
                  <c:v>1</c:v>
                </c:pt>
                <c:pt idx="410">
                  <c:v>8.4968342512731443E-2</c:v>
                </c:pt>
                <c:pt idx="411">
                  <c:v>0.1098775851874243</c:v>
                </c:pt>
                <c:pt idx="412">
                  <c:v>0.14797721779737971</c:v>
                </c:pt>
                <c:pt idx="413">
                  <c:v>0.1439936474326052</c:v>
                </c:pt>
                <c:pt idx="414">
                  <c:v>1</c:v>
                </c:pt>
                <c:pt idx="415">
                  <c:v>1</c:v>
                </c:pt>
                <c:pt idx="416">
                  <c:v>0.23355748943770499</c:v>
                </c:pt>
                <c:pt idx="417">
                  <c:v>0.16753343952191141</c:v>
                </c:pt>
                <c:pt idx="418">
                  <c:v>0.12697421822915381</c:v>
                </c:pt>
                <c:pt idx="419">
                  <c:v>0.16253765354727609</c:v>
                </c:pt>
                <c:pt idx="420">
                  <c:v>1</c:v>
                </c:pt>
                <c:pt idx="421">
                  <c:v>9.4629182924216973E-2</c:v>
                </c:pt>
                <c:pt idx="422">
                  <c:v>1</c:v>
                </c:pt>
                <c:pt idx="423">
                  <c:v>7.272510486154346E-2</c:v>
                </c:pt>
                <c:pt idx="424">
                  <c:v>1</c:v>
                </c:pt>
                <c:pt idx="425">
                  <c:v>9.5877794918638307E-2</c:v>
                </c:pt>
                <c:pt idx="426">
                  <c:v>1</c:v>
                </c:pt>
                <c:pt idx="427">
                  <c:v>0.1451423377780213</c:v>
                </c:pt>
                <c:pt idx="428">
                  <c:v>0.16339333480545309</c:v>
                </c:pt>
                <c:pt idx="429">
                  <c:v>0.10177121811269151</c:v>
                </c:pt>
                <c:pt idx="430">
                  <c:v>0.13176301307503821</c:v>
                </c:pt>
                <c:pt idx="431">
                  <c:v>0.19308236799393599</c:v>
                </c:pt>
                <c:pt idx="432">
                  <c:v>7.4722192456363926E-2</c:v>
                </c:pt>
                <c:pt idx="433">
                  <c:v>0.13460984222883221</c:v>
                </c:pt>
                <c:pt idx="434">
                  <c:v>0.1241194706800685</c:v>
                </c:pt>
                <c:pt idx="435">
                  <c:v>0.2013470916296215</c:v>
                </c:pt>
                <c:pt idx="436">
                  <c:v>0.12354812087232191</c:v>
                </c:pt>
                <c:pt idx="437">
                  <c:v>0.15938582686131761</c:v>
                </c:pt>
                <c:pt idx="438">
                  <c:v>9.2179487071023664E-2</c:v>
                </c:pt>
                <c:pt idx="439">
                  <c:v>0.1242536887376247</c:v>
                </c:pt>
                <c:pt idx="440">
                  <c:v>1</c:v>
                </c:pt>
                <c:pt idx="441">
                  <c:v>9.1132630929363689E-2</c:v>
                </c:pt>
                <c:pt idx="442">
                  <c:v>0.15438253131854951</c:v>
                </c:pt>
                <c:pt idx="443">
                  <c:v>1</c:v>
                </c:pt>
                <c:pt idx="444">
                  <c:v>1</c:v>
                </c:pt>
                <c:pt idx="445">
                  <c:v>9.7822354927621341E-2</c:v>
                </c:pt>
                <c:pt idx="446">
                  <c:v>0.1243350526493172</c:v>
                </c:pt>
                <c:pt idx="447">
                  <c:v>0.15194391468326129</c:v>
                </c:pt>
                <c:pt idx="448">
                  <c:v>6.7389635686301727E-2</c:v>
                </c:pt>
                <c:pt idx="449">
                  <c:v>9.908581814494001E-2</c:v>
                </c:pt>
                <c:pt idx="450">
                  <c:v>0.12118143300550629</c:v>
                </c:pt>
                <c:pt idx="451">
                  <c:v>0.1435021879582096</c:v>
                </c:pt>
                <c:pt idx="452">
                  <c:v>1</c:v>
                </c:pt>
                <c:pt idx="453">
                  <c:v>1</c:v>
                </c:pt>
                <c:pt idx="454">
                  <c:v>0.121774120427944</c:v>
                </c:pt>
                <c:pt idx="455">
                  <c:v>0.12876690269706209</c:v>
                </c:pt>
                <c:pt idx="456">
                  <c:v>0.22839316989205399</c:v>
                </c:pt>
                <c:pt idx="457">
                  <c:v>0.14996568417252421</c:v>
                </c:pt>
                <c:pt idx="458">
                  <c:v>0.21060046714165051</c:v>
                </c:pt>
                <c:pt idx="459">
                  <c:v>0.1148565844098518</c:v>
                </c:pt>
                <c:pt idx="460">
                  <c:v>0.26861999367078232</c:v>
                </c:pt>
                <c:pt idx="461">
                  <c:v>9.1239518556572932E-2</c:v>
                </c:pt>
                <c:pt idx="462">
                  <c:v>0.1360374212895758</c:v>
                </c:pt>
                <c:pt idx="463">
                  <c:v>0.21164462839421111</c:v>
                </c:pt>
                <c:pt idx="464">
                  <c:v>0.10029019605429031</c:v>
                </c:pt>
                <c:pt idx="465">
                  <c:v>0.15335856075701579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0.15257413590712271</c:v>
                </c:pt>
                <c:pt idx="470">
                  <c:v>1</c:v>
                </c:pt>
                <c:pt idx="471">
                  <c:v>0.158225564982862</c:v>
                </c:pt>
                <c:pt idx="472">
                  <c:v>1</c:v>
                </c:pt>
                <c:pt idx="473">
                  <c:v>9.9647234808597579E-2</c:v>
                </c:pt>
                <c:pt idx="47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13-4004-94CD-60F5D0E00F7D}"/>
            </c:ext>
          </c:extLst>
        </c:ser>
        <c:ser>
          <c:idx val="4"/>
          <c:order val="4"/>
          <c:tx>
            <c:strRef>
              <c:f>ASSETS!$H$18</c:f>
              <c:strCache>
                <c:ptCount val="1"/>
                <c:pt idx="0">
                  <c:v> Drift threshold 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ASSETS!$C$19:$C$493</c:f>
              <c:numCache>
                <c:formatCode>_-* #,##0_-;\-* #,##0_-;_-* "-"??_-;_-@_-</c:formatCode>
                <c:ptCount val="4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</c:numCache>
            </c:numRef>
          </c:cat>
          <c:val>
            <c:numRef>
              <c:f>ASSETS!$H$19:$H$493</c:f>
              <c:numCache>
                <c:formatCode>_(* #,##0.00_);_(* \(#,##0.00\);_(* "-"??_);_(@_)</c:formatCode>
                <c:ptCount val="475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0.15</c:v>
                </c:pt>
                <c:pt idx="23">
                  <c:v>0.15</c:v>
                </c:pt>
                <c:pt idx="24">
                  <c:v>0.15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0.15</c:v>
                </c:pt>
                <c:pt idx="29">
                  <c:v>0.15</c:v>
                </c:pt>
                <c:pt idx="30">
                  <c:v>0.15</c:v>
                </c:pt>
                <c:pt idx="31">
                  <c:v>0.15</c:v>
                </c:pt>
                <c:pt idx="32">
                  <c:v>0.15</c:v>
                </c:pt>
                <c:pt idx="33">
                  <c:v>0.15</c:v>
                </c:pt>
                <c:pt idx="34">
                  <c:v>0.15</c:v>
                </c:pt>
                <c:pt idx="35">
                  <c:v>0.15</c:v>
                </c:pt>
                <c:pt idx="36">
                  <c:v>0.15</c:v>
                </c:pt>
                <c:pt idx="37">
                  <c:v>0.15</c:v>
                </c:pt>
                <c:pt idx="38">
                  <c:v>0.15</c:v>
                </c:pt>
                <c:pt idx="39">
                  <c:v>0.15</c:v>
                </c:pt>
                <c:pt idx="40">
                  <c:v>0.15</c:v>
                </c:pt>
                <c:pt idx="41">
                  <c:v>0.15</c:v>
                </c:pt>
                <c:pt idx="42">
                  <c:v>0.15</c:v>
                </c:pt>
                <c:pt idx="43">
                  <c:v>0.15</c:v>
                </c:pt>
                <c:pt idx="44">
                  <c:v>0.15</c:v>
                </c:pt>
                <c:pt idx="45">
                  <c:v>0.15</c:v>
                </c:pt>
                <c:pt idx="46">
                  <c:v>0.15</c:v>
                </c:pt>
                <c:pt idx="47">
                  <c:v>0.15</c:v>
                </c:pt>
                <c:pt idx="48">
                  <c:v>0.15</c:v>
                </c:pt>
                <c:pt idx="49">
                  <c:v>0.15</c:v>
                </c:pt>
                <c:pt idx="50">
                  <c:v>0.15</c:v>
                </c:pt>
                <c:pt idx="51">
                  <c:v>0.15</c:v>
                </c:pt>
                <c:pt idx="52">
                  <c:v>0.15</c:v>
                </c:pt>
                <c:pt idx="53">
                  <c:v>0.15</c:v>
                </c:pt>
                <c:pt idx="54">
                  <c:v>0.15</c:v>
                </c:pt>
                <c:pt idx="55">
                  <c:v>0.15</c:v>
                </c:pt>
                <c:pt idx="56">
                  <c:v>0.15</c:v>
                </c:pt>
                <c:pt idx="57">
                  <c:v>0.15</c:v>
                </c:pt>
                <c:pt idx="58">
                  <c:v>0.15</c:v>
                </c:pt>
                <c:pt idx="59">
                  <c:v>0.15</c:v>
                </c:pt>
                <c:pt idx="60">
                  <c:v>0.15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</c:v>
                </c:pt>
                <c:pt idx="65">
                  <c:v>0.15</c:v>
                </c:pt>
                <c:pt idx="66">
                  <c:v>0.15</c:v>
                </c:pt>
                <c:pt idx="67">
                  <c:v>0.15</c:v>
                </c:pt>
                <c:pt idx="68">
                  <c:v>0.15</c:v>
                </c:pt>
                <c:pt idx="69">
                  <c:v>0.15</c:v>
                </c:pt>
                <c:pt idx="70">
                  <c:v>0.15</c:v>
                </c:pt>
                <c:pt idx="71">
                  <c:v>0.15</c:v>
                </c:pt>
                <c:pt idx="72">
                  <c:v>0.15</c:v>
                </c:pt>
                <c:pt idx="73">
                  <c:v>0.15</c:v>
                </c:pt>
                <c:pt idx="74">
                  <c:v>0.15</c:v>
                </c:pt>
                <c:pt idx="75">
                  <c:v>0.15</c:v>
                </c:pt>
                <c:pt idx="76">
                  <c:v>0.15</c:v>
                </c:pt>
                <c:pt idx="77">
                  <c:v>0.15</c:v>
                </c:pt>
                <c:pt idx="78">
                  <c:v>0.15</c:v>
                </c:pt>
                <c:pt idx="79">
                  <c:v>0.15</c:v>
                </c:pt>
                <c:pt idx="80">
                  <c:v>0.15</c:v>
                </c:pt>
                <c:pt idx="81">
                  <c:v>0.15</c:v>
                </c:pt>
                <c:pt idx="82">
                  <c:v>0.15</c:v>
                </c:pt>
                <c:pt idx="83">
                  <c:v>0.15</c:v>
                </c:pt>
                <c:pt idx="84">
                  <c:v>0.15</c:v>
                </c:pt>
                <c:pt idx="85">
                  <c:v>0.15</c:v>
                </c:pt>
                <c:pt idx="86">
                  <c:v>0.15</c:v>
                </c:pt>
                <c:pt idx="87">
                  <c:v>0.15</c:v>
                </c:pt>
                <c:pt idx="88">
                  <c:v>0.15</c:v>
                </c:pt>
                <c:pt idx="89">
                  <c:v>0.15</c:v>
                </c:pt>
                <c:pt idx="90">
                  <c:v>0.15</c:v>
                </c:pt>
                <c:pt idx="91">
                  <c:v>0.15</c:v>
                </c:pt>
                <c:pt idx="92">
                  <c:v>0.15</c:v>
                </c:pt>
                <c:pt idx="93">
                  <c:v>0.15</c:v>
                </c:pt>
                <c:pt idx="94">
                  <c:v>0.15</c:v>
                </c:pt>
                <c:pt idx="95">
                  <c:v>0.15</c:v>
                </c:pt>
                <c:pt idx="96">
                  <c:v>0.15</c:v>
                </c:pt>
                <c:pt idx="97">
                  <c:v>0.15</c:v>
                </c:pt>
                <c:pt idx="98">
                  <c:v>0.15</c:v>
                </c:pt>
                <c:pt idx="99">
                  <c:v>0.15</c:v>
                </c:pt>
                <c:pt idx="100">
                  <c:v>0.15</c:v>
                </c:pt>
                <c:pt idx="101">
                  <c:v>0.15</c:v>
                </c:pt>
                <c:pt idx="102">
                  <c:v>0.15</c:v>
                </c:pt>
                <c:pt idx="103">
                  <c:v>0.15</c:v>
                </c:pt>
                <c:pt idx="104">
                  <c:v>0.15</c:v>
                </c:pt>
                <c:pt idx="105">
                  <c:v>0.15</c:v>
                </c:pt>
                <c:pt idx="106">
                  <c:v>0.15</c:v>
                </c:pt>
                <c:pt idx="107">
                  <c:v>0.15</c:v>
                </c:pt>
                <c:pt idx="108">
                  <c:v>0.15</c:v>
                </c:pt>
                <c:pt idx="109">
                  <c:v>0.15</c:v>
                </c:pt>
                <c:pt idx="110">
                  <c:v>0.15</c:v>
                </c:pt>
                <c:pt idx="111">
                  <c:v>0.15</c:v>
                </c:pt>
                <c:pt idx="112">
                  <c:v>0.15</c:v>
                </c:pt>
                <c:pt idx="113">
                  <c:v>0.15</c:v>
                </c:pt>
                <c:pt idx="114">
                  <c:v>0.15</c:v>
                </c:pt>
                <c:pt idx="115">
                  <c:v>0.15</c:v>
                </c:pt>
                <c:pt idx="116">
                  <c:v>0.15</c:v>
                </c:pt>
                <c:pt idx="117">
                  <c:v>0.15</c:v>
                </c:pt>
                <c:pt idx="118">
                  <c:v>0.15</c:v>
                </c:pt>
                <c:pt idx="119">
                  <c:v>0.15</c:v>
                </c:pt>
                <c:pt idx="120">
                  <c:v>0.15</c:v>
                </c:pt>
                <c:pt idx="121">
                  <c:v>0.15</c:v>
                </c:pt>
                <c:pt idx="122">
                  <c:v>0.15</c:v>
                </c:pt>
                <c:pt idx="123">
                  <c:v>0.15</c:v>
                </c:pt>
                <c:pt idx="124">
                  <c:v>0.15</c:v>
                </c:pt>
                <c:pt idx="125">
                  <c:v>0.15</c:v>
                </c:pt>
                <c:pt idx="126">
                  <c:v>0.15</c:v>
                </c:pt>
                <c:pt idx="127">
                  <c:v>0.15</c:v>
                </c:pt>
                <c:pt idx="128">
                  <c:v>0.15</c:v>
                </c:pt>
                <c:pt idx="129">
                  <c:v>0.15</c:v>
                </c:pt>
                <c:pt idx="130">
                  <c:v>0.15</c:v>
                </c:pt>
                <c:pt idx="131">
                  <c:v>0.15</c:v>
                </c:pt>
                <c:pt idx="132">
                  <c:v>0.15</c:v>
                </c:pt>
                <c:pt idx="133">
                  <c:v>0.15</c:v>
                </c:pt>
                <c:pt idx="134">
                  <c:v>0.15</c:v>
                </c:pt>
                <c:pt idx="135">
                  <c:v>0.15</c:v>
                </c:pt>
                <c:pt idx="136">
                  <c:v>0.15</c:v>
                </c:pt>
                <c:pt idx="137">
                  <c:v>0.15</c:v>
                </c:pt>
                <c:pt idx="138">
                  <c:v>0.15</c:v>
                </c:pt>
                <c:pt idx="139">
                  <c:v>0.15</c:v>
                </c:pt>
                <c:pt idx="140">
                  <c:v>0.15</c:v>
                </c:pt>
                <c:pt idx="141">
                  <c:v>0.15</c:v>
                </c:pt>
                <c:pt idx="142">
                  <c:v>0.15</c:v>
                </c:pt>
                <c:pt idx="143">
                  <c:v>0.15</c:v>
                </c:pt>
                <c:pt idx="144">
                  <c:v>0.15</c:v>
                </c:pt>
                <c:pt idx="145">
                  <c:v>0.15</c:v>
                </c:pt>
                <c:pt idx="146">
                  <c:v>0.15</c:v>
                </c:pt>
                <c:pt idx="147">
                  <c:v>0.15</c:v>
                </c:pt>
                <c:pt idx="148">
                  <c:v>0.15</c:v>
                </c:pt>
                <c:pt idx="149">
                  <c:v>0.15</c:v>
                </c:pt>
                <c:pt idx="150">
                  <c:v>0.15</c:v>
                </c:pt>
                <c:pt idx="151">
                  <c:v>0.15</c:v>
                </c:pt>
                <c:pt idx="152">
                  <c:v>0.15</c:v>
                </c:pt>
                <c:pt idx="153">
                  <c:v>0.15</c:v>
                </c:pt>
                <c:pt idx="154">
                  <c:v>0.15</c:v>
                </c:pt>
                <c:pt idx="155">
                  <c:v>0.15</c:v>
                </c:pt>
                <c:pt idx="156">
                  <c:v>0.15</c:v>
                </c:pt>
                <c:pt idx="157">
                  <c:v>0.15</c:v>
                </c:pt>
                <c:pt idx="158">
                  <c:v>0.15</c:v>
                </c:pt>
                <c:pt idx="159">
                  <c:v>0.15</c:v>
                </c:pt>
                <c:pt idx="160">
                  <c:v>0.15</c:v>
                </c:pt>
                <c:pt idx="161">
                  <c:v>0.15</c:v>
                </c:pt>
                <c:pt idx="162">
                  <c:v>0.15</c:v>
                </c:pt>
                <c:pt idx="163">
                  <c:v>0.15</c:v>
                </c:pt>
                <c:pt idx="164">
                  <c:v>0.15</c:v>
                </c:pt>
                <c:pt idx="165">
                  <c:v>0.15</c:v>
                </c:pt>
                <c:pt idx="166">
                  <c:v>0.15</c:v>
                </c:pt>
                <c:pt idx="167">
                  <c:v>0.15</c:v>
                </c:pt>
                <c:pt idx="168">
                  <c:v>0.15</c:v>
                </c:pt>
                <c:pt idx="169">
                  <c:v>0.15</c:v>
                </c:pt>
                <c:pt idx="170">
                  <c:v>0.15</c:v>
                </c:pt>
                <c:pt idx="171">
                  <c:v>0.15</c:v>
                </c:pt>
                <c:pt idx="172">
                  <c:v>0.15</c:v>
                </c:pt>
                <c:pt idx="173">
                  <c:v>0.15</c:v>
                </c:pt>
                <c:pt idx="174">
                  <c:v>0.15</c:v>
                </c:pt>
                <c:pt idx="175">
                  <c:v>0.15</c:v>
                </c:pt>
                <c:pt idx="176">
                  <c:v>0.15</c:v>
                </c:pt>
                <c:pt idx="177">
                  <c:v>0.15</c:v>
                </c:pt>
                <c:pt idx="178">
                  <c:v>0.15</c:v>
                </c:pt>
                <c:pt idx="179">
                  <c:v>0.15</c:v>
                </c:pt>
                <c:pt idx="180">
                  <c:v>0.15</c:v>
                </c:pt>
                <c:pt idx="181">
                  <c:v>0.15</c:v>
                </c:pt>
                <c:pt idx="182">
                  <c:v>0.15</c:v>
                </c:pt>
                <c:pt idx="183">
                  <c:v>0.15</c:v>
                </c:pt>
                <c:pt idx="184">
                  <c:v>0.15</c:v>
                </c:pt>
                <c:pt idx="185">
                  <c:v>0.15</c:v>
                </c:pt>
                <c:pt idx="186">
                  <c:v>0.15</c:v>
                </c:pt>
                <c:pt idx="187">
                  <c:v>0.15</c:v>
                </c:pt>
                <c:pt idx="188">
                  <c:v>0.15</c:v>
                </c:pt>
                <c:pt idx="189">
                  <c:v>0.15</c:v>
                </c:pt>
                <c:pt idx="190">
                  <c:v>0.15</c:v>
                </c:pt>
                <c:pt idx="191">
                  <c:v>0.15</c:v>
                </c:pt>
                <c:pt idx="192">
                  <c:v>0.15</c:v>
                </c:pt>
                <c:pt idx="193">
                  <c:v>0.15</c:v>
                </c:pt>
                <c:pt idx="194">
                  <c:v>0.15</c:v>
                </c:pt>
                <c:pt idx="195">
                  <c:v>0.15</c:v>
                </c:pt>
                <c:pt idx="196">
                  <c:v>0.15</c:v>
                </c:pt>
                <c:pt idx="197">
                  <c:v>0.15</c:v>
                </c:pt>
                <c:pt idx="198">
                  <c:v>0.15</c:v>
                </c:pt>
                <c:pt idx="199">
                  <c:v>0.15</c:v>
                </c:pt>
                <c:pt idx="200">
                  <c:v>0.15</c:v>
                </c:pt>
                <c:pt idx="201">
                  <c:v>0.15</c:v>
                </c:pt>
                <c:pt idx="202">
                  <c:v>0.15</c:v>
                </c:pt>
                <c:pt idx="203">
                  <c:v>0.15</c:v>
                </c:pt>
                <c:pt idx="204">
                  <c:v>0.15</c:v>
                </c:pt>
                <c:pt idx="205">
                  <c:v>0.15</c:v>
                </c:pt>
                <c:pt idx="206">
                  <c:v>0.15</c:v>
                </c:pt>
                <c:pt idx="207">
                  <c:v>0.15</c:v>
                </c:pt>
                <c:pt idx="208">
                  <c:v>0.15</c:v>
                </c:pt>
                <c:pt idx="209">
                  <c:v>0.15</c:v>
                </c:pt>
                <c:pt idx="210">
                  <c:v>0.15</c:v>
                </c:pt>
                <c:pt idx="211">
                  <c:v>0.15</c:v>
                </c:pt>
                <c:pt idx="212">
                  <c:v>0.15</c:v>
                </c:pt>
                <c:pt idx="213">
                  <c:v>0.15</c:v>
                </c:pt>
                <c:pt idx="214">
                  <c:v>0.15</c:v>
                </c:pt>
                <c:pt idx="215">
                  <c:v>0.15</c:v>
                </c:pt>
                <c:pt idx="216">
                  <c:v>0.15</c:v>
                </c:pt>
                <c:pt idx="217">
                  <c:v>0.15</c:v>
                </c:pt>
                <c:pt idx="218">
                  <c:v>0.15</c:v>
                </c:pt>
                <c:pt idx="219">
                  <c:v>0.15</c:v>
                </c:pt>
                <c:pt idx="220">
                  <c:v>0.15</c:v>
                </c:pt>
                <c:pt idx="221">
                  <c:v>0.15</c:v>
                </c:pt>
                <c:pt idx="222">
                  <c:v>0.15</c:v>
                </c:pt>
                <c:pt idx="223">
                  <c:v>0.15</c:v>
                </c:pt>
                <c:pt idx="224">
                  <c:v>0.15</c:v>
                </c:pt>
                <c:pt idx="225">
                  <c:v>0.15</c:v>
                </c:pt>
                <c:pt idx="226">
                  <c:v>0.15</c:v>
                </c:pt>
                <c:pt idx="227">
                  <c:v>0.15</c:v>
                </c:pt>
                <c:pt idx="228">
                  <c:v>0.15</c:v>
                </c:pt>
                <c:pt idx="229">
                  <c:v>0.15</c:v>
                </c:pt>
                <c:pt idx="230">
                  <c:v>0.15</c:v>
                </c:pt>
                <c:pt idx="231">
                  <c:v>0.15</c:v>
                </c:pt>
                <c:pt idx="232">
                  <c:v>0.15</c:v>
                </c:pt>
                <c:pt idx="233">
                  <c:v>0.15</c:v>
                </c:pt>
                <c:pt idx="234">
                  <c:v>0.15</c:v>
                </c:pt>
                <c:pt idx="235">
                  <c:v>0.15</c:v>
                </c:pt>
                <c:pt idx="236">
                  <c:v>0.15</c:v>
                </c:pt>
                <c:pt idx="237">
                  <c:v>0.15</c:v>
                </c:pt>
                <c:pt idx="238">
                  <c:v>0.15</c:v>
                </c:pt>
                <c:pt idx="239">
                  <c:v>0.15</c:v>
                </c:pt>
                <c:pt idx="240">
                  <c:v>0.15</c:v>
                </c:pt>
                <c:pt idx="241">
                  <c:v>0.15</c:v>
                </c:pt>
                <c:pt idx="242">
                  <c:v>0.15</c:v>
                </c:pt>
                <c:pt idx="243">
                  <c:v>0.15</c:v>
                </c:pt>
                <c:pt idx="244">
                  <c:v>0.15</c:v>
                </c:pt>
                <c:pt idx="245">
                  <c:v>0.15</c:v>
                </c:pt>
                <c:pt idx="246">
                  <c:v>0.15</c:v>
                </c:pt>
                <c:pt idx="247">
                  <c:v>0.15</c:v>
                </c:pt>
                <c:pt idx="248">
                  <c:v>0.15</c:v>
                </c:pt>
                <c:pt idx="249">
                  <c:v>0.15</c:v>
                </c:pt>
                <c:pt idx="250">
                  <c:v>0.15</c:v>
                </c:pt>
                <c:pt idx="251">
                  <c:v>0.15</c:v>
                </c:pt>
                <c:pt idx="252">
                  <c:v>0.15</c:v>
                </c:pt>
                <c:pt idx="253">
                  <c:v>0.15</c:v>
                </c:pt>
                <c:pt idx="254">
                  <c:v>0.15</c:v>
                </c:pt>
                <c:pt idx="255">
                  <c:v>0.15</c:v>
                </c:pt>
                <c:pt idx="256">
                  <c:v>0.15</c:v>
                </c:pt>
                <c:pt idx="257">
                  <c:v>0.15</c:v>
                </c:pt>
                <c:pt idx="258">
                  <c:v>0.15</c:v>
                </c:pt>
                <c:pt idx="259">
                  <c:v>0.15</c:v>
                </c:pt>
                <c:pt idx="260">
                  <c:v>0.15</c:v>
                </c:pt>
                <c:pt idx="261">
                  <c:v>0.15</c:v>
                </c:pt>
                <c:pt idx="262">
                  <c:v>0.15</c:v>
                </c:pt>
                <c:pt idx="263">
                  <c:v>0.15</c:v>
                </c:pt>
                <c:pt idx="264">
                  <c:v>0.15</c:v>
                </c:pt>
                <c:pt idx="265">
                  <c:v>0.15</c:v>
                </c:pt>
                <c:pt idx="266">
                  <c:v>0.15</c:v>
                </c:pt>
                <c:pt idx="267">
                  <c:v>0.15</c:v>
                </c:pt>
                <c:pt idx="268">
                  <c:v>0.15</c:v>
                </c:pt>
                <c:pt idx="269">
                  <c:v>0.15</c:v>
                </c:pt>
                <c:pt idx="270">
                  <c:v>0.15</c:v>
                </c:pt>
                <c:pt idx="271">
                  <c:v>0.15</c:v>
                </c:pt>
                <c:pt idx="272">
                  <c:v>0.15</c:v>
                </c:pt>
                <c:pt idx="273">
                  <c:v>0.15</c:v>
                </c:pt>
                <c:pt idx="274">
                  <c:v>0.15</c:v>
                </c:pt>
                <c:pt idx="275">
                  <c:v>0.15</c:v>
                </c:pt>
                <c:pt idx="276">
                  <c:v>0.15</c:v>
                </c:pt>
                <c:pt idx="277">
                  <c:v>0.15</c:v>
                </c:pt>
                <c:pt idx="278">
                  <c:v>0.15</c:v>
                </c:pt>
                <c:pt idx="279">
                  <c:v>0.15</c:v>
                </c:pt>
                <c:pt idx="280">
                  <c:v>0.15</c:v>
                </c:pt>
                <c:pt idx="281">
                  <c:v>0.15</c:v>
                </c:pt>
                <c:pt idx="282">
                  <c:v>0.15</c:v>
                </c:pt>
                <c:pt idx="283">
                  <c:v>0.15</c:v>
                </c:pt>
                <c:pt idx="284">
                  <c:v>0.15</c:v>
                </c:pt>
                <c:pt idx="285">
                  <c:v>0.15</c:v>
                </c:pt>
                <c:pt idx="286">
                  <c:v>0.15</c:v>
                </c:pt>
                <c:pt idx="287">
                  <c:v>0.15</c:v>
                </c:pt>
                <c:pt idx="288">
                  <c:v>0.15</c:v>
                </c:pt>
                <c:pt idx="289">
                  <c:v>0.15</c:v>
                </c:pt>
                <c:pt idx="290">
                  <c:v>0.15</c:v>
                </c:pt>
                <c:pt idx="291">
                  <c:v>0.15</c:v>
                </c:pt>
                <c:pt idx="292">
                  <c:v>0.15</c:v>
                </c:pt>
                <c:pt idx="293">
                  <c:v>0.15</c:v>
                </c:pt>
                <c:pt idx="294">
                  <c:v>0.15</c:v>
                </c:pt>
                <c:pt idx="295">
                  <c:v>0.15</c:v>
                </c:pt>
                <c:pt idx="296">
                  <c:v>0.15</c:v>
                </c:pt>
                <c:pt idx="297">
                  <c:v>0.15</c:v>
                </c:pt>
                <c:pt idx="298">
                  <c:v>0.15</c:v>
                </c:pt>
                <c:pt idx="299">
                  <c:v>0.15</c:v>
                </c:pt>
                <c:pt idx="300">
                  <c:v>0.15</c:v>
                </c:pt>
                <c:pt idx="301">
                  <c:v>0.15</c:v>
                </c:pt>
                <c:pt idx="302">
                  <c:v>0.15</c:v>
                </c:pt>
                <c:pt idx="303">
                  <c:v>0.15</c:v>
                </c:pt>
                <c:pt idx="304">
                  <c:v>0.15</c:v>
                </c:pt>
                <c:pt idx="305">
                  <c:v>0.15</c:v>
                </c:pt>
                <c:pt idx="306">
                  <c:v>0.15</c:v>
                </c:pt>
                <c:pt idx="307">
                  <c:v>0.15</c:v>
                </c:pt>
                <c:pt idx="308">
                  <c:v>0.15</c:v>
                </c:pt>
                <c:pt idx="309">
                  <c:v>0.15</c:v>
                </c:pt>
                <c:pt idx="310">
                  <c:v>0.15</c:v>
                </c:pt>
                <c:pt idx="311">
                  <c:v>0.15</c:v>
                </c:pt>
                <c:pt idx="312">
                  <c:v>0.15</c:v>
                </c:pt>
                <c:pt idx="313">
                  <c:v>0.15</c:v>
                </c:pt>
                <c:pt idx="314">
                  <c:v>0.15</c:v>
                </c:pt>
                <c:pt idx="315">
                  <c:v>0.15</c:v>
                </c:pt>
                <c:pt idx="316">
                  <c:v>0.15</c:v>
                </c:pt>
                <c:pt idx="317">
                  <c:v>0.15</c:v>
                </c:pt>
                <c:pt idx="318">
                  <c:v>0.15</c:v>
                </c:pt>
                <c:pt idx="319">
                  <c:v>0.15</c:v>
                </c:pt>
                <c:pt idx="320">
                  <c:v>0.15</c:v>
                </c:pt>
                <c:pt idx="321">
                  <c:v>0.15</c:v>
                </c:pt>
                <c:pt idx="322">
                  <c:v>0.15</c:v>
                </c:pt>
                <c:pt idx="323">
                  <c:v>0.15</c:v>
                </c:pt>
                <c:pt idx="324">
                  <c:v>0.15</c:v>
                </c:pt>
                <c:pt idx="325">
                  <c:v>0.15</c:v>
                </c:pt>
                <c:pt idx="326">
                  <c:v>0.15</c:v>
                </c:pt>
                <c:pt idx="327">
                  <c:v>0.15</c:v>
                </c:pt>
                <c:pt idx="328">
                  <c:v>0.15</c:v>
                </c:pt>
                <c:pt idx="329">
                  <c:v>0.15</c:v>
                </c:pt>
                <c:pt idx="330">
                  <c:v>0.15</c:v>
                </c:pt>
                <c:pt idx="331">
                  <c:v>0.15</c:v>
                </c:pt>
                <c:pt idx="332">
                  <c:v>0.15</c:v>
                </c:pt>
                <c:pt idx="333">
                  <c:v>0.15</c:v>
                </c:pt>
                <c:pt idx="334">
                  <c:v>0.15</c:v>
                </c:pt>
                <c:pt idx="335">
                  <c:v>0.15</c:v>
                </c:pt>
                <c:pt idx="336">
                  <c:v>0.15</c:v>
                </c:pt>
                <c:pt idx="337">
                  <c:v>0.15</c:v>
                </c:pt>
                <c:pt idx="338">
                  <c:v>0.15</c:v>
                </c:pt>
                <c:pt idx="339">
                  <c:v>0.15</c:v>
                </c:pt>
                <c:pt idx="340">
                  <c:v>0.15</c:v>
                </c:pt>
                <c:pt idx="341">
                  <c:v>0.15</c:v>
                </c:pt>
                <c:pt idx="342">
                  <c:v>0.15</c:v>
                </c:pt>
                <c:pt idx="343">
                  <c:v>0.15</c:v>
                </c:pt>
                <c:pt idx="344">
                  <c:v>0.15</c:v>
                </c:pt>
                <c:pt idx="345">
                  <c:v>0.15</c:v>
                </c:pt>
                <c:pt idx="346">
                  <c:v>0.15</c:v>
                </c:pt>
                <c:pt idx="347">
                  <c:v>0.15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0.15</c:v>
                </c:pt>
                <c:pt idx="352">
                  <c:v>0.15</c:v>
                </c:pt>
                <c:pt idx="353">
                  <c:v>0.15</c:v>
                </c:pt>
                <c:pt idx="354">
                  <c:v>0.15</c:v>
                </c:pt>
                <c:pt idx="355">
                  <c:v>0.15</c:v>
                </c:pt>
                <c:pt idx="356">
                  <c:v>0.15</c:v>
                </c:pt>
                <c:pt idx="357">
                  <c:v>0.15</c:v>
                </c:pt>
                <c:pt idx="358">
                  <c:v>0.15</c:v>
                </c:pt>
                <c:pt idx="359">
                  <c:v>0.15</c:v>
                </c:pt>
                <c:pt idx="360">
                  <c:v>0.15</c:v>
                </c:pt>
                <c:pt idx="361">
                  <c:v>0.15</c:v>
                </c:pt>
                <c:pt idx="362">
                  <c:v>0.15</c:v>
                </c:pt>
                <c:pt idx="363">
                  <c:v>0.15</c:v>
                </c:pt>
                <c:pt idx="364">
                  <c:v>0.15</c:v>
                </c:pt>
                <c:pt idx="365">
                  <c:v>0.15</c:v>
                </c:pt>
                <c:pt idx="366">
                  <c:v>0.15</c:v>
                </c:pt>
                <c:pt idx="367">
                  <c:v>0.15</c:v>
                </c:pt>
                <c:pt idx="368">
                  <c:v>0.15</c:v>
                </c:pt>
                <c:pt idx="369">
                  <c:v>0.15</c:v>
                </c:pt>
                <c:pt idx="370">
                  <c:v>0.15</c:v>
                </c:pt>
                <c:pt idx="371">
                  <c:v>0.15</c:v>
                </c:pt>
                <c:pt idx="372">
                  <c:v>0.15</c:v>
                </c:pt>
                <c:pt idx="373">
                  <c:v>0.15</c:v>
                </c:pt>
                <c:pt idx="374">
                  <c:v>0.15</c:v>
                </c:pt>
                <c:pt idx="375">
                  <c:v>0.15</c:v>
                </c:pt>
                <c:pt idx="376">
                  <c:v>0.15</c:v>
                </c:pt>
                <c:pt idx="377">
                  <c:v>0.15</c:v>
                </c:pt>
                <c:pt idx="378">
                  <c:v>0.15</c:v>
                </c:pt>
                <c:pt idx="379">
                  <c:v>0.15</c:v>
                </c:pt>
                <c:pt idx="380">
                  <c:v>0.15</c:v>
                </c:pt>
                <c:pt idx="381">
                  <c:v>0.15</c:v>
                </c:pt>
                <c:pt idx="382">
                  <c:v>0.15</c:v>
                </c:pt>
                <c:pt idx="383">
                  <c:v>0.15</c:v>
                </c:pt>
                <c:pt idx="384">
                  <c:v>0.15</c:v>
                </c:pt>
                <c:pt idx="385">
                  <c:v>0.15</c:v>
                </c:pt>
                <c:pt idx="386">
                  <c:v>0.15</c:v>
                </c:pt>
                <c:pt idx="387">
                  <c:v>0.15</c:v>
                </c:pt>
                <c:pt idx="388">
                  <c:v>0.15</c:v>
                </c:pt>
                <c:pt idx="389">
                  <c:v>0.15</c:v>
                </c:pt>
                <c:pt idx="390">
                  <c:v>0.15</c:v>
                </c:pt>
                <c:pt idx="391">
                  <c:v>0.15</c:v>
                </c:pt>
                <c:pt idx="392">
                  <c:v>0.15</c:v>
                </c:pt>
                <c:pt idx="393">
                  <c:v>0.15</c:v>
                </c:pt>
                <c:pt idx="394">
                  <c:v>0.15</c:v>
                </c:pt>
                <c:pt idx="395">
                  <c:v>0.15</c:v>
                </c:pt>
                <c:pt idx="396">
                  <c:v>0.15</c:v>
                </c:pt>
                <c:pt idx="397">
                  <c:v>0.15</c:v>
                </c:pt>
                <c:pt idx="398">
                  <c:v>0.15</c:v>
                </c:pt>
                <c:pt idx="399">
                  <c:v>0.15</c:v>
                </c:pt>
                <c:pt idx="400">
                  <c:v>0.15</c:v>
                </c:pt>
                <c:pt idx="401">
                  <c:v>0.15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0.15</c:v>
                </c:pt>
                <c:pt idx="406">
                  <c:v>0.15</c:v>
                </c:pt>
                <c:pt idx="407">
                  <c:v>0.15</c:v>
                </c:pt>
                <c:pt idx="408">
                  <c:v>0.15</c:v>
                </c:pt>
                <c:pt idx="409">
                  <c:v>0.15</c:v>
                </c:pt>
                <c:pt idx="410">
                  <c:v>0.15</c:v>
                </c:pt>
                <c:pt idx="411">
                  <c:v>0.15</c:v>
                </c:pt>
                <c:pt idx="412">
                  <c:v>0.15</c:v>
                </c:pt>
                <c:pt idx="413">
                  <c:v>0.15</c:v>
                </c:pt>
                <c:pt idx="414">
                  <c:v>0.15</c:v>
                </c:pt>
                <c:pt idx="415">
                  <c:v>0.15</c:v>
                </c:pt>
                <c:pt idx="416">
                  <c:v>0.15</c:v>
                </c:pt>
                <c:pt idx="417">
                  <c:v>0.15</c:v>
                </c:pt>
                <c:pt idx="418">
                  <c:v>0.15</c:v>
                </c:pt>
                <c:pt idx="419">
                  <c:v>0.15</c:v>
                </c:pt>
                <c:pt idx="420">
                  <c:v>0.15</c:v>
                </c:pt>
                <c:pt idx="421">
                  <c:v>0.15</c:v>
                </c:pt>
                <c:pt idx="422">
                  <c:v>0.15</c:v>
                </c:pt>
                <c:pt idx="423">
                  <c:v>0.15</c:v>
                </c:pt>
                <c:pt idx="424">
                  <c:v>0.15</c:v>
                </c:pt>
                <c:pt idx="425">
                  <c:v>0.15</c:v>
                </c:pt>
                <c:pt idx="426">
                  <c:v>0.15</c:v>
                </c:pt>
                <c:pt idx="427">
                  <c:v>0.15</c:v>
                </c:pt>
                <c:pt idx="428">
                  <c:v>0.15</c:v>
                </c:pt>
                <c:pt idx="429">
                  <c:v>0.15</c:v>
                </c:pt>
                <c:pt idx="430">
                  <c:v>0.15</c:v>
                </c:pt>
                <c:pt idx="431">
                  <c:v>0.15</c:v>
                </c:pt>
                <c:pt idx="432">
                  <c:v>0.15</c:v>
                </c:pt>
                <c:pt idx="433">
                  <c:v>0.15</c:v>
                </c:pt>
                <c:pt idx="434">
                  <c:v>0.15</c:v>
                </c:pt>
                <c:pt idx="435">
                  <c:v>0.15</c:v>
                </c:pt>
                <c:pt idx="436">
                  <c:v>0.15</c:v>
                </c:pt>
                <c:pt idx="437">
                  <c:v>0.15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13-4004-94CD-60F5D0E00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3800511"/>
        <c:axId val="8138009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ASSETS!$D$18</c15:sqref>
                        </c15:formulaRef>
                      </c:ext>
                    </c:extLst>
                    <c:strCache>
                      <c:ptCount val="1"/>
                      <c:pt idx="0">
                        <c:v> Fitness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ASSETS!$C$19:$C$493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7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ASSETS!$D$19:$D$493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475"/>
                      <c:pt idx="0">
                        <c:v>0.7931034482758621</c:v>
                      </c:pt>
                      <c:pt idx="1">
                        <c:v>0.83333333333333337</c:v>
                      </c:pt>
                      <c:pt idx="2">
                        <c:v>0.78787878787878785</c:v>
                      </c:pt>
                      <c:pt idx="3">
                        <c:v>0.74358974358974361</c:v>
                      </c:pt>
                      <c:pt idx="4">
                        <c:v>0.78</c:v>
                      </c:pt>
                      <c:pt idx="5">
                        <c:v>0.76363636363636367</c:v>
                      </c:pt>
                      <c:pt idx="6">
                        <c:v>0.73770491803278693</c:v>
                      </c:pt>
                      <c:pt idx="7">
                        <c:v>0.78947368421052633</c:v>
                      </c:pt>
                      <c:pt idx="8">
                        <c:v>0.8035714285714286</c:v>
                      </c:pt>
                      <c:pt idx="9">
                        <c:v>0.81818181818181823</c:v>
                      </c:pt>
                      <c:pt idx="10">
                        <c:v>0.8214285714285714</c:v>
                      </c:pt>
                      <c:pt idx="11">
                        <c:v>0.79245283018867929</c:v>
                      </c:pt>
                      <c:pt idx="12">
                        <c:v>0.75806451612903225</c:v>
                      </c:pt>
                      <c:pt idx="13">
                        <c:v>0.76190476190476186</c:v>
                      </c:pt>
                      <c:pt idx="14">
                        <c:v>0.74242424242424243</c:v>
                      </c:pt>
                      <c:pt idx="15">
                        <c:v>0.72727272727272729</c:v>
                      </c:pt>
                      <c:pt idx="16">
                        <c:v>0.69696969696969702</c:v>
                      </c:pt>
                      <c:pt idx="17">
                        <c:v>0.75384615384615383</c:v>
                      </c:pt>
                      <c:pt idx="18">
                        <c:v>0.74603174603174605</c:v>
                      </c:pt>
                      <c:pt idx="19">
                        <c:v>0.75409836065573765</c:v>
                      </c:pt>
                      <c:pt idx="20">
                        <c:v>0.78688524590163933</c:v>
                      </c:pt>
                      <c:pt idx="21">
                        <c:v>0.734375</c:v>
                      </c:pt>
                      <c:pt idx="22">
                        <c:v>0.69841269841269837</c:v>
                      </c:pt>
                      <c:pt idx="23">
                        <c:v>0.75</c:v>
                      </c:pt>
                      <c:pt idx="24">
                        <c:v>0.76271186440677963</c:v>
                      </c:pt>
                      <c:pt idx="25">
                        <c:v>0.8</c:v>
                      </c:pt>
                      <c:pt idx="26">
                        <c:v>0.76190476190476186</c:v>
                      </c:pt>
                      <c:pt idx="27">
                        <c:v>0.76666666666666672</c:v>
                      </c:pt>
                      <c:pt idx="28">
                        <c:v>0.734375</c:v>
                      </c:pt>
                      <c:pt idx="29">
                        <c:v>0.69565217391304346</c:v>
                      </c:pt>
                      <c:pt idx="30">
                        <c:v>0.70149253731343286</c:v>
                      </c:pt>
                      <c:pt idx="31">
                        <c:v>0.70588235294117652</c:v>
                      </c:pt>
                      <c:pt idx="32">
                        <c:v>0.75</c:v>
                      </c:pt>
                      <c:pt idx="33">
                        <c:v>0.75409836065573765</c:v>
                      </c:pt>
                      <c:pt idx="34">
                        <c:v>0.75409836065573765</c:v>
                      </c:pt>
                      <c:pt idx="35">
                        <c:v>0.78947368421052633</c:v>
                      </c:pt>
                      <c:pt idx="36">
                        <c:v>0.72413793103448276</c:v>
                      </c:pt>
                      <c:pt idx="37">
                        <c:v>0.68656716417910446</c:v>
                      </c:pt>
                      <c:pt idx="38">
                        <c:v>0.69230769230769229</c:v>
                      </c:pt>
                      <c:pt idx="39">
                        <c:v>0.676056338028169</c:v>
                      </c:pt>
                      <c:pt idx="40">
                        <c:v>0.676056338028169</c:v>
                      </c:pt>
                      <c:pt idx="41">
                        <c:v>0.7384615384615385</c:v>
                      </c:pt>
                      <c:pt idx="42">
                        <c:v>0.640625</c:v>
                      </c:pt>
                      <c:pt idx="43">
                        <c:v>0.74576271186440679</c:v>
                      </c:pt>
                      <c:pt idx="44">
                        <c:v>0.72131147540983609</c:v>
                      </c:pt>
                      <c:pt idx="45">
                        <c:v>0.734375</c:v>
                      </c:pt>
                      <c:pt idx="46">
                        <c:v>0.73770491803278693</c:v>
                      </c:pt>
                      <c:pt idx="47">
                        <c:v>0.65671641791044777</c:v>
                      </c:pt>
                      <c:pt idx="48">
                        <c:v>0.734375</c:v>
                      </c:pt>
                      <c:pt idx="49">
                        <c:v>0.80645161290322576</c:v>
                      </c:pt>
                      <c:pt idx="50">
                        <c:v>0.74603174603174605</c:v>
                      </c:pt>
                      <c:pt idx="51">
                        <c:v>0.77192982456140347</c:v>
                      </c:pt>
                      <c:pt idx="52">
                        <c:v>0.74509803921568629</c:v>
                      </c:pt>
                      <c:pt idx="53">
                        <c:v>0.73684210526315785</c:v>
                      </c:pt>
                      <c:pt idx="54">
                        <c:v>0.78947368421052633</c:v>
                      </c:pt>
                      <c:pt idx="55">
                        <c:v>0.75438596491228072</c:v>
                      </c:pt>
                      <c:pt idx="56">
                        <c:v>0.75</c:v>
                      </c:pt>
                      <c:pt idx="57">
                        <c:v>0.65079365079365081</c:v>
                      </c:pt>
                      <c:pt idx="58">
                        <c:v>0.6271186440677966</c:v>
                      </c:pt>
                      <c:pt idx="59">
                        <c:v>0.69090909090909092</c:v>
                      </c:pt>
                      <c:pt idx="60">
                        <c:v>0.75</c:v>
                      </c:pt>
                      <c:pt idx="61">
                        <c:v>0.70491803278688525</c:v>
                      </c:pt>
                      <c:pt idx="62">
                        <c:v>0.734375</c:v>
                      </c:pt>
                      <c:pt idx="63">
                        <c:v>0.7</c:v>
                      </c:pt>
                      <c:pt idx="64">
                        <c:v>0.70149253731343286</c:v>
                      </c:pt>
                      <c:pt idx="65">
                        <c:v>0.671875</c:v>
                      </c:pt>
                      <c:pt idx="66">
                        <c:v>0.67142857142857137</c:v>
                      </c:pt>
                      <c:pt idx="67">
                        <c:v>0.72058823529411764</c:v>
                      </c:pt>
                      <c:pt idx="68">
                        <c:v>0.765625</c:v>
                      </c:pt>
                      <c:pt idx="69">
                        <c:v>0.6470588235294118</c:v>
                      </c:pt>
                      <c:pt idx="70">
                        <c:v>0.69696969696969702</c:v>
                      </c:pt>
                      <c:pt idx="71">
                        <c:v>0.68493150684931503</c:v>
                      </c:pt>
                      <c:pt idx="72">
                        <c:v>0.69863013698630139</c:v>
                      </c:pt>
                      <c:pt idx="73">
                        <c:v>0.73972602739726023</c:v>
                      </c:pt>
                      <c:pt idx="74">
                        <c:v>0.70422535211267601</c:v>
                      </c:pt>
                      <c:pt idx="75">
                        <c:v>0.69444444444444442</c:v>
                      </c:pt>
                      <c:pt idx="76">
                        <c:v>0.70149253731343286</c:v>
                      </c:pt>
                      <c:pt idx="77">
                        <c:v>0.72058823529411764</c:v>
                      </c:pt>
                      <c:pt idx="78">
                        <c:v>0.71666666666666667</c:v>
                      </c:pt>
                      <c:pt idx="79">
                        <c:v>0.73134328358208955</c:v>
                      </c:pt>
                      <c:pt idx="80">
                        <c:v>0.69696969696969702</c:v>
                      </c:pt>
                      <c:pt idx="81">
                        <c:v>0.70769230769230773</c:v>
                      </c:pt>
                      <c:pt idx="82">
                        <c:v>0.78688524590163933</c:v>
                      </c:pt>
                      <c:pt idx="83">
                        <c:v>0.73770491803278693</c:v>
                      </c:pt>
                      <c:pt idx="84">
                        <c:v>0.7142857142857143</c:v>
                      </c:pt>
                      <c:pt idx="85">
                        <c:v>0.73015873015873012</c:v>
                      </c:pt>
                      <c:pt idx="86">
                        <c:v>0.734375</c:v>
                      </c:pt>
                      <c:pt idx="87">
                        <c:v>0.734375</c:v>
                      </c:pt>
                      <c:pt idx="88">
                        <c:v>0.75757575757575757</c:v>
                      </c:pt>
                      <c:pt idx="89">
                        <c:v>0.70149253731343286</c:v>
                      </c:pt>
                      <c:pt idx="90">
                        <c:v>0.69696969696969702</c:v>
                      </c:pt>
                      <c:pt idx="91">
                        <c:v>0.7142857142857143</c:v>
                      </c:pt>
                      <c:pt idx="92">
                        <c:v>0.70175438596491224</c:v>
                      </c:pt>
                      <c:pt idx="93">
                        <c:v>0.73684210526315785</c:v>
                      </c:pt>
                      <c:pt idx="94">
                        <c:v>0.69491525423728817</c:v>
                      </c:pt>
                      <c:pt idx="95">
                        <c:v>0.73770491803278693</c:v>
                      </c:pt>
                      <c:pt idx="96">
                        <c:v>0.72058823529411764</c:v>
                      </c:pt>
                      <c:pt idx="97">
                        <c:v>0.72058823529411764</c:v>
                      </c:pt>
                      <c:pt idx="98">
                        <c:v>0.6875</c:v>
                      </c:pt>
                      <c:pt idx="99">
                        <c:v>0.75</c:v>
                      </c:pt>
                      <c:pt idx="100">
                        <c:v>0.76190476190476186</c:v>
                      </c:pt>
                      <c:pt idx="101">
                        <c:v>0.76119402985074625</c:v>
                      </c:pt>
                      <c:pt idx="102">
                        <c:v>0.73913043478260865</c:v>
                      </c:pt>
                      <c:pt idx="103">
                        <c:v>0.72222222222222221</c:v>
                      </c:pt>
                      <c:pt idx="104">
                        <c:v>0.7</c:v>
                      </c:pt>
                      <c:pt idx="105">
                        <c:v>0.7142857142857143</c:v>
                      </c:pt>
                      <c:pt idx="106">
                        <c:v>0.75757575757575757</c:v>
                      </c:pt>
                      <c:pt idx="107">
                        <c:v>0.77777777777777779</c:v>
                      </c:pt>
                      <c:pt idx="108">
                        <c:v>0.70491803278688525</c:v>
                      </c:pt>
                      <c:pt idx="109">
                        <c:v>0.72131147540983609</c:v>
                      </c:pt>
                      <c:pt idx="110">
                        <c:v>0.70769230769230773</c:v>
                      </c:pt>
                      <c:pt idx="111">
                        <c:v>0.7384615384615385</c:v>
                      </c:pt>
                      <c:pt idx="112">
                        <c:v>0.70967741935483875</c:v>
                      </c:pt>
                      <c:pt idx="113">
                        <c:v>0.7142857142857143</c:v>
                      </c:pt>
                      <c:pt idx="114">
                        <c:v>0.71212121212121215</c:v>
                      </c:pt>
                      <c:pt idx="115">
                        <c:v>0.69230769230769229</c:v>
                      </c:pt>
                      <c:pt idx="116">
                        <c:v>0.74626865671641796</c:v>
                      </c:pt>
                      <c:pt idx="117">
                        <c:v>0.71212121212121215</c:v>
                      </c:pt>
                      <c:pt idx="118">
                        <c:v>0.75384615384615383</c:v>
                      </c:pt>
                      <c:pt idx="119">
                        <c:v>0.71875</c:v>
                      </c:pt>
                      <c:pt idx="120">
                        <c:v>0.69354838709677424</c:v>
                      </c:pt>
                      <c:pt idx="121">
                        <c:v>0.7142857142857143</c:v>
                      </c:pt>
                      <c:pt idx="122">
                        <c:v>0.76271186440677963</c:v>
                      </c:pt>
                      <c:pt idx="123">
                        <c:v>0.80701754385964908</c:v>
                      </c:pt>
                      <c:pt idx="124">
                        <c:v>0.80327868852459017</c:v>
                      </c:pt>
                      <c:pt idx="125">
                        <c:v>0.76119402985074625</c:v>
                      </c:pt>
                      <c:pt idx="126">
                        <c:v>0.676056338028169</c:v>
                      </c:pt>
                      <c:pt idx="127">
                        <c:v>0.625</c:v>
                      </c:pt>
                      <c:pt idx="128">
                        <c:v>0.71875</c:v>
                      </c:pt>
                      <c:pt idx="129">
                        <c:v>0.72580645161290325</c:v>
                      </c:pt>
                      <c:pt idx="130">
                        <c:v>0.75409836065573765</c:v>
                      </c:pt>
                      <c:pt idx="131">
                        <c:v>0.7931034482758621</c:v>
                      </c:pt>
                      <c:pt idx="132">
                        <c:v>0.7142857142857143</c:v>
                      </c:pt>
                      <c:pt idx="133">
                        <c:v>0.74137931034482762</c:v>
                      </c:pt>
                      <c:pt idx="134">
                        <c:v>0.77611940298507465</c:v>
                      </c:pt>
                      <c:pt idx="135">
                        <c:v>0.73913043478260865</c:v>
                      </c:pt>
                      <c:pt idx="136">
                        <c:v>0.73913043478260865</c:v>
                      </c:pt>
                      <c:pt idx="137">
                        <c:v>0.75384615384615383</c:v>
                      </c:pt>
                      <c:pt idx="138">
                        <c:v>0.75862068965517238</c:v>
                      </c:pt>
                      <c:pt idx="139">
                        <c:v>0.72131147540983609</c:v>
                      </c:pt>
                      <c:pt idx="140">
                        <c:v>0.71875</c:v>
                      </c:pt>
                      <c:pt idx="141">
                        <c:v>0.74242424242424243</c:v>
                      </c:pt>
                      <c:pt idx="142">
                        <c:v>0.734375</c:v>
                      </c:pt>
                      <c:pt idx="143">
                        <c:v>0.7384615384615385</c:v>
                      </c:pt>
                      <c:pt idx="144">
                        <c:v>0.70422535211267601</c:v>
                      </c:pt>
                      <c:pt idx="145">
                        <c:v>0.74285714285714288</c:v>
                      </c:pt>
                      <c:pt idx="146">
                        <c:v>0.71014492753623193</c:v>
                      </c:pt>
                      <c:pt idx="147">
                        <c:v>0.69354838709677424</c:v>
                      </c:pt>
                      <c:pt idx="148">
                        <c:v>0.67164179104477617</c:v>
                      </c:pt>
                      <c:pt idx="149">
                        <c:v>0.68493150684931503</c:v>
                      </c:pt>
                      <c:pt idx="150">
                        <c:v>0.74647887323943662</c:v>
                      </c:pt>
                      <c:pt idx="151">
                        <c:v>0.76470588235294112</c:v>
                      </c:pt>
                      <c:pt idx="152">
                        <c:v>0.73134328358208955</c:v>
                      </c:pt>
                      <c:pt idx="153">
                        <c:v>0.71212121212121215</c:v>
                      </c:pt>
                      <c:pt idx="154">
                        <c:v>0.70422535211267601</c:v>
                      </c:pt>
                      <c:pt idx="155">
                        <c:v>0.72222222222222221</c:v>
                      </c:pt>
                      <c:pt idx="156">
                        <c:v>0.70833333333333337</c:v>
                      </c:pt>
                      <c:pt idx="157">
                        <c:v>0.6901408450704225</c:v>
                      </c:pt>
                      <c:pt idx="158">
                        <c:v>0.72058823529411764</c:v>
                      </c:pt>
                      <c:pt idx="159">
                        <c:v>0.70588235294117652</c:v>
                      </c:pt>
                      <c:pt idx="160">
                        <c:v>0.765625</c:v>
                      </c:pt>
                      <c:pt idx="161">
                        <c:v>0.7</c:v>
                      </c:pt>
                      <c:pt idx="162">
                        <c:v>0.60869565217391308</c:v>
                      </c:pt>
                      <c:pt idx="163">
                        <c:v>0.63157894736842102</c:v>
                      </c:pt>
                      <c:pt idx="164">
                        <c:v>0.62337662337662336</c:v>
                      </c:pt>
                      <c:pt idx="165">
                        <c:v>0.68571428571428572</c:v>
                      </c:pt>
                      <c:pt idx="166">
                        <c:v>0.71641791044776115</c:v>
                      </c:pt>
                      <c:pt idx="167">
                        <c:v>0.70149253731343286</c:v>
                      </c:pt>
                      <c:pt idx="168">
                        <c:v>0.77419354838709675</c:v>
                      </c:pt>
                      <c:pt idx="169">
                        <c:v>0.77419354838709675</c:v>
                      </c:pt>
                      <c:pt idx="170">
                        <c:v>0.72580645161290325</c:v>
                      </c:pt>
                      <c:pt idx="171">
                        <c:v>0.70967741935483875</c:v>
                      </c:pt>
                      <c:pt idx="172">
                        <c:v>0.71212121212121215</c:v>
                      </c:pt>
                      <c:pt idx="173">
                        <c:v>0.74603174603174605</c:v>
                      </c:pt>
                      <c:pt idx="174">
                        <c:v>0.74193548387096775</c:v>
                      </c:pt>
                      <c:pt idx="175">
                        <c:v>0.76190476190476186</c:v>
                      </c:pt>
                      <c:pt idx="176">
                        <c:v>0.75</c:v>
                      </c:pt>
                      <c:pt idx="177">
                        <c:v>0.77192982456140347</c:v>
                      </c:pt>
                      <c:pt idx="178">
                        <c:v>0.72881355932203384</c:v>
                      </c:pt>
                      <c:pt idx="179">
                        <c:v>0.77419354838709675</c:v>
                      </c:pt>
                      <c:pt idx="180">
                        <c:v>0.74626865671641796</c:v>
                      </c:pt>
                      <c:pt idx="181">
                        <c:v>0.76119402985074625</c:v>
                      </c:pt>
                      <c:pt idx="182">
                        <c:v>0.75806451612903225</c:v>
                      </c:pt>
                      <c:pt idx="183">
                        <c:v>0.69354838709677424</c:v>
                      </c:pt>
                      <c:pt idx="184">
                        <c:v>0.7</c:v>
                      </c:pt>
                      <c:pt idx="185">
                        <c:v>0.74576271186440679</c:v>
                      </c:pt>
                      <c:pt idx="186">
                        <c:v>0.69491525423728817</c:v>
                      </c:pt>
                      <c:pt idx="187">
                        <c:v>0.7</c:v>
                      </c:pt>
                      <c:pt idx="188">
                        <c:v>0.69354838709677424</c:v>
                      </c:pt>
                      <c:pt idx="189">
                        <c:v>0.69696969696969702</c:v>
                      </c:pt>
                      <c:pt idx="190">
                        <c:v>0.67741935483870963</c:v>
                      </c:pt>
                      <c:pt idx="191">
                        <c:v>0.71186440677966101</c:v>
                      </c:pt>
                      <c:pt idx="192">
                        <c:v>0.76271186440677963</c:v>
                      </c:pt>
                      <c:pt idx="193">
                        <c:v>0.74545454545454548</c:v>
                      </c:pt>
                      <c:pt idx="194">
                        <c:v>0.73770491803278693</c:v>
                      </c:pt>
                      <c:pt idx="195">
                        <c:v>0.69354838709677424</c:v>
                      </c:pt>
                      <c:pt idx="196">
                        <c:v>0.68181818181818177</c:v>
                      </c:pt>
                      <c:pt idx="197">
                        <c:v>0.79104477611940294</c:v>
                      </c:pt>
                      <c:pt idx="198">
                        <c:v>0.71641791044776115</c:v>
                      </c:pt>
                      <c:pt idx="199">
                        <c:v>0.73770491803278693</c:v>
                      </c:pt>
                      <c:pt idx="200">
                        <c:v>0.70491803278688525</c:v>
                      </c:pt>
                      <c:pt idx="201">
                        <c:v>0.76271186440677963</c:v>
                      </c:pt>
                      <c:pt idx="202">
                        <c:v>0.71186440677966101</c:v>
                      </c:pt>
                      <c:pt idx="203">
                        <c:v>0.703125</c:v>
                      </c:pt>
                      <c:pt idx="204">
                        <c:v>0.68181818181818177</c:v>
                      </c:pt>
                      <c:pt idx="205">
                        <c:v>0.66666666666666663</c:v>
                      </c:pt>
                      <c:pt idx="206">
                        <c:v>0.68656716417910446</c:v>
                      </c:pt>
                      <c:pt idx="207">
                        <c:v>0.73770491803278693</c:v>
                      </c:pt>
                      <c:pt idx="208">
                        <c:v>0.80769230769230771</c:v>
                      </c:pt>
                      <c:pt idx="209">
                        <c:v>0.77083333333333337</c:v>
                      </c:pt>
                      <c:pt idx="210">
                        <c:v>0.76470588235294112</c:v>
                      </c:pt>
                      <c:pt idx="211">
                        <c:v>0.70909090909090911</c:v>
                      </c:pt>
                      <c:pt idx="212">
                        <c:v>0.70175438596491224</c:v>
                      </c:pt>
                      <c:pt idx="213">
                        <c:v>0.65671641791044777</c:v>
                      </c:pt>
                      <c:pt idx="214">
                        <c:v>0.65714285714285714</c:v>
                      </c:pt>
                      <c:pt idx="215">
                        <c:v>0.70149253731343286</c:v>
                      </c:pt>
                      <c:pt idx="216">
                        <c:v>0.69117647058823528</c:v>
                      </c:pt>
                      <c:pt idx="217">
                        <c:v>0.68571428571428572</c:v>
                      </c:pt>
                      <c:pt idx="218">
                        <c:v>0.70588235294117652</c:v>
                      </c:pt>
                      <c:pt idx="219">
                        <c:v>0.73015873015873012</c:v>
                      </c:pt>
                      <c:pt idx="220">
                        <c:v>0.73015873015873012</c:v>
                      </c:pt>
                      <c:pt idx="221">
                        <c:v>0.70149253731343286</c:v>
                      </c:pt>
                      <c:pt idx="222">
                        <c:v>0.69230769230769229</c:v>
                      </c:pt>
                      <c:pt idx="223">
                        <c:v>0.69696969696969702</c:v>
                      </c:pt>
                      <c:pt idx="224">
                        <c:v>0.76271186440677963</c:v>
                      </c:pt>
                      <c:pt idx="225">
                        <c:v>0.7142857142857143</c:v>
                      </c:pt>
                      <c:pt idx="226">
                        <c:v>0.67164179104477617</c:v>
                      </c:pt>
                      <c:pt idx="227">
                        <c:v>0.67123287671232879</c:v>
                      </c:pt>
                      <c:pt idx="228">
                        <c:v>0.73239436619718312</c:v>
                      </c:pt>
                      <c:pt idx="229">
                        <c:v>0.74626865671641796</c:v>
                      </c:pt>
                      <c:pt idx="230">
                        <c:v>0.74603174603174605</c:v>
                      </c:pt>
                      <c:pt idx="231">
                        <c:v>0.76271186440677963</c:v>
                      </c:pt>
                      <c:pt idx="232">
                        <c:v>0.83333333333333337</c:v>
                      </c:pt>
                      <c:pt idx="233">
                        <c:v>0.76363636363636367</c:v>
                      </c:pt>
                      <c:pt idx="234">
                        <c:v>0.79032258064516125</c:v>
                      </c:pt>
                      <c:pt idx="235">
                        <c:v>0.72307692307692306</c:v>
                      </c:pt>
                      <c:pt idx="236">
                        <c:v>0.734375</c:v>
                      </c:pt>
                      <c:pt idx="237">
                        <c:v>0.73134328358208955</c:v>
                      </c:pt>
                      <c:pt idx="238">
                        <c:v>0.70588235294117652</c:v>
                      </c:pt>
                      <c:pt idx="239">
                        <c:v>0.68571428571428572</c:v>
                      </c:pt>
                      <c:pt idx="240">
                        <c:v>0.69696969696969702</c:v>
                      </c:pt>
                      <c:pt idx="241">
                        <c:v>0.63492063492063489</c:v>
                      </c:pt>
                      <c:pt idx="242">
                        <c:v>0.6428571428571429</c:v>
                      </c:pt>
                      <c:pt idx="243">
                        <c:v>0.69565217391304346</c:v>
                      </c:pt>
                      <c:pt idx="244">
                        <c:v>0.73770491803278693</c:v>
                      </c:pt>
                      <c:pt idx="245">
                        <c:v>0.78333333333333333</c:v>
                      </c:pt>
                      <c:pt idx="246">
                        <c:v>0.79365079365079361</c:v>
                      </c:pt>
                      <c:pt idx="247">
                        <c:v>0.72307692307692306</c:v>
                      </c:pt>
                      <c:pt idx="248">
                        <c:v>0.6875</c:v>
                      </c:pt>
                      <c:pt idx="249">
                        <c:v>0.74603174603174605</c:v>
                      </c:pt>
                      <c:pt idx="250">
                        <c:v>0.72580645161290325</c:v>
                      </c:pt>
                      <c:pt idx="251">
                        <c:v>0.75806451612903225</c:v>
                      </c:pt>
                      <c:pt idx="252">
                        <c:v>0.73684210526315785</c:v>
                      </c:pt>
                      <c:pt idx="253">
                        <c:v>0.6785714285714286</c:v>
                      </c:pt>
                      <c:pt idx="254">
                        <c:v>0.64912280701754388</c:v>
                      </c:pt>
                      <c:pt idx="255">
                        <c:v>0.69841269841269837</c:v>
                      </c:pt>
                      <c:pt idx="256">
                        <c:v>0.73913043478260865</c:v>
                      </c:pt>
                      <c:pt idx="257">
                        <c:v>0.7</c:v>
                      </c:pt>
                      <c:pt idx="258">
                        <c:v>0.7</c:v>
                      </c:pt>
                      <c:pt idx="259">
                        <c:v>0.69841269841269837</c:v>
                      </c:pt>
                      <c:pt idx="260">
                        <c:v>0.71186440677966101</c:v>
                      </c:pt>
                      <c:pt idx="261">
                        <c:v>0.71186440677966101</c:v>
                      </c:pt>
                      <c:pt idx="262">
                        <c:v>0.68181818181818177</c:v>
                      </c:pt>
                      <c:pt idx="263">
                        <c:v>0.75757575757575757</c:v>
                      </c:pt>
                      <c:pt idx="264">
                        <c:v>0.71875</c:v>
                      </c:pt>
                      <c:pt idx="265">
                        <c:v>0.73770491803278693</c:v>
                      </c:pt>
                      <c:pt idx="266">
                        <c:v>0.68333333333333335</c:v>
                      </c:pt>
                      <c:pt idx="267">
                        <c:v>0.7142857142857143</c:v>
                      </c:pt>
                      <c:pt idx="268">
                        <c:v>0.68965517241379315</c:v>
                      </c:pt>
                      <c:pt idx="269">
                        <c:v>0.69354838709677424</c:v>
                      </c:pt>
                      <c:pt idx="270">
                        <c:v>0.69230769230769229</c:v>
                      </c:pt>
                      <c:pt idx="271">
                        <c:v>0.72580645161290325</c:v>
                      </c:pt>
                      <c:pt idx="272">
                        <c:v>0.71186440677966101</c:v>
                      </c:pt>
                      <c:pt idx="273">
                        <c:v>0.76271186440677963</c:v>
                      </c:pt>
                      <c:pt idx="274">
                        <c:v>0.67213114754098358</c:v>
                      </c:pt>
                      <c:pt idx="275">
                        <c:v>0.69696969696969702</c:v>
                      </c:pt>
                      <c:pt idx="276">
                        <c:v>0.73333333333333328</c:v>
                      </c:pt>
                      <c:pt idx="277">
                        <c:v>0.73015873015873012</c:v>
                      </c:pt>
                      <c:pt idx="278">
                        <c:v>0.77777777777777779</c:v>
                      </c:pt>
                      <c:pt idx="279">
                        <c:v>0.78688524590163933</c:v>
                      </c:pt>
                      <c:pt idx="280">
                        <c:v>0.75409836065573765</c:v>
                      </c:pt>
                      <c:pt idx="281">
                        <c:v>0.73770491803278693</c:v>
                      </c:pt>
                      <c:pt idx="282">
                        <c:v>0.73333333333333328</c:v>
                      </c:pt>
                      <c:pt idx="283">
                        <c:v>0.68656716417910446</c:v>
                      </c:pt>
                      <c:pt idx="284">
                        <c:v>0.69117647058823528</c:v>
                      </c:pt>
                      <c:pt idx="285">
                        <c:v>0.71875</c:v>
                      </c:pt>
                      <c:pt idx="286">
                        <c:v>0.66666666666666663</c:v>
                      </c:pt>
                      <c:pt idx="287">
                        <c:v>0.65573770491803274</c:v>
                      </c:pt>
                      <c:pt idx="288">
                        <c:v>0.67647058823529416</c:v>
                      </c:pt>
                      <c:pt idx="289">
                        <c:v>0.71212121212121215</c:v>
                      </c:pt>
                      <c:pt idx="290">
                        <c:v>0.73770491803278693</c:v>
                      </c:pt>
                      <c:pt idx="291">
                        <c:v>0.70491803278688525</c:v>
                      </c:pt>
                      <c:pt idx="292">
                        <c:v>0.74242424242424243</c:v>
                      </c:pt>
                      <c:pt idx="293">
                        <c:v>0.73913043478260865</c:v>
                      </c:pt>
                      <c:pt idx="294">
                        <c:v>0.71232876712328763</c:v>
                      </c:pt>
                      <c:pt idx="295">
                        <c:v>0.65714285714285714</c:v>
                      </c:pt>
                      <c:pt idx="296">
                        <c:v>0.65217391304347827</c:v>
                      </c:pt>
                      <c:pt idx="297">
                        <c:v>0.65151515151515149</c:v>
                      </c:pt>
                      <c:pt idx="298">
                        <c:v>0.6901408450704225</c:v>
                      </c:pt>
                      <c:pt idx="299">
                        <c:v>0.69565217391304346</c:v>
                      </c:pt>
                      <c:pt idx="300">
                        <c:v>0.67692307692307696</c:v>
                      </c:pt>
                      <c:pt idx="301">
                        <c:v>0.71186440677966101</c:v>
                      </c:pt>
                      <c:pt idx="302">
                        <c:v>0.63492063492063489</c:v>
                      </c:pt>
                      <c:pt idx="303">
                        <c:v>0.7</c:v>
                      </c:pt>
                      <c:pt idx="304">
                        <c:v>0.69354838709677424</c:v>
                      </c:pt>
                      <c:pt idx="305">
                        <c:v>0.70769230769230773</c:v>
                      </c:pt>
                      <c:pt idx="306">
                        <c:v>0.734375</c:v>
                      </c:pt>
                      <c:pt idx="307">
                        <c:v>0.74626865671641796</c:v>
                      </c:pt>
                      <c:pt idx="308">
                        <c:v>0.7846153846153846</c:v>
                      </c:pt>
                      <c:pt idx="309">
                        <c:v>0.73333333333333328</c:v>
                      </c:pt>
                      <c:pt idx="310">
                        <c:v>0.67241379310344829</c:v>
                      </c:pt>
                      <c:pt idx="311">
                        <c:v>0.7</c:v>
                      </c:pt>
                      <c:pt idx="312">
                        <c:v>0.65573770491803274</c:v>
                      </c:pt>
                      <c:pt idx="313">
                        <c:v>0.68253968253968256</c:v>
                      </c:pt>
                      <c:pt idx="314">
                        <c:v>0.70149253731343286</c:v>
                      </c:pt>
                      <c:pt idx="315">
                        <c:v>0.70769230769230773</c:v>
                      </c:pt>
                      <c:pt idx="316">
                        <c:v>0.703125</c:v>
                      </c:pt>
                      <c:pt idx="317">
                        <c:v>0.81034482758620685</c:v>
                      </c:pt>
                      <c:pt idx="318">
                        <c:v>0.7142857142857143</c:v>
                      </c:pt>
                      <c:pt idx="319">
                        <c:v>0.734375</c:v>
                      </c:pt>
                      <c:pt idx="320">
                        <c:v>0.69565217391304346</c:v>
                      </c:pt>
                      <c:pt idx="321">
                        <c:v>0.734375</c:v>
                      </c:pt>
                      <c:pt idx="322">
                        <c:v>0.72413793103448276</c:v>
                      </c:pt>
                      <c:pt idx="323">
                        <c:v>0.77777777777777779</c:v>
                      </c:pt>
                      <c:pt idx="324">
                        <c:v>0.69117647058823528</c:v>
                      </c:pt>
                      <c:pt idx="325">
                        <c:v>0.69444444444444442</c:v>
                      </c:pt>
                      <c:pt idx="326">
                        <c:v>0.69565217391304346</c:v>
                      </c:pt>
                      <c:pt idx="327">
                        <c:v>0.7384615384615385</c:v>
                      </c:pt>
                      <c:pt idx="328">
                        <c:v>0.74137931034482762</c:v>
                      </c:pt>
                      <c:pt idx="329">
                        <c:v>0.7192982456140351</c:v>
                      </c:pt>
                      <c:pt idx="330">
                        <c:v>0.72131147540983609</c:v>
                      </c:pt>
                      <c:pt idx="331">
                        <c:v>0.7321428571428571</c:v>
                      </c:pt>
                      <c:pt idx="332">
                        <c:v>0.68181818181818177</c:v>
                      </c:pt>
                      <c:pt idx="333">
                        <c:v>0.71212121212121215</c:v>
                      </c:pt>
                      <c:pt idx="334">
                        <c:v>0.72881355932203384</c:v>
                      </c:pt>
                      <c:pt idx="335">
                        <c:v>0.7142857142857143</c:v>
                      </c:pt>
                      <c:pt idx="336">
                        <c:v>0.75757575757575757</c:v>
                      </c:pt>
                      <c:pt idx="337">
                        <c:v>0.73134328358208955</c:v>
                      </c:pt>
                      <c:pt idx="338">
                        <c:v>0.73333333333333328</c:v>
                      </c:pt>
                      <c:pt idx="339">
                        <c:v>0.74193548387096775</c:v>
                      </c:pt>
                      <c:pt idx="340">
                        <c:v>0.6875</c:v>
                      </c:pt>
                      <c:pt idx="341">
                        <c:v>0.69230769230769229</c:v>
                      </c:pt>
                      <c:pt idx="342">
                        <c:v>0.70491803278688525</c:v>
                      </c:pt>
                      <c:pt idx="343">
                        <c:v>0.72580645161290325</c:v>
                      </c:pt>
                      <c:pt idx="344">
                        <c:v>0.72580645161290325</c:v>
                      </c:pt>
                      <c:pt idx="345">
                        <c:v>0.73770491803278693</c:v>
                      </c:pt>
                      <c:pt idx="346">
                        <c:v>0.67213114754098358</c:v>
                      </c:pt>
                      <c:pt idx="347">
                        <c:v>0.676056338028169</c:v>
                      </c:pt>
                      <c:pt idx="348">
                        <c:v>0.7142857142857143</c:v>
                      </c:pt>
                      <c:pt idx="349">
                        <c:v>0.68181818181818177</c:v>
                      </c:pt>
                      <c:pt idx="350">
                        <c:v>0.7384615384615385</c:v>
                      </c:pt>
                      <c:pt idx="351">
                        <c:v>0.67164179104477617</c:v>
                      </c:pt>
                      <c:pt idx="352">
                        <c:v>0.71641791044776115</c:v>
                      </c:pt>
                      <c:pt idx="353">
                        <c:v>0.65753424657534243</c:v>
                      </c:pt>
                      <c:pt idx="354">
                        <c:v>0.66666666666666663</c:v>
                      </c:pt>
                      <c:pt idx="355">
                        <c:v>0.67164179104477617</c:v>
                      </c:pt>
                      <c:pt idx="356">
                        <c:v>0.77586206896551724</c:v>
                      </c:pt>
                      <c:pt idx="357">
                        <c:v>0.72881355932203384</c:v>
                      </c:pt>
                      <c:pt idx="358">
                        <c:v>0.69230769230769229</c:v>
                      </c:pt>
                      <c:pt idx="359">
                        <c:v>0.67692307692307696</c:v>
                      </c:pt>
                      <c:pt idx="360">
                        <c:v>0.74242424242424243</c:v>
                      </c:pt>
                      <c:pt idx="361">
                        <c:v>0.76190476190476186</c:v>
                      </c:pt>
                      <c:pt idx="362">
                        <c:v>0.703125</c:v>
                      </c:pt>
                      <c:pt idx="363">
                        <c:v>0.65625</c:v>
                      </c:pt>
                      <c:pt idx="364">
                        <c:v>0.7142857142857143</c:v>
                      </c:pt>
                      <c:pt idx="365">
                        <c:v>0.75862068965517238</c:v>
                      </c:pt>
                      <c:pt idx="366">
                        <c:v>0.78688524590163933</c:v>
                      </c:pt>
                      <c:pt idx="367">
                        <c:v>0.765625</c:v>
                      </c:pt>
                      <c:pt idx="368">
                        <c:v>0.70149253731343286</c:v>
                      </c:pt>
                      <c:pt idx="369">
                        <c:v>0.73529411764705888</c:v>
                      </c:pt>
                      <c:pt idx="370">
                        <c:v>0.72857142857142854</c:v>
                      </c:pt>
                      <c:pt idx="371">
                        <c:v>0.69696969696969702</c:v>
                      </c:pt>
                      <c:pt idx="372">
                        <c:v>0.7384615384615385</c:v>
                      </c:pt>
                      <c:pt idx="373">
                        <c:v>0.676056338028169</c:v>
                      </c:pt>
                      <c:pt idx="374">
                        <c:v>0.71666666666666667</c:v>
                      </c:pt>
                      <c:pt idx="375">
                        <c:v>0.67241379310344829</c:v>
                      </c:pt>
                      <c:pt idx="376">
                        <c:v>0.7678571428571429</c:v>
                      </c:pt>
                      <c:pt idx="377">
                        <c:v>0.73333333333333328</c:v>
                      </c:pt>
                      <c:pt idx="378">
                        <c:v>0.73770491803278693</c:v>
                      </c:pt>
                      <c:pt idx="379">
                        <c:v>0.75438596491228072</c:v>
                      </c:pt>
                      <c:pt idx="380">
                        <c:v>0.76666666666666672</c:v>
                      </c:pt>
                      <c:pt idx="381">
                        <c:v>0.79032258064516125</c:v>
                      </c:pt>
                      <c:pt idx="382">
                        <c:v>0.7384615384615385</c:v>
                      </c:pt>
                      <c:pt idx="383">
                        <c:v>0.703125</c:v>
                      </c:pt>
                      <c:pt idx="384">
                        <c:v>0.73015873015873012</c:v>
                      </c:pt>
                      <c:pt idx="385">
                        <c:v>0.71186440677966101</c:v>
                      </c:pt>
                      <c:pt idx="386">
                        <c:v>0.68181818181818177</c:v>
                      </c:pt>
                      <c:pt idx="387">
                        <c:v>0.76190476190476186</c:v>
                      </c:pt>
                      <c:pt idx="388">
                        <c:v>0.70588235294117652</c:v>
                      </c:pt>
                      <c:pt idx="389">
                        <c:v>0.76119402985074625</c:v>
                      </c:pt>
                      <c:pt idx="390">
                        <c:v>0.7142857142857143</c:v>
                      </c:pt>
                      <c:pt idx="391">
                        <c:v>0.66666666666666663</c:v>
                      </c:pt>
                      <c:pt idx="392">
                        <c:v>0.6619718309859155</c:v>
                      </c:pt>
                      <c:pt idx="393">
                        <c:v>0.66666666666666663</c:v>
                      </c:pt>
                      <c:pt idx="394">
                        <c:v>0.73015873015873012</c:v>
                      </c:pt>
                      <c:pt idx="395">
                        <c:v>0.77586206896551724</c:v>
                      </c:pt>
                      <c:pt idx="396">
                        <c:v>0.7068965517241379</c:v>
                      </c:pt>
                      <c:pt idx="397">
                        <c:v>0.64912280701754388</c:v>
                      </c:pt>
                      <c:pt idx="398">
                        <c:v>0.63492063492063489</c:v>
                      </c:pt>
                      <c:pt idx="399">
                        <c:v>0.625</c:v>
                      </c:pt>
                      <c:pt idx="400">
                        <c:v>0.69117647058823528</c:v>
                      </c:pt>
                      <c:pt idx="401">
                        <c:v>0.73913043478260865</c:v>
                      </c:pt>
                      <c:pt idx="402">
                        <c:v>0.69230769230769229</c:v>
                      </c:pt>
                      <c:pt idx="403">
                        <c:v>0.72580645161290325</c:v>
                      </c:pt>
                      <c:pt idx="404">
                        <c:v>0.74576271186440679</c:v>
                      </c:pt>
                      <c:pt idx="405">
                        <c:v>0.77586206896551724</c:v>
                      </c:pt>
                      <c:pt idx="406">
                        <c:v>0.67692307692307696</c:v>
                      </c:pt>
                      <c:pt idx="407">
                        <c:v>0.70769230769230773</c:v>
                      </c:pt>
                      <c:pt idx="408">
                        <c:v>0.69696969696969702</c:v>
                      </c:pt>
                      <c:pt idx="409">
                        <c:v>0.61764705882352944</c:v>
                      </c:pt>
                      <c:pt idx="410">
                        <c:v>0.6428571428571429</c:v>
                      </c:pt>
                      <c:pt idx="411">
                        <c:v>0.61971830985915488</c:v>
                      </c:pt>
                      <c:pt idx="412">
                        <c:v>0.64473684210526316</c:v>
                      </c:pt>
                      <c:pt idx="413">
                        <c:v>0.67142857142857137</c:v>
                      </c:pt>
                      <c:pt idx="414">
                        <c:v>0.703125</c:v>
                      </c:pt>
                      <c:pt idx="415">
                        <c:v>0.72580645161290325</c:v>
                      </c:pt>
                      <c:pt idx="416">
                        <c:v>0.68965517241379315</c:v>
                      </c:pt>
                      <c:pt idx="417">
                        <c:v>0.7</c:v>
                      </c:pt>
                      <c:pt idx="418">
                        <c:v>0.69230769230769229</c:v>
                      </c:pt>
                      <c:pt idx="419">
                        <c:v>0.65625</c:v>
                      </c:pt>
                      <c:pt idx="420">
                        <c:v>0.70769230769230773</c:v>
                      </c:pt>
                      <c:pt idx="421">
                        <c:v>0.71666666666666667</c:v>
                      </c:pt>
                      <c:pt idx="422">
                        <c:v>0.6470588235294118</c:v>
                      </c:pt>
                      <c:pt idx="423">
                        <c:v>0.71212121212121215</c:v>
                      </c:pt>
                      <c:pt idx="424">
                        <c:v>0.70491803278688525</c:v>
                      </c:pt>
                      <c:pt idx="425">
                        <c:v>0.76666666666666672</c:v>
                      </c:pt>
                      <c:pt idx="426">
                        <c:v>0.78688524590163933</c:v>
                      </c:pt>
                      <c:pt idx="427">
                        <c:v>0.77611940298507465</c:v>
                      </c:pt>
                      <c:pt idx="428">
                        <c:v>0.72727272727272729</c:v>
                      </c:pt>
                      <c:pt idx="429">
                        <c:v>0.765625</c:v>
                      </c:pt>
                      <c:pt idx="430">
                        <c:v>0.76271186440677963</c:v>
                      </c:pt>
                      <c:pt idx="431">
                        <c:v>0.69230769230769229</c:v>
                      </c:pt>
                      <c:pt idx="432">
                        <c:v>0.6901408450704225</c:v>
                      </c:pt>
                      <c:pt idx="433">
                        <c:v>0.68571428571428572</c:v>
                      </c:pt>
                      <c:pt idx="434">
                        <c:v>0.72307692307692306</c:v>
                      </c:pt>
                      <c:pt idx="435">
                        <c:v>0.70967741935483875</c:v>
                      </c:pt>
                      <c:pt idx="436">
                        <c:v>0.75</c:v>
                      </c:pt>
                      <c:pt idx="437">
                        <c:v>0.61971830985915488</c:v>
                      </c:pt>
                      <c:pt idx="438">
                        <c:v>0.67567567567567566</c:v>
                      </c:pt>
                      <c:pt idx="439">
                        <c:v>0.65789473684210531</c:v>
                      </c:pt>
                      <c:pt idx="440">
                        <c:v>0.67567567567567566</c:v>
                      </c:pt>
                      <c:pt idx="441">
                        <c:v>0.676056338028169</c:v>
                      </c:pt>
                      <c:pt idx="442">
                        <c:v>0.73134328358208955</c:v>
                      </c:pt>
                      <c:pt idx="443">
                        <c:v>0.72580645161290325</c:v>
                      </c:pt>
                      <c:pt idx="444">
                        <c:v>0.78260869565217395</c:v>
                      </c:pt>
                      <c:pt idx="445">
                        <c:v>0.74647887323943662</c:v>
                      </c:pt>
                      <c:pt idx="446">
                        <c:v>0.72222222222222221</c:v>
                      </c:pt>
                      <c:pt idx="447">
                        <c:v>0.75</c:v>
                      </c:pt>
                      <c:pt idx="448">
                        <c:v>0.73684210526315785</c:v>
                      </c:pt>
                      <c:pt idx="449">
                        <c:v>0.75</c:v>
                      </c:pt>
                      <c:pt idx="450">
                        <c:v>0.73134328358208955</c:v>
                      </c:pt>
                      <c:pt idx="451">
                        <c:v>0.69841269841269837</c:v>
                      </c:pt>
                      <c:pt idx="452">
                        <c:v>0.66176470588235292</c:v>
                      </c:pt>
                      <c:pt idx="453">
                        <c:v>0.68181818181818177</c:v>
                      </c:pt>
                      <c:pt idx="454">
                        <c:v>0.69230769230769229</c:v>
                      </c:pt>
                      <c:pt idx="455">
                        <c:v>0.70769230769230773</c:v>
                      </c:pt>
                      <c:pt idx="456">
                        <c:v>0.72307692307692306</c:v>
                      </c:pt>
                      <c:pt idx="457">
                        <c:v>0.65714285714285714</c:v>
                      </c:pt>
                      <c:pt idx="458">
                        <c:v>0.66666666666666663</c:v>
                      </c:pt>
                      <c:pt idx="459">
                        <c:v>0.7</c:v>
                      </c:pt>
                      <c:pt idx="460">
                        <c:v>0.71641791044776115</c:v>
                      </c:pt>
                      <c:pt idx="461">
                        <c:v>0.69696969696969702</c:v>
                      </c:pt>
                      <c:pt idx="462">
                        <c:v>0.72727272727272729</c:v>
                      </c:pt>
                      <c:pt idx="463">
                        <c:v>0.71014492753623193</c:v>
                      </c:pt>
                      <c:pt idx="464">
                        <c:v>0.734375</c:v>
                      </c:pt>
                      <c:pt idx="465">
                        <c:v>0.75</c:v>
                      </c:pt>
                      <c:pt idx="466">
                        <c:v>0.77966101694915257</c:v>
                      </c:pt>
                      <c:pt idx="467">
                        <c:v>0.65079365079365081</c:v>
                      </c:pt>
                      <c:pt idx="468">
                        <c:v>0.6428571428571429</c:v>
                      </c:pt>
                      <c:pt idx="469">
                        <c:v>0.6901408450704225</c:v>
                      </c:pt>
                      <c:pt idx="470">
                        <c:v>0.68253968253968256</c:v>
                      </c:pt>
                      <c:pt idx="471">
                        <c:v>0.66666666666666663</c:v>
                      </c:pt>
                      <c:pt idx="472">
                        <c:v>0.61428571428571432</c:v>
                      </c:pt>
                      <c:pt idx="473">
                        <c:v>0.6376811594202898</c:v>
                      </c:pt>
                      <c:pt idx="474">
                        <c:v>0.6875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413-4004-94CD-60F5D0E00F7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ASSETS!$E$18</c15:sqref>
                        </c15:formulaRef>
                      </c:ext>
                    </c:extLst>
                    <c:strCache>
                      <c:ptCount val="1"/>
                      <c:pt idx="0">
                        <c:v> Precision 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ASSETS!$C$19:$C$493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7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ASSETS!$E$19:$E$493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475"/>
                      <c:pt idx="0">
                        <c:v>0.89333333333333342</c:v>
                      </c:pt>
                      <c:pt idx="1">
                        <c:v>0.90384615384615397</c:v>
                      </c:pt>
                      <c:pt idx="2">
                        <c:v>0.91461538461538461</c:v>
                      </c:pt>
                      <c:pt idx="3">
                        <c:v>0.91384615384615386</c:v>
                      </c:pt>
                      <c:pt idx="4">
                        <c:v>0.91153846153846163</c:v>
                      </c:pt>
                      <c:pt idx="5">
                        <c:v>0.91062500000000013</c:v>
                      </c:pt>
                      <c:pt idx="6">
                        <c:v>0.916190476190476</c:v>
                      </c:pt>
                      <c:pt idx="7">
                        <c:v>0.80833333333333324</c:v>
                      </c:pt>
                      <c:pt idx="8">
                        <c:v>0.85769230769230753</c:v>
                      </c:pt>
                      <c:pt idx="9">
                        <c:v>0.86241379310344812</c:v>
                      </c:pt>
                      <c:pt idx="10">
                        <c:v>0.86517241379310317</c:v>
                      </c:pt>
                      <c:pt idx="11">
                        <c:v>0.89296296296296296</c:v>
                      </c:pt>
                      <c:pt idx="12">
                        <c:v>0.92680000000000007</c:v>
                      </c:pt>
                      <c:pt idx="13">
                        <c:v>0.92119999999999991</c:v>
                      </c:pt>
                      <c:pt idx="14">
                        <c:v>0.86314285714285699</c:v>
                      </c:pt>
                      <c:pt idx="15">
                        <c:v>0.86806451612903202</c:v>
                      </c:pt>
                      <c:pt idx="16">
                        <c:v>0.87166666666666659</c:v>
                      </c:pt>
                      <c:pt idx="17">
                        <c:v>0.86392857142857127</c:v>
                      </c:pt>
                      <c:pt idx="18">
                        <c:v>0.85999999999999988</c:v>
                      </c:pt>
                      <c:pt idx="19">
                        <c:v>0.88791666666666647</c:v>
                      </c:pt>
                      <c:pt idx="20">
                        <c:v>0.89038461538461522</c:v>
                      </c:pt>
                      <c:pt idx="21">
                        <c:v>0.866206896551724</c:v>
                      </c:pt>
                      <c:pt idx="22">
                        <c:v>0.89892857142857152</c:v>
                      </c:pt>
                      <c:pt idx="23">
                        <c:v>0.85999999999999988</c:v>
                      </c:pt>
                      <c:pt idx="24">
                        <c:v>0.8524242424242422</c:v>
                      </c:pt>
                      <c:pt idx="25">
                        <c:v>0.84142857142857164</c:v>
                      </c:pt>
                      <c:pt idx="26">
                        <c:v>0.84870967741935466</c:v>
                      </c:pt>
                      <c:pt idx="27">
                        <c:v>0.88130434782608691</c:v>
                      </c:pt>
                      <c:pt idx="28">
                        <c:v>0.86033333333333306</c:v>
                      </c:pt>
                      <c:pt idx="29">
                        <c:v>0.85499999999999976</c:v>
                      </c:pt>
                      <c:pt idx="30">
                        <c:v>0.8330303030303029</c:v>
                      </c:pt>
                      <c:pt idx="31">
                        <c:v>0.86483870967741905</c:v>
                      </c:pt>
                      <c:pt idx="32">
                        <c:v>0.86666666666666636</c:v>
                      </c:pt>
                      <c:pt idx="33">
                        <c:v>0.86529411764705855</c:v>
                      </c:pt>
                      <c:pt idx="34">
                        <c:v>0.85923076923076913</c:v>
                      </c:pt>
                      <c:pt idx="35">
                        <c:v>0.85090909090909073</c:v>
                      </c:pt>
                      <c:pt idx="36">
                        <c:v>0.85312499999999991</c:v>
                      </c:pt>
                      <c:pt idx="37">
                        <c:v>0.86031249999999981</c:v>
                      </c:pt>
                      <c:pt idx="38">
                        <c:v>0.86482758620689637</c:v>
                      </c:pt>
                      <c:pt idx="39">
                        <c:v>0.86357142857142843</c:v>
                      </c:pt>
                      <c:pt idx="40">
                        <c:v>0.86535714285714271</c:v>
                      </c:pt>
                      <c:pt idx="41">
                        <c:v>0.83035714285714268</c:v>
                      </c:pt>
                      <c:pt idx="42">
                        <c:v>0.86517241379310328</c:v>
                      </c:pt>
                      <c:pt idx="43">
                        <c:v>0.83718749999999986</c:v>
                      </c:pt>
                      <c:pt idx="44">
                        <c:v>0.83843749999999995</c:v>
                      </c:pt>
                      <c:pt idx="45">
                        <c:v>0.83566666666666667</c:v>
                      </c:pt>
                      <c:pt idx="46">
                        <c:v>0.86749999999999983</c:v>
                      </c:pt>
                      <c:pt idx="47">
                        <c:v>0.86269230769230765</c:v>
                      </c:pt>
                      <c:pt idx="48">
                        <c:v>0.84033333333333315</c:v>
                      </c:pt>
                      <c:pt idx="49">
                        <c:v>0.86666666666666659</c:v>
                      </c:pt>
                      <c:pt idx="50">
                        <c:v>0.83482758620689634</c:v>
                      </c:pt>
                      <c:pt idx="51">
                        <c:v>0.88919999999999977</c:v>
                      </c:pt>
                      <c:pt idx="52">
                        <c:v>0.86413793103448266</c:v>
                      </c:pt>
                      <c:pt idx="53">
                        <c:v>0.86</c:v>
                      </c:pt>
                      <c:pt idx="54">
                        <c:v>0.85939393939393904</c:v>
                      </c:pt>
                      <c:pt idx="55">
                        <c:v>0.86424242424242437</c:v>
                      </c:pt>
                      <c:pt idx="56">
                        <c:v>0.87225806451612897</c:v>
                      </c:pt>
                      <c:pt idx="57">
                        <c:v>0.86517241379310361</c:v>
                      </c:pt>
                      <c:pt idx="58">
                        <c:v>0.88583333333333325</c:v>
                      </c:pt>
                      <c:pt idx="59">
                        <c:v>0.8528</c:v>
                      </c:pt>
                      <c:pt idx="60">
                        <c:v>0.88333333333333341</c:v>
                      </c:pt>
                      <c:pt idx="61">
                        <c:v>0.89307692307692288</c:v>
                      </c:pt>
                      <c:pt idx="62">
                        <c:v>0.89444444444444438</c:v>
                      </c:pt>
                      <c:pt idx="63">
                        <c:v>0.8899999999999999</c:v>
                      </c:pt>
                      <c:pt idx="64">
                        <c:v>0.89551724137931021</c:v>
                      </c:pt>
                      <c:pt idx="65">
                        <c:v>0.89571428571428535</c:v>
                      </c:pt>
                      <c:pt idx="66">
                        <c:v>0.87066666666666648</c:v>
                      </c:pt>
                      <c:pt idx="67">
                        <c:v>0.86363636363636342</c:v>
                      </c:pt>
                      <c:pt idx="68">
                        <c:v>0.86515151515151489</c:v>
                      </c:pt>
                      <c:pt idx="69">
                        <c:v>0.86062499999999997</c:v>
                      </c:pt>
                      <c:pt idx="70">
                        <c:v>0.86399999999999977</c:v>
                      </c:pt>
                      <c:pt idx="71">
                        <c:v>0.8703333333333334</c:v>
                      </c:pt>
                      <c:pt idx="72">
                        <c:v>0.87354838709677407</c:v>
                      </c:pt>
                      <c:pt idx="73">
                        <c:v>0.84843750000000007</c:v>
                      </c:pt>
                      <c:pt idx="74">
                        <c:v>0.85257142857142854</c:v>
                      </c:pt>
                      <c:pt idx="75">
                        <c:v>0.89499999999999991</c:v>
                      </c:pt>
                      <c:pt idx="76">
                        <c:v>0.88879999999999992</c:v>
                      </c:pt>
                      <c:pt idx="77">
                        <c:v>0.89222222222222225</c:v>
                      </c:pt>
                      <c:pt idx="78">
                        <c:v>0.89461538461538437</c:v>
                      </c:pt>
                      <c:pt idx="79">
                        <c:v>0.89666666666666628</c:v>
                      </c:pt>
                      <c:pt idx="80">
                        <c:v>0.86678571428571405</c:v>
                      </c:pt>
                      <c:pt idx="81">
                        <c:v>0.86793103448275843</c:v>
                      </c:pt>
                      <c:pt idx="82">
                        <c:v>0.86535714285714271</c:v>
                      </c:pt>
                      <c:pt idx="83">
                        <c:v>0.86107142857142827</c:v>
                      </c:pt>
                      <c:pt idx="84">
                        <c:v>0.85499999999999976</c:v>
                      </c:pt>
                      <c:pt idx="85">
                        <c:v>0.88043478260869545</c:v>
                      </c:pt>
                      <c:pt idx="86">
                        <c:v>0.84583333333333321</c:v>
                      </c:pt>
                      <c:pt idx="87">
                        <c:v>0.88458333333333317</c:v>
                      </c:pt>
                      <c:pt idx="88">
                        <c:v>0.85538461538461541</c:v>
                      </c:pt>
                      <c:pt idx="89">
                        <c:v>0.8919999999999999</c:v>
                      </c:pt>
                      <c:pt idx="90">
                        <c:v>0.87096774193548376</c:v>
                      </c:pt>
                      <c:pt idx="91">
                        <c:v>0.89857142857142858</c:v>
                      </c:pt>
                      <c:pt idx="92">
                        <c:v>0.89192307692307682</c:v>
                      </c:pt>
                      <c:pt idx="93">
                        <c:v>0.85366666666666657</c:v>
                      </c:pt>
                      <c:pt idx="94">
                        <c:v>0.82</c:v>
                      </c:pt>
                      <c:pt idx="95">
                        <c:v>0.84689655172413769</c:v>
                      </c:pt>
                      <c:pt idx="96">
                        <c:v>0.85548387096774192</c:v>
                      </c:pt>
                      <c:pt idx="97">
                        <c:v>0.86515151515151512</c:v>
                      </c:pt>
                      <c:pt idx="98">
                        <c:v>0.87156250000000002</c:v>
                      </c:pt>
                      <c:pt idx="99">
                        <c:v>0.84468749999999992</c:v>
                      </c:pt>
                      <c:pt idx="100">
                        <c:v>0.87249999999999994</c:v>
                      </c:pt>
                      <c:pt idx="101">
                        <c:v>0.87187499999999984</c:v>
                      </c:pt>
                      <c:pt idx="102">
                        <c:v>0.8655172413793103</c:v>
                      </c:pt>
                      <c:pt idx="103">
                        <c:v>0.87066666666666648</c:v>
                      </c:pt>
                      <c:pt idx="104">
                        <c:v>0.87233333333333329</c:v>
                      </c:pt>
                      <c:pt idx="105">
                        <c:v>0.87366666666666648</c:v>
                      </c:pt>
                      <c:pt idx="106">
                        <c:v>0.87374999999999992</c:v>
                      </c:pt>
                      <c:pt idx="107">
                        <c:v>0.86249999999999982</c:v>
                      </c:pt>
                      <c:pt idx="108">
                        <c:v>0.8588888888888887</c:v>
                      </c:pt>
                      <c:pt idx="109">
                        <c:v>0.85799999999999998</c:v>
                      </c:pt>
                      <c:pt idx="110">
                        <c:v>0.85799999999999976</c:v>
                      </c:pt>
                      <c:pt idx="111">
                        <c:v>0.86242424242424232</c:v>
                      </c:pt>
                      <c:pt idx="112">
                        <c:v>0.86285714285714255</c:v>
                      </c:pt>
                      <c:pt idx="113">
                        <c:v>0.869705882352941</c:v>
                      </c:pt>
                      <c:pt idx="114">
                        <c:v>0.89678571428571396</c:v>
                      </c:pt>
                      <c:pt idx="115">
                        <c:v>0.88692307692307704</c:v>
                      </c:pt>
                      <c:pt idx="116">
                        <c:v>0.85384615384615381</c:v>
                      </c:pt>
                      <c:pt idx="117">
                        <c:v>0.88884615384615395</c:v>
                      </c:pt>
                      <c:pt idx="118">
                        <c:v>0.85692307692307679</c:v>
                      </c:pt>
                      <c:pt idx="119">
                        <c:v>0.86424242424242403</c:v>
                      </c:pt>
                      <c:pt idx="120">
                        <c:v>0.86205882352941154</c:v>
                      </c:pt>
                      <c:pt idx="121">
                        <c:v>0.86111111111111072</c:v>
                      </c:pt>
                      <c:pt idx="122">
                        <c:v>0.86482758620689648</c:v>
                      </c:pt>
                      <c:pt idx="123">
                        <c:v>0.85636363636363633</c:v>
                      </c:pt>
                      <c:pt idx="124">
                        <c:v>0.88454545454545441</c:v>
                      </c:pt>
                      <c:pt idx="125">
                        <c:v>0.85322580645161261</c:v>
                      </c:pt>
                      <c:pt idx="126">
                        <c:v>0.8117142857142855</c:v>
                      </c:pt>
                      <c:pt idx="127">
                        <c:v>0.85851851851851846</c:v>
                      </c:pt>
                      <c:pt idx="128">
                        <c:v>0.86657142857142833</c:v>
                      </c:pt>
                      <c:pt idx="129">
                        <c:v>0.87142857142857133</c:v>
                      </c:pt>
                      <c:pt idx="130">
                        <c:v>0.86944444444444446</c:v>
                      </c:pt>
                      <c:pt idx="131">
                        <c:v>0.88848484848484854</c:v>
                      </c:pt>
                      <c:pt idx="132">
                        <c:v>0.89307692307692321</c:v>
                      </c:pt>
                      <c:pt idx="133">
                        <c:v>0.89714285714285702</c:v>
                      </c:pt>
                      <c:pt idx="134">
                        <c:v>0.87225806451612886</c:v>
                      </c:pt>
                      <c:pt idx="135">
                        <c:v>0.89838709677419359</c:v>
                      </c:pt>
                      <c:pt idx="136">
                        <c:v>0.87312499999999971</c:v>
                      </c:pt>
                      <c:pt idx="137">
                        <c:v>0.89259259259259227</c:v>
                      </c:pt>
                      <c:pt idx="138">
                        <c:v>0.86111111111111094</c:v>
                      </c:pt>
                      <c:pt idx="139">
                        <c:v>0.88958333333333306</c:v>
                      </c:pt>
                      <c:pt idx="140">
                        <c:v>0.86303030303030281</c:v>
                      </c:pt>
                      <c:pt idx="141">
                        <c:v>0.86942857142857122</c:v>
                      </c:pt>
                      <c:pt idx="142">
                        <c:v>0.86999999999999977</c:v>
                      </c:pt>
                      <c:pt idx="143">
                        <c:v>0.84829268292682913</c:v>
                      </c:pt>
                      <c:pt idx="144">
                        <c:v>0.82351351351351343</c:v>
                      </c:pt>
                      <c:pt idx="145">
                        <c:v>0.80323529411764694</c:v>
                      </c:pt>
                      <c:pt idx="146">
                        <c:v>0.82838709677419342</c:v>
                      </c:pt>
                      <c:pt idx="147">
                        <c:v>0.85233333333333294</c:v>
                      </c:pt>
                      <c:pt idx="148">
                        <c:v>0.86705882352941166</c:v>
                      </c:pt>
                      <c:pt idx="149">
                        <c:v>0.82842105263157884</c:v>
                      </c:pt>
                      <c:pt idx="150">
                        <c:v>0.83128205128205113</c:v>
                      </c:pt>
                      <c:pt idx="151">
                        <c:v>0.87096774193548376</c:v>
                      </c:pt>
                      <c:pt idx="152">
                        <c:v>0.86965517241379298</c:v>
                      </c:pt>
                      <c:pt idx="153">
                        <c:v>0.86724137931034495</c:v>
                      </c:pt>
                      <c:pt idx="154">
                        <c:v>0.87161290322580642</c:v>
                      </c:pt>
                      <c:pt idx="155">
                        <c:v>0.87290322580645141</c:v>
                      </c:pt>
                      <c:pt idx="156">
                        <c:v>0.87499999999999989</c:v>
                      </c:pt>
                      <c:pt idx="157">
                        <c:v>0.87874999999999981</c:v>
                      </c:pt>
                      <c:pt idx="158">
                        <c:v>0.87757575757575745</c:v>
                      </c:pt>
                      <c:pt idx="159">
                        <c:v>0.8650000000000001</c:v>
                      </c:pt>
                      <c:pt idx="160">
                        <c:v>0.88</c:v>
                      </c:pt>
                      <c:pt idx="161">
                        <c:v>0.84843749999999984</c:v>
                      </c:pt>
                      <c:pt idx="162">
                        <c:v>0.8600000000000001</c:v>
                      </c:pt>
                      <c:pt idx="163">
                        <c:v>0.84617647058823497</c:v>
                      </c:pt>
                      <c:pt idx="164">
                        <c:v>0.83558823529411741</c:v>
                      </c:pt>
                      <c:pt idx="165">
                        <c:v>0.83888888888888868</c:v>
                      </c:pt>
                      <c:pt idx="166">
                        <c:v>0.8408823529411763</c:v>
                      </c:pt>
                      <c:pt idx="167">
                        <c:v>0.8194444444444442</c:v>
                      </c:pt>
                      <c:pt idx="168">
                        <c:v>0.84361111111111109</c:v>
                      </c:pt>
                      <c:pt idx="169">
                        <c:v>0.84485714285714264</c:v>
                      </c:pt>
                      <c:pt idx="170">
                        <c:v>0.86971428571428544</c:v>
                      </c:pt>
                      <c:pt idx="171">
                        <c:v>0.87057142857142844</c:v>
                      </c:pt>
                      <c:pt idx="172">
                        <c:v>0.86783783783783741</c:v>
                      </c:pt>
                      <c:pt idx="173">
                        <c:v>0.86899999999999977</c:v>
                      </c:pt>
                      <c:pt idx="174">
                        <c:v>0.86392857142857127</c:v>
                      </c:pt>
                      <c:pt idx="175">
                        <c:v>0.86621621621621592</c:v>
                      </c:pt>
                      <c:pt idx="176">
                        <c:v>0.86305555555555535</c:v>
                      </c:pt>
                      <c:pt idx="177">
                        <c:v>0.8616129032258063</c:v>
                      </c:pt>
                      <c:pt idx="178">
                        <c:v>0.85968749999999994</c:v>
                      </c:pt>
                      <c:pt idx="179">
                        <c:v>0.82666666666666655</c:v>
                      </c:pt>
                      <c:pt idx="180">
                        <c:v>0.83382352941176441</c:v>
                      </c:pt>
                      <c:pt idx="181">
                        <c:v>0.84236842105263132</c:v>
                      </c:pt>
                      <c:pt idx="182">
                        <c:v>0.89379310344827556</c:v>
                      </c:pt>
                      <c:pt idx="183">
                        <c:v>0.86266666666666636</c:v>
                      </c:pt>
                      <c:pt idx="184">
                        <c:v>0.85588235294117621</c:v>
                      </c:pt>
                      <c:pt idx="185">
                        <c:v>0.85205882352941154</c:v>
                      </c:pt>
                      <c:pt idx="186">
                        <c:v>0.85161290322580618</c:v>
                      </c:pt>
                      <c:pt idx="187">
                        <c:v>0.84419354838709648</c:v>
                      </c:pt>
                      <c:pt idx="188">
                        <c:v>0.85071428571428542</c:v>
                      </c:pt>
                      <c:pt idx="189">
                        <c:v>0.85241379310344811</c:v>
                      </c:pt>
                      <c:pt idx="190">
                        <c:v>0.85571428571428554</c:v>
                      </c:pt>
                      <c:pt idx="191">
                        <c:v>0.86156249999999979</c:v>
                      </c:pt>
                      <c:pt idx="192">
                        <c:v>0.86030303030303013</c:v>
                      </c:pt>
                      <c:pt idx="193">
                        <c:v>0.86066666666666669</c:v>
                      </c:pt>
                      <c:pt idx="194">
                        <c:v>0.86281249999999987</c:v>
                      </c:pt>
                      <c:pt idx="195">
                        <c:v>0.85483870967741915</c:v>
                      </c:pt>
                      <c:pt idx="196">
                        <c:v>0.86185185185185187</c:v>
                      </c:pt>
                      <c:pt idx="197">
                        <c:v>0.83068965517241378</c:v>
                      </c:pt>
                      <c:pt idx="198">
                        <c:v>0.8665624999999999</c:v>
                      </c:pt>
                      <c:pt idx="199">
                        <c:v>0.85571428571428565</c:v>
                      </c:pt>
                      <c:pt idx="200">
                        <c:v>0.86437499999999989</c:v>
                      </c:pt>
                      <c:pt idx="201">
                        <c:v>0.85781249999999987</c:v>
                      </c:pt>
                      <c:pt idx="202">
                        <c:v>0.85925925925925928</c:v>
                      </c:pt>
                      <c:pt idx="203">
                        <c:v>0.85444444444444434</c:v>
                      </c:pt>
                      <c:pt idx="204">
                        <c:v>0.82592592592592584</c:v>
                      </c:pt>
                      <c:pt idx="205">
                        <c:v>0.85482758620689625</c:v>
                      </c:pt>
                      <c:pt idx="206">
                        <c:v>0.89076923076923054</c:v>
                      </c:pt>
                      <c:pt idx="207">
                        <c:v>0.88608695652173908</c:v>
                      </c:pt>
                      <c:pt idx="208">
                        <c:v>0.84481481481481491</c:v>
                      </c:pt>
                      <c:pt idx="209">
                        <c:v>0.83535714285714258</c:v>
                      </c:pt>
                      <c:pt idx="210">
                        <c:v>0.8407407407407409</c:v>
                      </c:pt>
                      <c:pt idx="211">
                        <c:v>0.84896551724137925</c:v>
                      </c:pt>
                      <c:pt idx="212">
                        <c:v>0.85518518518518494</c:v>
                      </c:pt>
                      <c:pt idx="213">
                        <c:v>0.8538461538461537</c:v>
                      </c:pt>
                      <c:pt idx="214">
                        <c:v>0.86299999999999977</c:v>
                      </c:pt>
                      <c:pt idx="215">
                        <c:v>0.86709677419354825</c:v>
                      </c:pt>
                      <c:pt idx="216">
                        <c:v>0.87187499999999973</c:v>
                      </c:pt>
                      <c:pt idx="217">
                        <c:v>0.87312499999999982</c:v>
                      </c:pt>
                      <c:pt idx="218">
                        <c:v>0.83551724137931027</c:v>
                      </c:pt>
                      <c:pt idx="219">
                        <c:v>0.85843749999999974</c:v>
                      </c:pt>
                      <c:pt idx="220">
                        <c:v>0.8899999999999999</c:v>
                      </c:pt>
                      <c:pt idx="221">
                        <c:v>0.88260869565217381</c:v>
                      </c:pt>
                      <c:pt idx="222">
                        <c:v>0.85153846153846124</c:v>
                      </c:pt>
                      <c:pt idx="223">
                        <c:v>0.85827586206896533</c:v>
                      </c:pt>
                      <c:pt idx="224">
                        <c:v>0.8613793103448274</c:v>
                      </c:pt>
                      <c:pt idx="225">
                        <c:v>0.86448275862068968</c:v>
                      </c:pt>
                      <c:pt idx="226">
                        <c:v>0.85679999999999978</c:v>
                      </c:pt>
                      <c:pt idx="227">
                        <c:v>0.86833333333333329</c:v>
                      </c:pt>
                      <c:pt idx="228">
                        <c:v>0.86733333333333318</c:v>
                      </c:pt>
                      <c:pt idx="229">
                        <c:v>0.86866666666666648</c:v>
                      </c:pt>
                      <c:pt idx="230">
                        <c:v>0.86172413793103442</c:v>
                      </c:pt>
                      <c:pt idx="231">
                        <c:v>0.88586206896551711</c:v>
                      </c:pt>
                      <c:pt idx="232">
                        <c:v>0.84821428571428559</c:v>
                      </c:pt>
                      <c:pt idx="233">
                        <c:v>0.87526315789473697</c:v>
                      </c:pt>
                      <c:pt idx="234">
                        <c:v>0.85468749999999982</c:v>
                      </c:pt>
                      <c:pt idx="235">
                        <c:v>0.85558823529411732</c:v>
                      </c:pt>
                      <c:pt idx="236">
                        <c:v>0.86114285714285699</c:v>
                      </c:pt>
                      <c:pt idx="237">
                        <c:v>0.85882352941176443</c:v>
                      </c:pt>
                      <c:pt idx="238">
                        <c:v>0.89</c:v>
                      </c:pt>
                      <c:pt idx="239">
                        <c:v>0.89481481481481484</c:v>
                      </c:pt>
                      <c:pt idx="240">
                        <c:v>0.8655172413793103</c:v>
                      </c:pt>
                      <c:pt idx="241">
                        <c:v>0.85774193548387112</c:v>
                      </c:pt>
                      <c:pt idx="242">
                        <c:v>0.86562499999999976</c:v>
                      </c:pt>
                      <c:pt idx="243">
                        <c:v>0.85499999999999998</c:v>
                      </c:pt>
                      <c:pt idx="244">
                        <c:v>0.8603846153846153</c:v>
                      </c:pt>
                      <c:pt idx="245">
                        <c:v>0.86677419354838681</c:v>
                      </c:pt>
                      <c:pt idx="246">
                        <c:v>0.86562499999999976</c:v>
                      </c:pt>
                      <c:pt idx="247">
                        <c:v>0.86099999999999999</c:v>
                      </c:pt>
                      <c:pt idx="248">
                        <c:v>0.88879999999999981</c:v>
                      </c:pt>
                      <c:pt idx="249">
                        <c:v>0.86074074074074058</c:v>
                      </c:pt>
                      <c:pt idx="250">
                        <c:v>0.85999999999999965</c:v>
                      </c:pt>
                      <c:pt idx="251">
                        <c:v>0.85531249999999992</c:v>
                      </c:pt>
                      <c:pt idx="252">
                        <c:v>0.85133333333333316</c:v>
                      </c:pt>
                      <c:pt idx="253">
                        <c:v>0.88679999999999981</c:v>
                      </c:pt>
                      <c:pt idx="254">
                        <c:v>0.85119999999999996</c:v>
                      </c:pt>
                      <c:pt idx="255">
                        <c:v>0.8919230769230766</c:v>
                      </c:pt>
                      <c:pt idx="256">
                        <c:v>0.85846153846153839</c:v>
                      </c:pt>
                      <c:pt idx="257">
                        <c:v>0.85843749999999974</c:v>
                      </c:pt>
                      <c:pt idx="258">
                        <c:v>0.85062499999999974</c:v>
                      </c:pt>
                      <c:pt idx="259">
                        <c:v>0.85299999999999976</c:v>
                      </c:pt>
                      <c:pt idx="260">
                        <c:v>0.89037037037037003</c:v>
                      </c:pt>
                      <c:pt idx="261">
                        <c:v>0.89192307692307682</c:v>
                      </c:pt>
                      <c:pt idx="262">
                        <c:v>0.86058823529411754</c:v>
                      </c:pt>
                      <c:pt idx="263">
                        <c:v>0.85781249999999964</c:v>
                      </c:pt>
                      <c:pt idx="264">
                        <c:v>0.85379310344827575</c:v>
                      </c:pt>
                      <c:pt idx="265">
                        <c:v>0.85</c:v>
                      </c:pt>
                      <c:pt idx="266">
                        <c:v>0.85071428571428565</c:v>
                      </c:pt>
                      <c:pt idx="267">
                        <c:v>0.8514285714285712</c:v>
                      </c:pt>
                      <c:pt idx="268">
                        <c:v>0.86269230769230743</c:v>
                      </c:pt>
                      <c:pt idx="269">
                        <c:v>0.86115384615384605</c:v>
                      </c:pt>
                      <c:pt idx="270">
                        <c:v>0.85884615384615359</c:v>
                      </c:pt>
                      <c:pt idx="271">
                        <c:v>0.82259259259259254</c:v>
                      </c:pt>
                      <c:pt idx="272">
                        <c:v>0.85555555555555529</c:v>
                      </c:pt>
                      <c:pt idx="273">
                        <c:v>0.85615384615384593</c:v>
                      </c:pt>
                      <c:pt idx="274">
                        <c:v>0.85812500000000003</c:v>
                      </c:pt>
                      <c:pt idx="275">
                        <c:v>0.85709677419354824</c:v>
                      </c:pt>
                      <c:pt idx="276">
                        <c:v>0.8336363636363634</c:v>
                      </c:pt>
                      <c:pt idx="277">
                        <c:v>0.86310344827586194</c:v>
                      </c:pt>
                      <c:pt idx="278">
                        <c:v>0.86448275862068968</c:v>
                      </c:pt>
                      <c:pt idx="279">
                        <c:v>0.8574074074074074</c:v>
                      </c:pt>
                      <c:pt idx="280">
                        <c:v>0.85777777777777742</c:v>
                      </c:pt>
                      <c:pt idx="281">
                        <c:v>0.85559999999999992</c:v>
                      </c:pt>
                      <c:pt idx="282">
                        <c:v>0.86466666666666681</c:v>
                      </c:pt>
                      <c:pt idx="283">
                        <c:v>0.82655172413793088</c:v>
                      </c:pt>
                      <c:pt idx="284">
                        <c:v>0.85439999999999983</c:v>
                      </c:pt>
                      <c:pt idx="285">
                        <c:v>0.85041666666666649</c:v>
                      </c:pt>
                      <c:pt idx="286">
                        <c:v>0.8541935483870966</c:v>
                      </c:pt>
                      <c:pt idx="287">
                        <c:v>0.85777777777777753</c:v>
                      </c:pt>
                      <c:pt idx="288">
                        <c:v>0.82892857142857124</c:v>
                      </c:pt>
                      <c:pt idx="289">
                        <c:v>0.82451612903225791</c:v>
                      </c:pt>
                      <c:pt idx="290">
                        <c:v>0.81999999999999973</c:v>
                      </c:pt>
                      <c:pt idx="291">
                        <c:v>0.84555555555555539</c:v>
                      </c:pt>
                      <c:pt idx="292">
                        <c:v>0.82323529411764695</c:v>
                      </c:pt>
                      <c:pt idx="293">
                        <c:v>0.85354838709677394</c:v>
                      </c:pt>
                      <c:pt idx="294">
                        <c:v>0.85851851851851824</c:v>
                      </c:pt>
                      <c:pt idx="295">
                        <c:v>0.85479999999999978</c:v>
                      </c:pt>
                      <c:pt idx="296">
                        <c:v>0.86074074074074058</c:v>
                      </c:pt>
                      <c:pt idx="297">
                        <c:v>0.89423076923076894</c:v>
                      </c:pt>
                      <c:pt idx="298">
                        <c:v>0.86548387096774149</c:v>
                      </c:pt>
                      <c:pt idx="299">
                        <c:v>0.85437499999999988</c:v>
                      </c:pt>
                      <c:pt idx="300">
                        <c:v>0.85533333333333306</c:v>
                      </c:pt>
                      <c:pt idx="301">
                        <c:v>0.84966666666666657</c:v>
                      </c:pt>
                      <c:pt idx="302">
                        <c:v>0.8606451612903222</c:v>
                      </c:pt>
                      <c:pt idx="303">
                        <c:v>0.88826086956521721</c:v>
                      </c:pt>
                      <c:pt idx="304">
                        <c:v>0.8603846153846153</c:v>
                      </c:pt>
                      <c:pt idx="305">
                        <c:v>0.86185185185185176</c:v>
                      </c:pt>
                      <c:pt idx="306">
                        <c:v>0.86272727272727245</c:v>
                      </c:pt>
                      <c:pt idx="307">
                        <c:v>0.8596969696969694</c:v>
                      </c:pt>
                      <c:pt idx="308">
                        <c:v>0.8581249999999998</c:v>
                      </c:pt>
                      <c:pt idx="309">
                        <c:v>0.85099999999999953</c:v>
                      </c:pt>
                      <c:pt idx="310">
                        <c:v>0.85299999999999976</c:v>
                      </c:pt>
                      <c:pt idx="311">
                        <c:v>0.88416666666666666</c:v>
                      </c:pt>
                      <c:pt idx="312">
                        <c:v>0.85279999999999978</c:v>
                      </c:pt>
                      <c:pt idx="313">
                        <c:v>0.85423076923076902</c:v>
                      </c:pt>
                      <c:pt idx="314">
                        <c:v>0.85928571428571399</c:v>
                      </c:pt>
                      <c:pt idx="315">
                        <c:v>0.85444444444444434</c:v>
                      </c:pt>
                      <c:pt idx="316">
                        <c:v>0.85363636363636342</c:v>
                      </c:pt>
                      <c:pt idx="317">
                        <c:v>0.85624999999999973</c:v>
                      </c:pt>
                      <c:pt idx="318">
                        <c:v>0.8553124999999997</c:v>
                      </c:pt>
                      <c:pt idx="319">
                        <c:v>0.85624999999999973</c:v>
                      </c:pt>
                      <c:pt idx="320">
                        <c:v>0.85333333333333328</c:v>
                      </c:pt>
                      <c:pt idx="321">
                        <c:v>0.85310344827586182</c:v>
                      </c:pt>
                      <c:pt idx="322">
                        <c:v>0.85079999999999989</c:v>
                      </c:pt>
                      <c:pt idx="323">
                        <c:v>0.84857142857142842</c:v>
                      </c:pt>
                      <c:pt idx="324">
                        <c:v>0.81793103448275861</c:v>
                      </c:pt>
                      <c:pt idx="325">
                        <c:v>0.82258064516129026</c:v>
                      </c:pt>
                      <c:pt idx="326">
                        <c:v>0.84533333333333316</c:v>
                      </c:pt>
                      <c:pt idx="327">
                        <c:v>0.84733333333333327</c:v>
                      </c:pt>
                      <c:pt idx="328">
                        <c:v>0.88799999999999979</c:v>
                      </c:pt>
                      <c:pt idx="329">
                        <c:v>0.88565217391304341</c:v>
                      </c:pt>
                      <c:pt idx="330">
                        <c:v>0.88719999999999988</c:v>
                      </c:pt>
                      <c:pt idx="331">
                        <c:v>0.85333333333333328</c:v>
                      </c:pt>
                      <c:pt idx="332">
                        <c:v>0.85468749999999993</c:v>
                      </c:pt>
                      <c:pt idx="333">
                        <c:v>0.84166666666666634</c:v>
                      </c:pt>
                      <c:pt idx="334">
                        <c:v>0.84999999999999976</c:v>
                      </c:pt>
                      <c:pt idx="335">
                        <c:v>0.88130434782608691</c:v>
                      </c:pt>
                      <c:pt idx="336">
                        <c:v>0.85678571428571426</c:v>
                      </c:pt>
                      <c:pt idx="337">
                        <c:v>0.85343750000000007</c:v>
                      </c:pt>
                      <c:pt idx="338">
                        <c:v>0.85742857142857121</c:v>
                      </c:pt>
                      <c:pt idx="339">
                        <c:v>0.88884615384615395</c:v>
                      </c:pt>
                      <c:pt idx="340">
                        <c:v>0.86064516129032231</c:v>
                      </c:pt>
                      <c:pt idx="341">
                        <c:v>0.86093749999999991</c:v>
                      </c:pt>
                      <c:pt idx="342">
                        <c:v>0.83090909090909082</c:v>
                      </c:pt>
                      <c:pt idx="343">
                        <c:v>0.83272727272727254</c:v>
                      </c:pt>
                      <c:pt idx="344">
                        <c:v>0.82939393939393924</c:v>
                      </c:pt>
                      <c:pt idx="345">
                        <c:v>0.85571428571428565</c:v>
                      </c:pt>
                      <c:pt idx="346">
                        <c:v>0.85153846153846147</c:v>
                      </c:pt>
                      <c:pt idx="347">
                        <c:v>0.85066666666666646</c:v>
                      </c:pt>
                      <c:pt idx="348">
                        <c:v>0.85531249999999981</c:v>
                      </c:pt>
                      <c:pt idx="349">
                        <c:v>0.85612903225806447</c:v>
                      </c:pt>
                      <c:pt idx="350">
                        <c:v>0.85962962962962952</c:v>
                      </c:pt>
                      <c:pt idx="351">
                        <c:v>0.85269230769230764</c:v>
                      </c:pt>
                      <c:pt idx="352">
                        <c:v>0.82115384615384612</c:v>
                      </c:pt>
                      <c:pt idx="353">
                        <c:v>0.85878787878787832</c:v>
                      </c:pt>
                      <c:pt idx="354">
                        <c:v>0.85967741935483832</c:v>
                      </c:pt>
                      <c:pt idx="355">
                        <c:v>0.85941176470588199</c:v>
                      </c:pt>
                      <c:pt idx="356">
                        <c:v>0.85653846153846136</c:v>
                      </c:pt>
                      <c:pt idx="357">
                        <c:v>0.86310344827586216</c:v>
                      </c:pt>
                      <c:pt idx="358">
                        <c:v>0.82928571428571407</c:v>
                      </c:pt>
                      <c:pt idx="359">
                        <c:v>0.8588888888888887</c:v>
                      </c:pt>
                      <c:pt idx="360">
                        <c:v>0.86148148148148129</c:v>
                      </c:pt>
                      <c:pt idx="361">
                        <c:v>0.89178571428571407</c:v>
                      </c:pt>
                      <c:pt idx="362">
                        <c:v>0.85538461538461519</c:v>
                      </c:pt>
                      <c:pt idx="363">
                        <c:v>0.85538461538461508</c:v>
                      </c:pt>
                      <c:pt idx="364">
                        <c:v>0.84678571428571447</c:v>
                      </c:pt>
                      <c:pt idx="365">
                        <c:v>0.85699999999999976</c:v>
                      </c:pt>
                      <c:pt idx="366">
                        <c:v>0.88959999999999995</c:v>
                      </c:pt>
                      <c:pt idx="367">
                        <c:v>0.8614285714285711</c:v>
                      </c:pt>
                      <c:pt idx="368">
                        <c:v>0.86142857142857132</c:v>
                      </c:pt>
                      <c:pt idx="369">
                        <c:v>0.85461538461538433</c:v>
                      </c:pt>
                      <c:pt idx="370">
                        <c:v>0.82296296296296267</c:v>
                      </c:pt>
                      <c:pt idx="371">
                        <c:v>0.82499999999999984</c:v>
                      </c:pt>
                      <c:pt idx="372">
                        <c:v>0.86205882352941166</c:v>
                      </c:pt>
                      <c:pt idx="373">
                        <c:v>0.85624999999999962</c:v>
                      </c:pt>
                      <c:pt idx="374">
                        <c:v>0.88800000000000001</c:v>
                      </c:pt>
                      <c:pt idx="375">
                        <c:v>0.87999999999999989</c:v>
                      </c:pt>
                      <c:pt idx="376">
                        <c:v>0.87636363636363623</c:v>
                      </c:pt>
                      <c:pt idx="377">
                        <c:v>0.84458333333333302</c:v>
                      </c:pt>
                      <c:pt idx="378">
                        <c:v>0.85124999999999984</c:v>
                      </c:pt>
                      <c:pt idx="379">
                        <c:v>0.85344827586206873</c:v>
                      </c:pt>
                      <c:pt idx="380">
                        <c:v>0.88874999999999982</c:v>
                      </c:pt>
                      <c:pt idx="381">
                        <c:v>0.8548</c:v>
                      </c:pt>
                      <c:pt idx="382">
                        <c:v>0.8567999999999999</c:v>
                      </c:pt>
                      <c:pt idx="383">
                        <c:v>0.85466666666666646</c:v>
                      </c:pt>
                      <c:pt idx="384">
                        <c:v>0.84966666666666646</c:v>
                      </c:pt>
                      <c:pt idx="385">
                        <c:v>0.88</c:v>
                      </c:pt>
                      <c:pt idx="386">
                        <c:v>0.88190476190476186</c:v>
                      </c:pt>
                      <c:pt idx="387">
                        <c:v>0.87809523809523804</c:v>
                      </c:pt>
                      <c:pt idx="388">
                        <c:v>0.85419354838709649</c:v>
                      </c:pt>
                      <c:pt idx="389">
                        <c:v>0.85593749999999991</c:v>
                      </c:pt>
                      <c:pt idx="390">
                        <c:v>0.85999999999999988</c:v>
                      </c:pt>
                      <c:pt idx="391">
                        <c:v>0.83382352941176463</c:v>
                      </c:pt>
                      <c:pt idx="392">
                        <c:v>0.83575757575757559</c:v>
                      </c:pt>
                      <c:pt idx="393">
                        <c:v>0.89384615384615396</c:v>
                      </c:pt>
                      <c:pt idx="394">
                        <c:v>0.89159999999999995</c:v>
                      </c:pt>
                      <c:pt idx="395">
                        <c:v>0.8822727272727271</c:v>
                      </c:pt>
                      <c:pt idx="396">
                        <c:v>0.84374999999999989</c:v>
                      </c:pt>
                      <c:pt idx="397">
                        <c:v>0.83999999999999986</c:v>
                      </c:pt>
                      <c:pt idx="398">
                        <c:v>0.85533333333333306</c:v>
                      </c:pt>
                      <c:pt idx="399">
                        <c:v>0.86093749999999991</c:v>
                      </c:pt>
                      <c:pt idx="400">
                        <c:v>0.8610714285714286</c:v>
                      </c:pt>
                      <c:pt idx="401">
                        <c:v>0.86111111111111094</c:v>
                      </c:pt>
                      <c:pt idx="402">
                        <c:v>0.86448275862068968</c:v>
                      </c:pt>
                      <c:pt idx="403">
                        <c:v>0.86264705882352921</c:v>
                      </c:pt>
                      <c:pt idx="404">
                        <c:v>0.86034482758620678</c:v>
                      </c:pt>
                      <c:pt idx="405">
                        <c:v>0.85370370370370374</c:v>
                      </c:pt>
                      <c:pt idx="406">
                        <c:v>0.82074074074074077</c:v>
                      </c:pt>
                      <c:pt idx="407">
                        <c:v>0.88652173913043464</c:v>
                      </c:pt>
                      <c:pt idx="408">
                        <c:v>0.89076923076923065</c:v>
                      </c:pt>
                      <c:pt idx="409">
                        <c:v>0.88961538461538425</c:v>
                      </c:pt>
                      <c:pt idx="410">
                        <c:v>0.86071428571428554</c:v>
                      </c:pt>
                      <c:pt idx="411">
                        <c:v>0.85703703703703693</c:v>
                      </c:pt>
                      <c:pt idx="412">
                        <c:v>0.85851851851851835</c:v>
                      </c:pt>
                      <c:pt idx="413">
                        <c:v>0.85925925925925895</c:v>
                      </c:pt>
                      <c:pt idx="414">
                        <c:v>0.85290322580645139</c:v>
                      </c:pt>
                      <c:pt idx="415">
                        <c:v>0.84928571428571409</c:v>
                      </c:pt>
                      <c:pt idx="416">
                        <c:v>0.84310344827586181</c:v>
                      </c:pt>
                      <c:pt idx="417">
                        <c:v>0.85333333333333328</c:v>
                      </c:pt>
                      <c:pt idx="418">
                        <c:v>0.82593749999999988</c:v>
                      </c:pt>
                      <c:pt idx="419">
                        <c:v>0.85935483870967744</c:v>
                      </c:pt>
                      <c:pt idx="420">
                        <c:v>0.86499999999999977</c:v>
                      </c:pt>
                      <c:pt idx="421">
                        <c:v>0.86121212121212121</c:v>
                      </c:pt>
                      <c:pt idx="422">
                        <c:v>0.86071428571428565</c:v>
                      </c:pt>
                      <c:pt idx="423">
                        <c:v>0.85615384615384593</c:v>
                      </c:pt>
                      <c:pt idx="424">
                        <c:v>0.88739130434782598</c:v>
                      </c:pt>
                      <c:pt idx="425">
                        <c:v>0.85399999999999987</c:v>
                      </c:pt>
                      <c:pt idx="426">
                        <c:v>0.85233333333333305</c:v>
                      </c:pt>
                      <c:pt idx="427">
                        <c:v>0.86</c:v>
                      </c:pt>
                      <c:pt idx="428">
                        <c:v>0.86111111111111094</c:v>
                      </c:pt>
                      <c:pt idx="429">
                        <c:v>0.86933333333333318</c:v>
                      </c:pt>
                      <c:pt idx="430">
                        <c:v>0.86464285714285705</c:v>
                      </c:pt>
                      <c:pt idx="431">
                        <c:v>0.86833333333333307</c:v>
                      </c:pt>
                      <c:pt idx="432">
                        <c:v>0.86448275862068935</c:v>
                      </c:pt>
                      <c:pt idx="433">
                        <c:v>0.85962962962962941</c:v>
                      </c:pt>
                      <c:pt idx="434">
                        <c:v>0.86071428571428565</c:v>
                      </c:pt>
                      <c:pt idx="435">
                        <c:v>0.85214285714285698</c:v>
                      </c:pt>
                      <c:pt idx="436">
                        <c:v>0.84925925925925894</c:v>
                      </c:pt>
                      <c:pt idx="437">
                        <c:v>0.85531249999999981</c:v>
                      </c:pt>
                      <c:pt idx="438">
                        <c:v>0.83437499999999976</c:v>
                      </c:pt>
                      <c:pt idx="439">
                        <c:v>0.8609374999999998</c:v>
                      </c:pt>
                      <c:pt idx="440">
                        <c:v>0.8632142857142856</c:v>
                      </c:pt>
                      <c:pt idx="441">
                        <c:v>0.87000000000000022</c:v>
                      </c:pt>
                      <c:pt idx="442">
                        <c:v>0.86727272727272686</c:v>
                      </c:pt>
                      <c:pt idx="443">
                        <c:v>0.86058823529411732</c:v>
                      </c:pt>
                      <c:pt idx="444">
                        <c:v>0.85709677419354824</c:v>
                      </c:pt>
                      <c:pt idx="445">
                        <c:v>0.85363636363636342</c:v>
                      </c:pt>
                      <c:pt idx="446">
                        <c:v>0.83444444444444421</c:v>
                      </c:pt>
                      <c:pt idx="447">
                        <c:v>0.86454545454545451</c:v>
                      </c:pt>
                      <c:pt idx="448">
                        <c:v>0.86757575757575756</c:v>
                      </c:pt>
                      <c:pt idx="449">
                        <c:v>0.86636363636363645</c:v>
                      </c:pt>
                      <c:pt idx="450">
                        <c:v>0.8651428571428571</c:v>
                      </c:pt>
                      <c:pt idx="451">
                        <c:v>0.86085714285714288</c:v>
                      </c:pt>
                      <c:pt idx="452">
                        <c:v>0.85888888888888859</c:v>
                      </c:pt>
                      <c:pt idx="453">
                        <c:v>0.85545454545454536</c:v>
                      </c:pt>
                      <c:pt idx="454">
                        <c:v>0.85937499999999978</c:v>
                      </c:pt>
                      <c:pt idx="455">
                        <c:v>0.86225806451612885</c:v>
                      </c:pt>
                      <c:pt idx="456">
                        <c:v>0.86413793103448266</c:v>
                      </c:pt>
                      <c:pt idx="457">
                        <c:v>0.86259259259259247</c:v>
                      </c:pt>
                      <c:pt idx="458">
                        <c:v>0.89793103448275857</c:v>
                      </c:pt>
                      <c:pt idx="459">
                        <c:v>0.86793103448275843</c:v>
                      </c:pt>
                      <c:pt idx="460">
                        <c:v>0.8637499999999998</c:v>
                      </c:pt>
                      <c:pt idx="461">
                        <c:v>0.83033333333333337</c:v>
                      </c:pt>
                      <c:pt idx="462">
                        <c:v>0.82933333333333326</c:v>
                      </c:pt>
                      <c:pt idx="463">
                        <c:v>0.86312499999999981</c:v>
                      </c:pt>
                      <c:pt idx="464">
                        <c:v>0.86909090909090914</c:v>
                      </c:pt>
                      <c:pt idx="465">
                        <c:v>0.87249999999999994</c:v>
                      </c:pt>
                      <c:pt idx="466">
                        <c:v>0.87099999999999989</c:v>
                      </c:pt>
                      <c:pt idx="467">
                        <c:v>0.86346153846153817</c:v>
                      </c:pt>
                      <c:pt idx="468">
                        <c:v>0.86303030303030304</c:v>
                      </c:pt>
                      <c:pt idx="469">
                        <c:v>0.86162162162162148</c:v>
                      </c:pt>
                      <c:pt idx="470">
                        <c:v>0.86212121212121229</c:v>
                      </c:pt>
                      <c:pt idx="471">
                        <c:v>0.88799999999999979</c:v>
                      </c:pt>
                      <c:pt idx="472">
                        <c:v>0.88807692307692321</c:v>
                      </c:pt>
                      <c:pt idx="473">
                        <c:v>0.88400000000000001</c:v>
                      </c:pt>
                      <c:pt idx="474">
                        <c:v>0.8859999999999999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13-4004-94CD-60F5D0E00F7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ASSETS!$F$18</c15:sqref>
                        </c15:formulaRef>
                      </c:ext>
                    </c:extLst>
                    <c:strCache>
                      <c:ptCount val="1"/>
                      <c:pt idx="0">
                        <c:v> Structure 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ASSETS!$C$19:$C$493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7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ASSETS!$F$19:$F$493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475"/>
                      <c:pt idx="0">
                        <c:v>0.62648630485914658</c:v>
                      </c:pt>
                      <c:pt idx="1">
                        <c:v>0.61966780000860411</c:v>
                      </c:pt>
                      <c:pt idx="2">
                        <c:v>0.67339137957176209</c:v>
                      </c:pt>
                      <c:pt idx="3">
                        <c:v>0.75632295059425425</c:v>
                      </c:pt>
                      <c:pt idx="4">
                        <c:v>0.83007178059112108</c:v>
                      </c:pt>
                      <c:pt idx="5">
                        <c:v>0.79701591853759812</c:v>
                      </c:pt>
                      <c:pt idx="6">
                        <c:v>0.79961604062340885</c:v>
                      </c:pt>
                      <c:pt idx="7">
                        <c:v>0.70023615215432866</c:v>
                      </c:pt>
                      <c:pt idx="8">
                        <c:v>0.76026256280931237</c:v>
                      </c:pt>
                      <c:pt idx="9">
                        <c:v>0.76494363564693535</c:v>
                      </c:pt>
                      <c:pt idx="10">
                        <c:v>0.64914904534774498</c:v>
                      </c:pt>
                      <c:pt idx="11">
                        <c:v>0.70483801152192127</c:v>
                      </c:pt>
                      <c:pt idx="12">
                        <c:v>0.73487869229477021</c:v>
                      </c:pt>
                      <c:pt idx="13">
                        <c:v>0.72608880036483125</c:v>
                      </c:pt>
                      <c:pt idx="14">
                        <c:v>0.72376619553915944</c:v>
                      </c:pt>
                      <c:pt idx="15">
                        <c:v>0.71630546687056951</c:v>
                      </c:pt>
                      <c:pt idx="16">
                        <c:v>0.64766338039127447</c:v>
                      </c:pt>
                      <c:pt idx="17">
                        <c:v>0.59907245679541943</c:v>
                      </c:pt>
                      <c:pt idx="18">
                        <c:v>0.63964323771621301</c:v>
                      </c:pt>
                      <c:pt idx="19">
                        <c:v>0.70963105355242728</c:v>
                      </c:pt>
                      <c:pt idx="20">
                        <c:v>0.73254685135616782</c:v>
                      </c:pt>
                      <c:pt idx="21">
                        <c:v>0.66070044523479154</c:v>
                      </c:pt>
                      <c:pt idx="22">
                        <c:v>0.75128324897000553</c:v>
                      </c:pt>
                      <c:pt idx="23">
                        <c:v>0.64125624318619523</c:v>
                      </c:pt>
                      <c:pt idx="24">
                        <c:v>0.7317146318677179</c:v>
                      </c:pt>
                      <c:pt idx="25">
                        <c:v>0.82696263410263071</c:v>
                      </c:pt>
                      <c:pt idx="26">
                        <c:v>0.73565012098812421</c:v>
                      </c:pt>
                      <c:pt idx="27">
                        <c:v>0.8563889721821738</c:v>
                      </c:pt>
                      <c:pt idx="28">
                        <c:v>0.75362286816010637</c:v>
                      </c:pt>
                      <c:pt idx="29">
                        <c:v>0.75736738105431578</c:v>
                      </c:pt>
                      <c:pt idx="30">
                        <c:v>0.69755571988706944</c:v>
                      </c:pt>
                      <c:pt idx="31">
                        <c:v>0.737184478200273</c:v>
                      </c:pt>
                      <c:pt idx="32">
                        <c:v>0.77031547629746167</c:v>
                      </c:pt>
                      <c:pt idx="33">
                        <c:v>0.73704122171007758</c:v>
                      </c:pt>
                      <c:pt idx="34">
                        <c:v>0.72556788628761537</c:v>
                      </c:pt>
                      <c:pt idx="35">
                        <c:v>0.73568348462719557</c:v>
                      </c:pt>
                      <c:pt idx="36">
                        <c:v>0.71874598264859102</c:v>
                      </c:pt>
                      <c:pt idx="37">
                        <c:v>0.73006921472335606</c:v>
                      </c:pt>
                      <c:pt idx="38">
                        <c:v>0.74197690417274653</c:v>
                      </c:pt>
                      <c:pt idx="39">
                        <c:v>0.63630476221163224</c:v>
                      </c:pt>
                      <c:pt idx="40">
                        <c:v>0.71386161892459776</c:v>
                      </c:pt>
                      <c:pt idx="41">
                        <c:v>0.62116955021818898</c:v>
                      </c:pt>
                      <c:pt idx="42">
                        <c:v>0.66376041763074967</c:v>
                      </c:pt>
                      <c:pt idx="43">
                        <c:v>0.76330150947763131</c:v>
                      </c:pt>
                      <c:pt idx="44">
                        <c:v>0.65807249636162835</c:v>
                      </c:pt>
                      <c:pt idx="45">
                        <c:v>0.74788282411017926</c:v>
                      </c:pt>
                      <c:pt idx="46">
                        <c:v>0.78646603360925882</c:v>
                      </c:pt>
                      <c:pt idx="47">
                        <c:v>0.78408190603429806</c:v>
                      </c:pt>
                      <c:pt idx="48">
                        <c:v>0.64296162232211584</c:v>
                      </c:pt>
                      <c:pt idx="49">
                        <c:v>0.77106754385535503</c:v>
                      </c:pt>
                      <c:pt idx="50">
                        <c:v>0.77165231066625439</c:v>
                      </c:pt>
                      <c:pt idx="51">
                        <c:v>0.80881833303268458</c:v>
                      </c:pt>
                      <c:pt idx="52">
                        <c:v>0.75144121677052567</c:v>
                      </c:pt>
                      <c:pt idx="53">
                        <c:v>0.70959715424254455</c:v>
                      </c:pt>
                      <c:pt idx="54">
                        <c:v>0.6614417382305976</c:v>
                      </c:pt>
                      <c:pt idx="55">
                        <c:v>0.72096130281189608</c:v>
                      </c:pt>
                      <c:pt idx="56">
                        <c:v>0.66916116392001657</c:v>
                      </c:pt>
                      <c:pt idx="57">
                        <c:v>0.731720729657096</c:v>
                      </c:pt>
                      <c:pt idx="58">
                        <c:v>0.77081859421392684</c:v>
                      </c:pt>
                      <c:pt idx="59">
                        <c:v>0.73387600157755184</c:v>
                      </c:pt>
                      <c:pt idx="60">
                        <c:v>0.7195722412415263</c:v>
                      </c:pt>
                      <c:pt idx="61">
                        <c:v>0.76796723249655341</c:v>
                      </c:pt>
                      <c:pt idx="62">
                        <c:v>0.81013905902092198</c:v>
                      </c:pt>
                      <c:pt idx="63">
                        <c:v>0.76495169365272375</c:v>
                      </c:pt>
                      <c:pt idx="64">
                        <c:v>0.81679711839326863</c:v>
                      </c:pt>
                      <c:pt idx="65">
                        <c:v>0.78421856998460115</c:v>
                      </c:pt>
                      <c:pt idx="66">
                        <c:v>0.77008576725662337</c:v>
                      </c:pt>
                      <c:pt idx="67">
                        <c:v>0.69293482033607567</c:v>
                      </c:pt>
                      <c:pt idx="68">
                        <c:v>0.71676508930601479</c:v>
                      </c:pt>
                      <c:pt idx="69">
                        <c:v>0.73263123559820054</c:v>
                      </c:pt>
                      <c:pt idx="70">
                        <c:v>0.68163276687990049</c:v>
                      </c:pt>
                      <c:pt idx="71">
                        <c:v>0.77560999594725466</c:v>
                      </c:pt>
                      <c:pt idx="72">
                        <c:v>0.80834934293144189</c:v>
                      </c:pt>
                      <c:pt idx="73">
                        <c:v>0.77345572086735115</c:v>
                      </c:pt>
                      <c:pt idx="74">
                        <c:v>0.7450592529535891</c:v>
                      </c:pt>
                      <c:pt idx="75">
                        <c:v>0.76826716243049309</c:v>
                      </c:pt>
                      <c:pt idx="76">
                        <c:v>0.67966706747070982</c:v>
                      </c:pt>
                      <c:pt idx="77">
                        <c:v>0.75071470226144976</c:v>
                      </c:pt>
                      <c:pt idx="78">
                        <c:v>0.78045682849053633</c:v>
                      </c:pt>
                      <c:pt idx="79">
                        <c:v>0.76164549195801479</c:v>
                      </c:pt>
                      <c:pt idx="80">
                        <c:v>0.6725703926950527</c:v>
                      </c:pt>
                      <c:pt idx="81">
                        <c:v>0.28469313440315502</c:v>
                      </c:pt>
                      <c:pt idx="82">
                        <c:v>0.49729773113464942</c:v>
                      </c:pt>
                      <c:pt idx="83">
                        <c:v>0.69752322965780011</c:v>
                      </c:pt>
                      <c:pt idx="84">
                        <c:v>0.73473970892835427</c:v>
                      </c:pt>
                      <c:pt idx="85">
                        <c:v>0.75548154807039802</c:v>
                      </c:pt>
                      <c:pt idx="86">
                        <c:v>0.64550822020908083</c:v>
                      </c:pt>
                      <c:pt idx="87">
                        <c:v>0.78917390156187794</c:v>
                      </c:pt>
                      <c:pt idx="88">
                        <c:v>0.75992019474413786</c:v>
                      </c:pt>
                      <c:pt idx="89">
                        <c:v>0.72600826549755015</c:v>
                      </c:pt>
                      <c:pt idx="90">
                        <c:v>0.62580295207678749</c:v>
                      </c:pt>
                      <c:pt idx="91">
                        <c:v>0.79414172266001193</c:v>
                      </c:pt>
                      <c:pt idx="92">
                        <c:v>0.77368873385901848</c:v>
                      </c:pt>
                      <c:pt idx="93">
                        <c:v>0.79082840567863144</c:v>
                      </c:pt>
                      <c:pt idx="94">
                        <c:v>0.69061884223979864</c:v>
                      </c:pt>
                      <c:pt idx="95">
                        <c:v>0.80205727173944252</c:v>
                      </c:pt>
                      <c:pt idx="96">
                        <c:v>0.69003488963737258</c:v>
                      </c:pt>
                      <c:pt idx="97">
                        <c:v>0.74655662169407888</c:v>
                      </c:pt>
                      <c:pt idx="98">
                        <c:v>0.70178622038296168</c:v>
                      </c:pt>
                      <c:pt idx="99">
                        <c:v>0.64922286885924863</c:v>
                      </c:pt>
                      <c:pt idx="100">
                        <c:v>0.71471869506185559</c:v>
                      </c:pt>
                      <c:pt idx="101">
                        <c:v>0.7365015257148404</c:v>
                      </c:pt>
                      <c:pt idx="102">
                        <c:v>0.65092401196175442</c:v>
                      </c:pt>
                      <c:pt idx="103">
                        <c:v>0.73376395552908635</c:v>
                      </c:pt>
                      <c:pt idx="104">
                        <c:v>0.71789437759907559</c:v>
                      </c:pt>
                      <c:pt idx="105">
                        <c:v>0.76277973451350789</c:v>
                      </c:pt>
                      <c:pt idx="106">
                        <c:v>0.77741692348360891</c:v>
                      </c:pt>
                      <c:pt idx="107">
                        <c:v>0.74123150987484376</c:v>
                      </c:pt>
                      <c:pt idx="108">
                        <c:v>0.7406926476224478</c:v>
                      </c:pt>
                      <c:pt idx="109">
                        <c:v>0.73079960541888911</c:v>
                      </c:pt>
                      <c:pt idx="110">
                        <c:v>0.69954017795639245</c:v>
                      </c:pt>
                      <c:pt idx="111">
                        <c:v>0.74297755566569079</c:v>
                      </c:pt>
                      <c:pt idx="112">
                        <c:v>0.73900521945233055</c:v>
                      </c:pt>
                      <c:pt idx="113">
                        <c:v>0.65329562376675743</c:v>
                      </c:pt>
                      <c:pt idx="114">
                        <c:v>0.71842312607961689</c:v>
                      </c:pt>
                      <c:pt idx="115">
                        <c:v>0.75113717796348545</c:v>
                      </c:pt>
                      <c:pt idx="116">
                        <c:v>0.64263468172050553</c:v>
                      </c:pt>
                      <c:pt idx="117">
                        <c:v>0.73171749875409564</c:v>
                      </c:pt>
                      <c:pt idx="118">
                        <c:v>0.69309450904921854</c:v>
                      </c:pt>
                      <c:pt idx="119">
                        <c:v>0.63931889813683151</c:v>
                      </c:pt>
                      <c:pt idx="120">
                        <c:v>0.70183236740040811</c:v>
                      </c:pt>
                      <c:pt idx="121">
                        <c:v>0.6510520079198302</c:v>
                      </c:pt>
                      <c:pt idx="122">
                        <c:v>0.70500915900799332</c:v>
                      </c:pt>
                      <c:pt idx="123">
                        <c:v>0.78477349163951271</c:v>
                      </c:pt>
                      <c:pt idx="124">
                        <c:v>0.77868610741243105</c:v>
                      </c:pt>
                      <c:pt idx="125">
                        <c:v>0.7420182451032894</c:v>
                      </c:pt>
                      <c:pt idx="126">
                        <c:v>0.69841270392661803</c:v>
                      </c:pt>
                      <c:pt idx="127">
                        <c:v>0.74780506951053627</c:v>
                      </c:pt>
                      <c:pt idx="128">
                        <c:v>0.69354287535346693</c:v>
                      </c:pt>
                      <c:pt idx="129">
                        <c:v>0.6458567665454702</c:v>
                      </c:pt>
                      <c:pt idx="130">
                        <c:v>0.67304063329027952</c:v>
                      </c:pt>
                      <c:pt idx="131">
                        <c:v>0.57381268562480059</c:v>
                      </c:pt>
                      <c:pt idx="132">
                        <c:v>0.76488442670031609</c:v>
                      </c:pt>
                      <c:pt idx="133">
                        <c:v>0.76563444655839297</c:v>
                      </c:pt>
                      <c:pt idx="134">
                        <c:v>0.74983962689762029</c:v>
                      </c:pt>
                      <c:pt idx="135">
                        <c:v>0.76332481069942804</c:v>
                      </c:pt>
                      <c:pt idx="136">
                        <c:v>0.76997319968309419</c:v>
                      </c:pt>
                      <c:pt idx="137">
                        <c:v>0.79120611689474707</c:v>
                      </c:pt>
                      <c:pt idx="138">
                        <c:v>0.6957389533852627</c:v>
                      </c:pt>
                      <c:pt idx="139">
                        <c:v>0.74356622429487629</c:v>
                      </c:pt>
                      <c:pt idx="140">
                        <c:v>0.68103355708755253</c:v>
                      </c:pt>
                      <c:pt idx="141">
                        <c:v>0.72053074375028248</c:v>
                      </c:pt>
                      <c:pt idx="142">
                        <c:v>0.75295971091409186</c:v>
                      </c:pt>
                      <c:pt idx="143">
                        <c:v>0.75557150940803686</c:v>
                      </c:pt>
                      <c:pt idx="144">
                        <c:v>0.76473287109462396</c:v>
                      </c:pt>
                      <c:pt idx="145">
                        <c:v>0.71681127222524155</c:v>
                      </c:pt>
                      <c:pt idx="146">
                        <c:v>0.69543787941093371</c:v>
                      </c:pt>
                      <c:pt idx="147">
                        <c:v>0.71747017062289364</c:v>
                      </c:pt>
                      <c:pt idx="148">
                        <c:v>0.69739451779998785</c:v>
                      </c:pt>
                      <c:pt idx="149">
                        <c:v>0.6761817914501248</c:v>
                      </c:pt>
                      <c:pt idx="150">
                        <c:v>0.72368723143250469</c:v>
                      </c:pt>
                      <c:pt idx="151">
                        <c:v>0.76336303667674865</c:v>
                      </c:pt>
                      <c:pt idx="152">
                        <c:v>0.75027218118582617</c:v>
                      </c:pt>
                      <c:pt idx="153">
                        <c:v>0.78298573819615402</c:v>
                      </c:pt>
                      <c:pt idx="154">
                        <c:v>0.80732411519994174</c:v>
                      </c:pt>
                      <c:pt idx="155">
                        <c:v>0.75745301353090611</c:v>
                      </c:pt>
                      <c:pt idx="156">
                        <c:v>0.69984378088030252</c:v>
                      </c:pt>
                      <c:pt idx="157">
                        <c:v>0.70307066188022194</c:v>
                      </c:pt>
                      <c:pt idx="158">
                        <c:v>0.65698148006611057</c:v>
                      </c:pt>
                      <c:pt idx="159">
                        <c:v>0.75553438072292545</c:v>
                      </c:pt>
                      <c:pt idx="160">
                        <c:v>0.74734018133589053</c:v>
                      </c:pt>
                      <c:pt idx="161">
                        <c:v>0.7501793474630547</c:v>
                      </c:pt>
                      <c:pt idx="162">
                        <c:v>0.73124179563929537</c:v>
                      </c:pt>
                      <c:pt idx="163">
                        <c:v>0.67653786725103948</c:v>
                      </c:pt>
                      <c:pt idx="164">
                        <c:v>0.71901320034010563</c:v>
                      </c:pt>
                      <c:pt idx="165">
                        <c:v>0.65252771242068708</c:v>
                      </c:pt>
                      <c:pt idx="166">
                        <c:v>0.7268991295593954</c:v>
                      </c:pt>
                      <c:pt idx="167">
                        <c:v>0.73574810091169474</c:v>
                      </c:pt>
                      <c:pt idx="168">
                        <c:v>0.75098457300815114</c:v>
                      </c:pt>
                      <c:pt idx="169">
                        <c:v>0.73587902069636513</c:v>
                      </c:pt>
                      <c:pt idx="170">
                        <c:v>0.73732534843304498</c:v>
                      </c:pt>
                      <c:pt idx="171">
                        <c:v>0.70402465044041451</c:v>
                      </c:pt>
                      <c:pt idx="172">
                        <c:v>0.71980726296058029</c:v>
                      </c:pt>
                      <c:pt idx="173">
                        <c:v>0.75961253353218439</c:v>
                      </c:pt>
                      <c:pt idx="174">
                        <c:v>0.70744576631965994</c:v>
                      </c:pt>
                      <c:pt idx="175">
                        <c:v>0.72741443690798491</c:v>
                      </c:pt>
                      <c:pt idx="176">
                        <c:v>0.73392638399808729</c:v>
                      </c:pt>
                      <c:pt idx="177">
                        <c:v>0.68478883064117757</c:v>
                      </c:pt>
                      <c:pt idx="178">
                        <c:v>0.75853488191660101</c:v>
                      </c:pt>
                      <c:pt idx="179">
                        <c:v>0.6572299680589021</c:v>
                      </c:pt>
                      <c:pt idx="180">
                        <c:v>0.64587913089013071</c:v>
                      </c:pt>
                      <c:pt idx="181">
                        <c:v>0.64253552189144003</c:v>
                      </c:pt>
                      <c:pt idx="182">
                        <c:v>0.70432829897936977</c:v>
                      </c:pt>
                      <c:pt idx="183">
                        <c:v>0.62376452433040563</c:v>
                      </c:pt>
                      <c:pt idx="184">
                        <c:v>0.70624197519964027</c:v>
                      </c:pt>
                      <c:pt idx="185">
                        <c:v>0.72269634087207257</c:v>
                      </c:pt>
                      <c:pt idx="186">
                        <c:v>0.59829599967615377</c:v>
                      </c:pt>
                      <c:pt idx="187">
                        <c:v>0.6356533890859325</c:v>
                      </c:pt>
                      <c:pt idx="188">
                        <c:v>0.75717686991357036</c:v>
                      </c:pt>
                      <c:pt idx="189">
                        <c:v>0.62448651976415459</c:v>
                      </c:pt>
                      <c:pt idx="190">
                        <c:v>0.62564767995391724</c:v>
                      </c:pt>
                      <c:pt idx="191">
                        <c:v>0.7337234017154961</c:v>
                      </c:pt>
                      <c:pt idx="192">
                        <c:v>0.63887532223398114</c:v>
                      </c:pt>
                      <c:pt idx="193">
                        <c:v>0.75093813587849045</c:v>
                      </c:pt>
                      <c:pt idx="194">
                        <c:v>0.77024899783168876</c:v>
                      </c:pt>
                      <c:pt idx="195">
                        <c:v>0.65010989436206212</c:v>
                      </c:pt>
                      <c:pt idx="196">
                        <c:v>0.73040014578009127</c:v>
                      </c:pt>
                      <c:pt idx="197">
                        <c:v>0.71302306119292547</c:v>
                      </c:pt>
                      <c:pt idx="198">
                        <c:v>0.76490967917489661</c:v>
                      </c:pt>
                      <c:pt idx="199">
                        <c:v>0.75228820365992788</c:v>
                      </c:pt>
                      <c:pt idx="200">
                        <c:v>0.75841350266591978</c:v>
                      </c:pt>
                      <c:pt idx="201">
                        <c:v>0.68586686914589712</c:v>
                      </c:pt>
                      <c:pt idx="202">
                        <c:v>0.72146608730551665</c:v>
                      </c:pt>
                      <c:pt idx="203">
                        <c:v>0.7219273337543769</c:v>
                      </c:pt>
                      <c:pt idx="204">
                        <c:v>0.721605209283117</c:v>
                      </c:pt>
                      <c:pt idx="205">
                        <c:v>0.76771676944011569</c:v>
                      </c:pt>
                      <c:pt idx="206">
                        <c:v>0.77670031302057851</c:v>
                      </c:pt>
                      <c:pt idx="207">
                        <c:v>0.75430232508784256</c:v>
                      </c:pt>
                      <c:pt idx="208">
                        <c:v>0.70392107038755669</c:v>
                      </c:pt>
                      <c:pt idx="209">
                        <c:v>0.56801206071121646</c:v>
                      </c:pt>
                      <c:pt idx="210">
                        <c:v>0.6701262804012279</c:v>
                      </c:pt>
                      <c:pt idx="211">
                        <c:v>0.60991642363925025</c:v>
                      </c:pt>
                      <c:pt idx="212">
                        <c:v>0.71744661552381261</c:v>
                      </c:pt>
                      <c:pt idx="213">
                        <c:v>0.57995824923799033</c:v>
                      </c:pt>
                      <c:pt idx="214">
                        <c:v>0.70111129415458195</c:v>
                      </c:pt>
                      <c:pt idx="215">
                        <c:v>0.60560590002371895</c:v>
                      </c:pt>
                      <c:pt idx="216">
                        <c:v>0.76420975674043135</c:v>
                      </c:pt>
                      <c:pt idx="217">
                        <c:v>0.75805409458650019</c:v>
                      </c:pt>
                      <c:pt idx="218">
                        <c:v>0.76689426299125918</c:v>
                      </c:pt>
                      <c:pt idx="219">
                        <c:v>0.70514569581817654</c:v>
                      </c:pt>
                      <c:pt idx="220">
                        <c:v>0.79320675124039941</c:v>
                      </c:pt>
                      <c:pt idx="221">
                        <c:v>0.72032875783196559</c:v>
                      </c:pt>
                      <c:pt idx="222">
                        <c:v>0.64020240934013295</c:v>
                      </c:pt>
                      <c:pt idx="223">
                        <c:v>0.73495370182643815</c:v>
                      </c:pt>
                      <c:pt idx="224">
                        <c:v>0.71932624771806053</c:v>
                      </c:pt>
                      <c:pt idx="225">
                        <c:v>0.70992881946096509</c:v>
                      </c:pt>
                      <c:pt idx="226">
                        <c:v>0.68344400884010936</c:v>
                      </c:pt>
                      <c:pt idx="227">
                        <c:v>0.7444203359319469</c:v>
                      </c:pt>
                      <c:pt idx="228">
                        <c:v>0.76232085891941792</c:v>
                      </c:pt>
                      <c:pt idx="229">
                        <c:v>0.74285022391133593</c:v>
                      </c:pt>
                      <c:pt idx="230">
                        <c:v>0.72075129864220999</c:v>
                      </c:pt>
                      <c:pt idx="231">
                        <c:v>0.73265285119945567</c:v>
                      </c:pt>
                      <c:pt idx="232">
                        <c:v>0.68366396666432616</c:v>
                      </c:pt>
                      <c:pt idx="233">
                        <c:v>0.74858201285459691</c:v>
                      </c:pt>
                      <c:pt idx="234">
                        <c:v>0.74657278391891524</c:v>
                      </c:pt>
                      <c:pt idx="235">
                        <c:v>0.74739069373338485</c:v>
                      </c:pt>
                      <c:pt idx="236">
                        <c:v>0.74459131529481226</c:v>
                      </c:pt>
                      <c:pt idx="237">
                        <c:v>0.64733850653262226</c:v>
                      </c:pt>
                      <c:pt idx="238">
                        <c:v>0.77384302375030001</c:v>
                      </c:pt>
                      <c:pt idx="239">
                        <c:v>0.81499452103181946</c:v>
                      </c:pt>
                      <c:pt idx="240">
                        <c:v>0.72649578184772035</c:v>
                      </c:pt>
                      <c:pt idx="241">
                        <c:v>0.7675607166878351</c:v>
                      </c:pt>
                      <c:pt idx="242">
                        <c:v>0.80076210112090995</c:v>
                      </c:pt>
                      <c:pt idx="243">
                        <c:v>0.76841370199286485</c:v>
                      </c:pt>
                      <c:pt idx="244">
                        <c:v>0.76153747911596137</c:v>
                      </c:pt>
                      <c:pt idx="245">
                        <c:v>0.79564688802512018</c:v>
                      </c:pt>
                      <c:pt idx="246">
                        <c:v>0.81477477475561699</c:v>
                      </c:pt>
                      <c:pt idx="247">
                        <c:v>0.80249905068961347</c:v>
                      </c:pt>
                      <c:pt idx="248">
                        <c:v>0.80180867382364041</c:v>
                      </c:pt>
                      <c:pt idx="249">
                        <c:v>0.69378824039362863</c:v>
                      </c:pt>
                      <c:pt idx="250">
                        <c:v>0.77031355114465039</c:v>
                      </c:pt>
                      <c:pt idx="251">
                        <c:v>0.79561854907280216</c:v>
                      </c:pt>
                      <c:pt idx="252">
                        <c:v>0.77083363257434523</c:v>
                      </c:pt>
                      <c:pt idx="253">
                        <c:v>0.76816567196061203</c:v>
                      </c:pt>
                      <c:pt idx="254">
                        <c:v>0.75800492069058945</c:v>
                      </c:pt>
                      <c:pt idx="255">
                        <c:v>0.79164698222925212</c:v>
                      </c:pt>
                      <c:pt idx="256">
                        <c:v>0.79787812936370728</c:v>
                      </c:pt>
                      <c:pt idx="257">
                        <c:v>0.78845037897389036</c:v>
                      </c:pt>
                      <c:pt idx="258">
                        <c:v>0.69052273056942104</c:v>
                      </c:pt>
                      <c:pt idx="259">
                        <c:v>0.73554672586286529</c:v>
                      </c:pt>
                      <c:pt idx="260">
                        <c:v>0.77332586751958343</c:v>
                      </c:pt>
                      <c:pt idx="261">
                        <c:v>0.79731726172948858</c:v>
                      </c:pt>
                      <c:pt idx="262">
                        <c:v>0.76483235969335939</c:v>
                      </c:pt>
                      <c:pt idx="263">
                        <c:v>0.75260213665249143</c:v>
                      </c:pt>
                      <c:pt idx="264">
                        <c:v>0.73658519971283287</c:v>
                      </c:pt>
                      <c:pt idx="265">
                        <c:v>0.76926346741086282</c:v>
                      </c:pt>
                      <c:pt idx="266">
                        <c:v>0.66197546182436062</c:v>
                      </c:pt>
                      <c:pt idx="267">
                        <c:v>0.74028085240230501</c:v>
                      </c:pt>
                      <c:pt idx="268">
                        <c:v>0.72151497532491771</c:v>
                      </c:pt>
                      <c:pt idx="269">
                        <c:v>0.71131064515872666</c:v>
                      </c:pt>
                      <c:pt idx="270">
                        <c:v>0.6930406101837161</c:v>
                      </c:pt>
                      <c:pt idx="271">
                        <c:v>0.73601944375972783</c:v>
                      </c:pt>
                      <c:pt idx="272">
                        <c:v>0.76842720825829258</c:v>
                      </c:pt>
                      <c:pt idx="273">
                        <c:v>0.7615691449508275</c:v>
                      </c:pt>
                      <c:pt idx="274">
                        <c:v>0.80424167884752118</c:v>
                      </c:pt>
                      <c:pt idx="275">
                        <c:v>0.76513471053695181</c:v>
                      </c:pt>
                      <c:pt idx="276">
                        <c:v>0.76497515029777119</c:v>
                      </c:pt>
                      <c:pt idx="277">
                        <c:v>0.79041243400991212</c:v>
                      </c:pt>
                      <c:pt idx="278">
                        <c:v>0.78376989759528537</c:v>
                      </c:pt>
                      <c:pt idx="279">
                        <c:v>0.73402996351875172</c:v>
                      </c:pt>
                      <c:pt idx="280">
                        <c:v>0.69738477322264658</c:v>
                      </c:pt>
                      <c:pt idx="281">
                        <c:v>0.82452882980437148</c:v>
                      </c:pt>
                      <c:pt idx="282">
                        <c:v>0.75966594084683758</c:v>
                      </c:pt>
                      <c:pt idx="283">
                        <c:v>0.71582018798965519</c:v>
                      </c:pt>
                      <c:pt idx="284">
                        <c:v>0.79281468459601023</c:v>
                      </c:pt>
                      <c:pt idx="285">
                        <c:v>0.79561840439086962</c:v>
                      </c:pt>
                      <c:pt idx="286">
                        <c:v>0.79770266465976614</c:v>
                      </c:pt>
                      <c:pt idx="287">
                        <c:v>0.83250140831236763</c:v>
                      </c:pt>
                      <c:pt idx="288">
                        <c:v>0.66627270840968211</c:v>
                      </c:pt>
                      <c:pt idx="289">
                        <c:v>0.80709120149496938</c:v>
                      </c:pt>
                      <c:pt idx="290">
                        <c:v>0.76427159715211801</c:v>
                      </c:pt>
                      <c:pt idx="291">
                        <c:v>0.72078252231099282</c:v>
                      </c:pt>
                      <c:pt idx="292">
                        <c:v>0.76976458307014517</c:v>
                      </c:pt>
                      <c:pt idx="293">
                        <c:v>0.79431542906513708</c:v>
                      </c:pt>
                      <c:pt idx="294">
                        <c:v>0.79153230267352281</c:v>
                      </c:pt>
                      <c:pt idx="295">
                        <c:v>0.75784644096747611</c:v>
                      </c:pt>
                      <c:pt idx="296">
                        <c:v>0.7853730858121436</c:v>
                      </c:pt>
                      <c:pt idx="297">
                        <c:v>0.79792145371605483</c:v>
                      </c:pt>
                      <c:pt idx="298">
                        <c:v>0.78635697028039853</c:v>
                      </c:pt>
                      <c:pt idx="299">
                        <c:v>0.74561234371928586</c:v>
                      </c:pt>
                      <c:pt idx="300">
                        <c:v>0.75828835796703431</c:v>
                      </c:pt>
                      <c:pt idx="301">
                        <c:v>0.76692218729050932</c:v>
                      </c:pt>
                      <c:pt idx="302">
                        <c:v>0.77769898581702646</c:v>
                      </c:pt>
                      <c:pt idx="303">
                        <c:v>0.75804974465034913</c:v>
                      </c:pt>
                      <c:pt idx="304">
                        <c:v>0.75235107683066138</c:v>
                      </c:pt>
                      <c:pt idx="305">
                        <c:v>0.81368331973177488</c:v>
                      </c:pt>
                      <c:pt idx="306">
                        <c:v>0.83156310985653492</c:v>
                      </c:pt>
                      <c:pt idx="307">
                        <c:v>0.84512931504182542</c:v>
                      </c:pt>
                      <c:pt idx="308">
                        <c:v>0.83176192363385937</c:v>
                      </c:pt>
                      <c:pt idx="309">
                        <c:v>0.81877210244954635</c:v>
                      </c:pt>
                      <c:pt idx="310">
                        <c:v>0.81624858098043018</c:v>
                      </c:pt>
                      <c:pt idx="311">
                        <c:v>0.83331482213119068</c:v>
                      </c:pt>
                      <c:pt idx="312">
                        <c:v>0.78224289284588022</c:v>
                      </c:pt>
                      <c:pt idx="313">
                        <c:v>0.79771462477387711</c:v>
                      </c:pt>
                      <c:pt idx="314">
                        <c:v>0.72219540155254736</c:v>
                      </c:pt>
                      <c:pt idx="315">
                        <c:v>0.80307552420648454</c:v>
                      </c:pt>
                      <c:pt idx="316">
                        <c:v>0.7961859793854148</c:v>
                      </c:pt>
                      <c:pt idx="317">
                        <c:v>0.7607287422541833</c:v>
                      </c:pt>
                      <c:pt idx="318">
                        <c:v>0.79034269968038495</c:v>
                      </c:pt>
                      <c:pt idx="319">
                        <c:v>0.7640629932980546</c:v>
                      </c:pt>
                      <c:pt idx="320">
                        <c:v>0.72514517983857152</c:v>
                      </c:pt>
                      <c:pt idx="321">
                        <c:v>0.73722168009733102</c:v>
                      </c:pt>
                      <c:pt idx="322">
                        <c:v>0.7215055817025976</c:v>
                      </c:pt>
                      <c:pt idx="323">
                        <c:v>0.7708936755038277</c:v>
                      </c:pt>
                      <c:pt idx="324">
                        <c:v>0.69077538710006281</c:v>
                      </c:pt>
                      <c:pt idx="325">
                        <c:v>0.68741314254044006</c:v>
                      </c:pt>
                      <c:pt idx="326">
                        <c:v>0.75651002861512773</c:v>
                      </c:pt>
                      <c:pt idx="327">
                        <c:v>0.70659279230394756</c:v>
                      </c:pt>
                      <c:pt idx="328">
                        <c:v>0.69473138781201915</c:v>
                      </c:pt>
                      <c:pt idx="329">
                        <c:v>0.74820256874925117</c:v>
                      </c:pt>
                      <c:pt idx="330">
                        <c:v>0.81251999832920196</c:v>
                      </c:pt>
                      <c:pt idx="331">
                        <c:v>0.81493320009612991</c:v>
                      </c:pt>
                      <c:pt idx="332">
                        <c:v>0.8002563700979014</c:v>
                      </c:pt>
                      <c:pt idx="333">
                        <c:v>0.71975215986206909</c:v>
                      </c:pt>
                      <c:pt idx="334">
                        <c:v>0.7213944689897227</c:v>
                      </c:pt>
                      <c:pt idx="335">
                        <c:v>0.77940992228458716</c:v>
                      </c:pt>
                      <c:pt idx="336">
                        <c:v>0.77579125045397579</c:v>
                      </c:pt>
                      <c:pt idx="337">
                        <c:v>0.7756398031047208</c:v>
                      </c:pt>
                      <c:pt idx="338">
                        <c:v>0.78958115679704743</c:v>
                      </c:pt>
                      <c:pt idx="339">
                        <c:v>0.83878245632569903</c:v>
                      </c:pt>
                      <c:pt idx="340">
                        <c:v>0.7775730145228682</c:v>
                      </c:pt>
                      <c:pt idx="341">
                        <c:v>0.77711298857297628</c:v>
                      </c:pt>
                      <c:pt idx="342">
                        <c:v>0.77495587207889793</c:v>
                      </c:pt>
                      <c:pt idx="343">
                        <c:v>0.74978715767850357</c:v>
                      </c:pt>
                      <c:pt idx="344">
                        <c:v>0.72072353729031113</c:v>
                      </c:pt>
                      <c:pt idx="345">
                        <c:v>0.69204205135769536</c:v>
                      </c:pt>
                      <c:pt idx="346">
                        <c:v>0.58172739169994081</c:v>
                      </c:pt>
                      <c:pt idx="347">
                        <c:v>0.75294736934813833</c:v>
                      </c:pt>
                      <c:pt idx="348">
                        <c:v>0.77120335991496736</c:v>
                      </c:pt>
                      <c:pt idx="349">
                        <c:v>0.76248634696686646</c:v>
                      </c:pt>
                      <c:pt idx="350">
                        <c:v>0.76165909032119616</c:v>
                      </c:pt>
                      <c:pt idx="351">
                        <c:v>0.75099071183994437</c:v>
                      </c:pt>
                      <c:pt idx="352">
                        <c:v>0.653400907207912</c:v>
                      </c:pt>
                      <c:pt idx="353">
                        <c:v>0.75921136747506746</c:v>
                      </c:pt>
                      <c:pt idx="354">
                        <c:v>0.7631097515393539</c:v>
                      </c:pt>
                      <c:pt idx="355">
                        <c:v>0.79019472536853541</c:v>
                      </c:pt>
                      <c:pt idx="356">
                        <c:v>0.81659819938766687</c:v>
                      </c:pt>
                      <c:pt idx="357">
                        <c:v>0.79983872048268334</c:v>
                      </c:pt>
                      <c:pt idx="358">
                        <c:v>0.7302364161035293</c:v>
                      </c:pt>
                      <c:pt idx="359">
                        <c:v>0.75922003582255726</c:v>
                      </c:pt>
                      <c:pt idx="360">
                        <c:v>0.78553958133493917</c:v>
                      </c:pt>
                      <c:pt idx="361">
                        <c:v>0.78459177218792409</c:v>
                      </c:pt>
                      <c:pt idx="362">
                        <c:v>0.66362927576156705</c:v>
                      </c:pt>
                      <c:pt idx="363">
                        <c:v>0.67195152845064865</c:v>
                      </c:pt>
                      <c:pt idx="364">
                        <c:v>0.76453666948125609</c:v>
                      </c:pt>
                      <c:pt idx="365">
                        <c:v>0.79778743078564485</c:v>
                      </c:pt>
                      <c:pt idx="366">
                        <c:v>0.78556993779512363</c:v>
                      </c:pt>
                      <c:pt idx="367">
                        <c:v>0.79711377218131174</c:v>
                      </c:pt>
                      <c:pt idx="368">
                        <c:v>0.79446536655892996</c:v>
                      </c:pt>
                      <c:pt idx="369">
                        <c:v>0.7473302961792736</c:v>
                      </c:pt>
                      <c:pt idx="370">
                        <c:v>0.68205190286355644</c:v>
                      </c:pt>
                      <c:pt idx="371">
                        <c:v>0.76274454328749242</c:v>
                      </c:pt>
                      <c:pt idx="372">
                        <c:v>0.77635987085655533</c:v>
                      </c:pt>
                      <c:pt idx="373">
                        <c:v>0.76958903186449812</c:v>
                      </c:pt>
                      <c:pt idx="374">
                        <c:v>0.72795434277242799</c:v>
                      </c:pt>
                      <c:pt idx="375">
                        <c:v>0.7892302424133345</c:v>
                      </c:pt>
                      <c:pt idx="376">
                        <c:v>0.75551016329688747</c:v>
                      </c:pt>
                      <c:pt idx="377">
                        <c:v>0.79148899349896074</c:v>
                      </c:pt>
                      <c:pt idx="378">
                        <c:v>0.80925131572692743</c:v>
                      </c:pt>
                      <c:pt idx="379">
                        <c:v>0.76195402420878511</c:v>
                      </c:pt>
                      <c:pt idx="380">
                        <c:v>0.79813745945070724</c:v>
                      </c:pt>
                      <c:pt idx="381">
                        <c:v>0.72423852315265247</c:v>
                      </c:pt>
                      <c:pt idx="382">
                        <c:v>0.71965137079510288</c:v>
                      </c:pt>
                      <c:pt idx="383">
                        <c:v>0.80644160848820989</c:v>
                      </c:pt>
                      <c:pt idx="384">
                        <c:v>0.75802985207102935</c:v>
                      </c:pt>
                      <c:pt idx="385">
                        <c:v>0.73312290099233057</c:v>
                      </c:pt>
                      <c:pt idx="386">
                        <c:v>0.77189883889938615</c:v>
                      </c:pt>
                      <c:pt idx="387">
                        <c:v>0.8435825579388595</c:v>
                      </c:pt>
                      <c:pt idx="388">
                        <c:v>0.78313658599450364</c:v>
                      </c:pt>
                      <c:pt idx="389">
                        <c:v>0.71912281421775637</c:v>
                      </c:pt>
                      <c:pt idx="390">
                        <c:v>0.77582213723564331</c:v>
                      </c:pt>
                      <c:pt idx="391">
                        <c:v>0.75550755852578266</c:v>
                      </c:pt>
                      <c:pt idx="392">
                        <c:v>0.75821127921196974</c:v>
                      </c:pt>
                      <c:pt idx="393">
                        <c:v>0.79441533690421473</c:v>
                      </c:pt>
                      <c:pt idx="394">
                        <c:v>0.79243306391825552</c:v>
                      </c:pt>
                      <c:pt idx="395">
                        <c:v>0.78035387103022125</c:v>
                      </c:pt>
                      <c:pt idx="396">
                        <c:v>0.72626747025802951</c:v>
                      </c:pt>
                      <c:pt idx="397">
                        <c:v>0.758534327897186</c:v>
                      </c:pt>
                      <c:pt idx="398">
                        <c:v>0.76519259193715272</c:v>
                      </c:pt>
                      <c:pt idx="399">
                        <c:v>0.75924726491206762</c:v>
                      </c:pt>
                      <c:pt idx="400">
                        <c:v>0.73395112618742697</c:v>
                      </c:pt>
                      <c:pt idx="401">
                        <c:v>0.76403440727916638</c:v>
                      </c:pt>
                      <c:pt idx="402">
                        <c:v>0.75186028182438747</c:v>
                      </c:pt>
                      <c:pt idx="403">
                        <c:v>0.79338786823351815</c:v>
                      </c:pt>
                      <c:pt idx="404">
                        <c:v>0.78135427572038452</c:v>
                      </c:pt>
                      <c:pt idx="405">
                        <c:v>0.74293738618576044</c:v>
                      </c:pt>
                      <c:pt idx="406">
                        <c:v>0.73820660499674207</c:v>
                      </c:pt>
                      <c:pt idx="407">
                        <c:v>0.78307076553754773</c:v>
                      </c:pt>
                      <c:pt idx="408">
                        <c:v>0.7986534406408603</c:v>
                      </c:pt>
                      <c:pt idx="409">
                        <c:v>0.81245565388291718</c:v>
                      </c:pt>
                      <c:pt idx="410">
                        <c:v>0.80862668765029555</c:v>
                      </c:pt>
                      <c:pt idx="411">
                        <c:v>0.71972189109663376</c:v>
                      </c:pt>
                      <c:pt idx="412">
                        <c:v>0.69709268867264129</c:v>
                      </c:pt>
                      <c:pt idx="413">
                        <c:v>0.648396584208768</c:v>
                      </c:pt>
                      <c:pt idx="414">
                        <c:v>0.75342793388944518</c:v>
                      </c:pt>
                      <c:pt idx="415">
                        <c:v>0.75980007473191946</c:v>
                      </c:pt>
                      <c:pt idx="416">
                        <c:v>0.75567503407102388</c:v>
                      </c:pt>
                      <c:pt idx="417">
                        <c:v>0.81162035044793968</c:v>
                      </c:pt>
                      <c:pt idx="418">
                        <c:v>0.64662315658917791</c:v>
                      </c:pt>
                      <c:pt idx="419">
                        <c:v>0.81107703845845658</c:v>
                      </c:pt>
                      <c:pt idx="420">
                        <c:v>0.80409675126449787</c:v>
                      </c:pt>
                      <c:pt idx="421">
                        <c:v>0.79443955250455933</c:v>
                      </c:pt>
                      <c:pt idx="422">
                        <c:v>0.7851014967143275</c:v>
                      </c:pt>
                      <c:pt idx="423">
                        <c:v>0.77456139526530687</c:v>
                      </c:pt>
                      <c:pt idx="424">
                        <c:v>0.81580845537646662</c:v>
                      </c:pt>
                      <c:pt idx="425">
                        <c:v>0.57140672304889928</c:v>
                      </c:pt>
                      <c:pt idx="426">
                        <c:v>0.72941566455002205</c:v>
                      </c:pt>
                      <c:pt idx="427">
                        <c:v>0.80782396497327902</c:v>
                      </c:pt>
                      <c:pt idx="428">
                        <c:v>0.7898802395414587</c:v>
                      </c:pt>
                      <c:pt idx="429">
                        <c:v>0.80113391576447945</c:v>
                      </c:pt>
                      <c:pt idx="430">
                        <c:v>0.77727049734481379</c:v>
                      </c:pt>
                      <c:pt idx="431">
                        <c:v>0.80720418159267282</c:v>
                      </c:pt>
                      <c:pt idx="432">
                        <c:v>0.80525861492400486</c:v>
                      </c:pt>
                      <c:pt idx="433">
                        <c:v>0.74424740231145714</c:v>
                      </c:pt>
                      <c:pt idx="434">
                        <c:v>0.7608983314585106</c:v>
                      </c:pt>
                      <c:pt idx="435">
                        <c:v>0.77833599447942503</c:v>
                      </c:pt>
                      <c:pt idx="436">
                        <c:v>0.79291459794775965</c:v>
                      </c:pt>
                      <c:pt idx="437">
                        <c:v>0.78708005847711737</c:v>
                      </c:pt>
                      <c:pt idx="438">
                        <c:v>0.63269132805538475</c:v>
                      </c:pt>
                      <c:pt idx="439">
                        <c:v>0.71094084945714886</c:v>
                      </c:pt>
                      <c:pt idx="440">
                        <c:v>0.79658289670302607</c:v>
                      </c:pt>
                      <c:pt idx="441">
                        <c:v>0.761748790425261</c:v>
                      </c:pt>
                      <c:pt idx="442">
                        <c:v>0.7783786194658624</c:v>
                      </c:pt>
                      <c:pt idx="443">
                        <c:v>0.7865815183412731</c:v>
                      </c:pt>
                      <c:pt idx="444">
                        <c:v>0.82613047964032393</c:v>
                      </c:pt>
                      <c:pt idx="445">
                        <c:v>0.79095277406484599</c:v>
                      </c:pt>
                      <c:pt idx="446">
                        <c:v>0.76619753733070606</c:v>
                      </c:pt>
                      <c:pt idx="447">
                        <c:v>0.77888068882735295</c:v>
                      </c:pt>
                      <c:pt idx="448">
                        <c:v>0.77965797628881184</c:v>
                      </c:pt>
                      <c:pt idx="449">
                        <c:v>0.78426827804112231</c:v>
                      </c:pt>
                      <c:pt idx="450">
                        <c:v>0.78781531173086972</c:v>
                      </c:pt>
                      <c:pt idx="451">
                        <c:v>0.72464353906247081</c:v>
                      </c:pt>
                      <c:pt idx="452">
                        <c:v>0.72817636127946039</c:v>
                      </c:pt>
                      <c:pt idx="453">
                        <c:v>0.70022139741773504</c:v>
                      </c:pt>
                      <c:pt idx="454">
                        <c:v>0.73978888543735311</c:v>
                      </c:pt>
                      <c:pt idx="455">
                        <c:v>0.74435825945924816</c:v>
                      </c:pt>
                      <c:pt idx="456">
                        <c:v>0.79453116626240816</c:v>
                      </c:pt>
                      <c:pt idx="457">
                        <c:v>0.77599913506866514</c:v>
                      </c:pt>
                      <c:pt idx="458">
                        <c:v>0.79797935864243363</c:v>
                      </c:pt>
                      <c:pt idx="459">
                        <c:v>0.75914536626680551</c:v>
                      </c:pt>
                      <c:pt idx="460">
                        <c:v>0.79146882342810876</c:v>
                      </c:pt>
                      <c:pt idx="461">
                        <c:v>0.71509694704647686</c:v>
                      </c:pt>
                      <c:pt idx="462">
                        <c:v>0.73637995393787747</c:v>
                      </c:pt>
                      <c:pt idx="463">
                        <c:v>0.78184566917708276</c:v>
                      </c:pt>
                      <c:pt idx="464">
                        <c:v>0.83497739564436735</c:v>
                      </c:pt>
                      <c:pt idx="465">
                        <c:v>0.82779450758377127</c:v>
                      </c:pt>
                      <c:pt idx="466">
                        <c:v>0.7871368593216328</c:v>
                      </c:pt>
                      <c:pt idx="467">
                        <c:v>0.73012178897365498</c:v>
                      </c:pt>
                      <c:pt idx="468">
                        <c:v>0.75097095879374476</c:v>
                      </c:pt>
                      <c:pt idx="469">
                        <c:v>0.79526201781659833</c:v>
                      </c:pt>
                      <c:pt idx="470">
                        <c:v>0.86012375538716979</c:v>
                      </c:pt>
                      <c:pt idx="471">
                        <c:v>0.93314144321567427</c:v>
                      </c:pt>
                      <c:pt idx="472">
                        <c:v>0.91124400794513261</c:v>
                      </c:pt>
                      <c:pt idx="473">
                        <c:v>0.71030316929751547</c:v>
                      </c:pt>
                      <c:pt idx="474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13-4004-94CD-60F5D0E00F7D}"/>
                  </c:ext>
                </c:extLst>
              </c15:ser>
            </c15:filteredLineSeries>
          </c:ext>
        </c:extLst>
      </c:lineChart>
      <c:catAx>
        <c:axId val="813800511"/>
        <c:scaling>
          <c:orientation val="minMax"/>
        </c:scaling>
        <c:delete val="0"/>
        <c:axPos val="b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3800991"/>
        <c:crosses val="autoZero"/>
        <c:auto val="1"/>
        <c:lblAlgn val="ctr"/>
        <c:lblOffset val="100"/>
        <c:noMultiLvlLbl val="0"/>
      </c:catAx>
      <c:valAx>
        <c:axId val="8138009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380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 sz="1600" b="1">
                <a:solidFill>
                  <a:sysClr val="windowText" lastClr="000000"/>
                </a:solidFill>
              </a:rPr>
              <a:t>(b) Raise limit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ASSETS!$L$18</c:f>
              <c:strCache>
                <c:ptCount val="1"/>
                <c:pt idx="0">
                  <c:v> Drift magnitude </c:v>
                </c:pt>
              </c:strCache>
            </c:strRef>
          </c:tx>
          <c:spPr>
            <a:ln w="1270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ASSETS!$C$19:$C$493</c:f>
              <c:numCache>
                <c:formatCode>_-* #,##0_-;\-* #,##0_-;_-* "-"??_-;_-@_-</c:formatCode>
                <c:ptCount val="4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</c:numCache>
            </c:numRef>
          </c:cat>
          <c:val>
            <c:numRef>
              <c:f>ASSETS!$L$19:$L$493</c:f>
              <c:numCache>
                <c:formatCode>_(* #,##0.00_);_(* \(#,##0.00\);_(* "-"??_);_(@_)</c:formatCode>
                <c:ptCount val="475"/>
                <c:pt idx="0">
                  <c:v>1</c:v>
                </c:pt>
                <c:pt idx="1">
                  <c:v>1</c:v>
                </c:pt>
                <c:pt idx="2">
                  <c:v>7.2796843074874801E-2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5.2925159318655567E-2</c:v>
                </c:pt>
                <c:pt idx="7">
                  <c:v>9.193652061042823E-2</c:v>
                </c:pt>
                <c:pt idx="8">
                  <c:v>0.13823650851250441</c:v>
                </c:pt>
                <c:pt idx="9">
                  <c:v>1</c:v>
                </c:pt>
                <c:pt idx="10">
                  <c:v>3.3579259577835252E-2</c:v>
                </c:pt>
                <c:pt idx="11">
                  <c:v>5.3835211445127248E-2</c:v>
                </c:pt>
                <c:pt idx="12">
                  <c:v>7.1311311464680144E-2</c:v>
                </c:pt>
                <c:pt idx="13">
                  <c:v>8.2218596398275848E-2</c:v>
                </c:pt>
                <c:pt idx="14">
                  <c:v>9.4454159949271144E-2</c:v>
                </c:pt>
                <c:pt idx="15">
                  <c:v>0.1028607278457052</c:v>
                </c:pt>
                <c:pt idx="16">
                  <c:v>0.11098516629180161</c:v>
                </c:pt>
                <c:pt idx="17">
                  <c:v>0.10588907738044839</c:v>
                </c:pt>
                <c:pt idx="18">
                  <c:v>0.10760280143907409</c:v>
                </c:pt>
                <c:pt idx="19">
                  <c:v>1</c:v>
                </c:pt>
                <c:pt idx="20">
                  <c:v>2.0146139964668779E-2</c:v>
                </c:pt>
                <c:pt idx="21">
                  <c:v>2.9682552189093971E-2</c:v>
                </c:pt>
                <c:pt idx="22">
                  <c:v>3.4003378246744292E-2</c:v>
                </c:pt>
                <c:pt idx="23">
                  <c:v>4.3951330867887523E-2</c:v>
                </c:pt>
                <c:pt idx="24">
                  <c:v>5.3083788332053718E-2</c:v>
                </c:pt>
                <c:pt idx="25">
                  <c:v>6.1283315932522758E-2</c:v>
                </c:pt>
                <c:pt idx="26">
                  <c:v>7.4728944812063672E-2</c:v>
                </c:pt>
                <c:pt idx="27">
                  <c:v>8.0572111748854841E-2</c:v>
                </c:pt>
                <c:pt idx="28">
                  <c:v>9.3247358320082088E-2</c:v>
                </c:pt>
                <c:pt idx="29">
                  <c:v>9.9623214392308257E-2</c:v>
                </c:pt>
                <c:pt idx="30">
                  <c:v>0.1147392350153508</c:v>
                </c:pt>
                <c:pt idx="31">
                  <c:v>0.13136803576968059</c:v>
                </c:pt>
                <c:pt idx="32">
                  <c:v>0.1327144611414981</c:v>
                </c:pt>
                <c:pt idx="33">
                  <c:v>0.1313439977458484</c:v>
                </c:pt>
                <c:pt idx="34">
                  <c:v>0.13467890658896431</c:v>
                </c:pt>
                <c:pt idx="35">
                  <c:v>0.13793508726275511</c:v>
                </c:pt>
                <c:pt idx="36">
                  <c:v>0.14311757416519361</c:v>
                </c:pt>
                <c:pt idx="37">
                  <c:v>0.14984152028656941</c:v>
                </c:pt>
                <c:pt idx="38">
                  <c:v>0.14252493129254451</c:v>
                </c:pt>
                <c:pt idx="39">
                  <c:v>0.1504594106374276</c:v>
                </c:pt>
                <c:pt idx="40">
                  <c:v>2.073230731598107E-2</c:v>
                </c:pt>
                <c:pt idx="41">
                  <c:v>2.4677556845728161E-2</c:v>
                </c:pt>
                <c:pt idx="42">
                  <c:v>2.7478489874993382E-2</c:v>
                </c:pt>
                <c:pt idx="43">
                  <c:v>4.0178189410054722E-2</c:v>
                </c:pt>
                <c:pt idx="44">
                  <c:v>5.2665393625959983E-2</c:v>
                </c:pt>
                <c:pt idx="45">
                  <c:v>5.8345146083284137E-2</c:v>
                </c:pt>
                <c:pt idx="46">
                  <c:v>7.2115233419588656E-2</c:v>
                </c:pt>
                <c:pt idx="47">
                  <c:v>7.2833770730686739E-2</c:v>
                </c:pt>
                <c:pt idx="48">
                  <c:v>7.3233892799309114E-2</c:v>
                </c:pt>
                <c:pt idx="49">
                  <c:v>7.381217389934544E-2</c:v>
                </c:pt>
                <c:pt idx="50">
                  <c:v>7.2324588355994132E-2</c:v>
                </c:pt>
                <c:pt idx="51">
                  <c:v>7.1249425808108183E-2</c:v>
                </c:pt>
                <c:pt idx="52">
                  <c:v>7.5482436257884561E-2</c:v>
                </c:pt>
                <c:pt idx="53">
                  <c:v>7.8129358858470915E-2</c:v>
                </c:pt>
                <c:pt idx="54">
                  <c:v>7.748480871382174E-2</c:v>
                </c:pt>
                <c:pt idx="55">
                  <c:v>8.6256822304721079E-2</c:v>
                </c:pt>
                <c:pt idx="56">
                  <c:v>8.8264428637118517E-2</c:v>
                </c:pt>
                <c:pt idx="57">
                  <c:v>9.0608236949357046E-2</c:v>
                </c:pt>
                <c:pt idx="58">
                  <c:v>9.3637029560730153E-2</c:v>
                </c:pt>
                <c:pt idx="59">
                  <c:v>9.1169684700867754E-2</c:v>
                </c:pt>
                <c:pt idx="60">
                  <c:v>9.1141126764502589E-2</c:v>
                </c:pt>
                <c:pt idx="61">
                  <c:v>9.0696995720942905E-2</c:v>
                </c:pt>
                <c:pt idx="62">
                  <c:v>9.3898509422412207E-2</c:v>
                </c:pt>
                <c:pt idx="63">
                  <c:v>9.3145447674661486E-2</c:v>
                </c:pt>
                <c:pt idx="64">
                  <c:v>9.805464851572071E-2</c:v>
                </c:pt>
                <c:pt idx="65">
                  <c:v>0.1000415189796045</c:v>
                </c:pt>
                <c:pt idx="66">
                  <c:v>9.8734496340869018E-2</c:v>
                </c:pt>
                <c:pt idx="67">
                  <c:v>0.1029167690923139</c:v>
                </c:pt>
                <c:pt idx="68">
                  <c:v>0.1021365650131873</c:v>
                </c:pt>
                <c:pt idx="69">
                  <c:v>0.1010587620626523</c:v>
                </c:pt>
                <c:pt idx="70">
                  <c:v>0.1012207068837407</c:v>
                </c:pt>
                <c:pt idx="71">
                  <c:v>9.6075074416086564E-2</c:v>
                </c:pt>
                <c:pt idx="72">
                  <c:v>9.4248552870295557E-2</c:v>
                </c:pt>
                <c:pt idx="73">
                  <c:v>9.2272098900126998E-2</c:v>
                </c:pt>
                <c:pt idx="74">
                  <c:v>9.2126462699924208E-2</c:v>
                </c:pt>
                <c:pt idx="75">
                  <c:v>9.6285785449277628E-2</c:v>
                </c:pt>
                <c:pt idx="76">
                  <c:v>9.8038501687038829E-2</c:v>
                </c:pt>
                <c:pt idx="77">
                  <c:v>9.9685377435356479E-2</c:v>
                </c:pt>
                <c:pt idx="78">
                  <c:v>9.9227466373369239E-2</c:v>
                </c:pt>
                <c:pt idx="79">
                  <c:v>0.1040099908037084</c:v>
                </c:pt>
                <c:pt idx="80">
                  <c:v>0.1067894550568154</c:v>
                </c:pt>
                <c:pt idx="81">
                  <c:v>0.1060437299754896</c:v>
                </c:pt>
                <c:pt idx="82">
                  <c:v>0.1058119088629032</c:v>
                </c:pt>
                <c:pt idx="83">
                  <c:v>9.9824725500557127E-2</c:v>
                </c:pt>
                <c:pt idx="84">
                  <c:v>9.7776869871088107E-2</c:v>
                </c:pt>
                <c:pt idx="85">
                  <c:v>9.842287037827506E-2</c:v>
                </c:pt>
                <c:pt idx="86">
                  <c:v>9.6057204891160139E-2</c:v>
                </c:pt>
                <c:pt idx="87">
                  <c:v>9.4993537887319429E-2</c:v>
                </c:pt>
                <c:pt idx="88">
                  <c:v>9.8429772594542539E-2</c:v>
                </c:pt>
                <c:pt idx="89">
                  <c:v>0.10226997542982</c:v>
                </c:pt>
                <c:pt idx="90">
                  <c:v>0.1096287163132067</c:v>
                </c:pt>
                <c:pt idx="91">
                  <c:v>0.11019760839596331</c:v>
                </c:pt>
                <c:pt idx="92">
                  <c:v>0.1088604438797037</c:v>
                </c:pt>
                <c:pt idx="93">
                  <c:v>0.1097910681172871</c:v>
                </c:pt>
                <c:pt idx="94">
                  <c:v>0.10699599353617791</c:v>
                </c:pt>
                <c:pt idx="95">
                  <c:v>0.1026087861689246</c:v>
                </c:pt>
                <c:pt idx="96">
                  <c:v>0.10376415019364819</c:v>
                </c:pt>
                <c:pt idx="97">
                  <c:v>0.1048279638679646</c:v>
                </c:pt>
                <c:pt idx="98">
                  <c:v>0.1043719103840049</c:v>
                </c:pt>
                <c:pt idx="99">
                  <c:v>0.1018952740625268</c:v>
                </c:pt>
                <c:pt idx="100">
                  <c:v>0.1019345131973773</c:v>
                </c:pt>
                <c:pt idx="101">
                  <c:v>9.9292049993025502E-2</c:v>
                </c:pt>
                <c:pt idx="102">
                  <c:v>1</c:v>
                </c:pt>
                <c:pt idx="103">
                  <c:v>1.7443944065613878E-2</c:v>
                </c:pt>
                <c:pt idx="104">
                  <c:v>2.109085668297753E-2</c:v>
                </c:pt>
                <c:pt idx="105">
                  <c:v>3.2460589086845848E-2</c:v>
                </c:pt>
                <c:pt idx="106">
                  <c:v>3.7037765803252971E-2</c:v>
                </c:pt>
                <c:pt idx="107">
                  <c:v>3.7804117236357911E-2</c:v>
                </c:pt>
                <c:pt idx="108">
                  <c:v>4.3752387804804713E-2</c:v>
                </c:pt>
                <c:pt idx="109">
                  <c:v>4.568828836000903E-2</c:v>
                </c:pt>
                <c:pt idx="110">
                  <c:v>5.2493996901601801E-2</c:v>
                </c:pt>
                <c:pt idx="111">
                  <c:v>5.5157564846599949E-2</c:v>
                </c:pt>
                <c:pt idx="112">
                  <c:v>5.7602305760636643E-2</c:v>
                </c:pt>
                <c:pt idx="113">
                  <c:v>5.9326326624321017E-2</c:v>
                </c:pt>
                <c:pt idx="114">
                  <c:v>5.9646716851600577E-2</c:v>
                </c:pt>
                <c:pt idx="115">
                  <c:v>6.4760299330279922E-2</c:v>
                </c:pt>
                <c:pt idx="116">
                  <c:v>7.0025753394860529E-2</c:v>
                </c:pt>
                <c:pt idx="117">
                  <c:v>6.5423438781988058E-2</c:v>
                </c:pt>
                <c:pt idx="118">
                  <c:v>6.7229489028879055E-2</c:v>
                </c:pt>
                <c:pt idx="119">
                  <c:v>6.7576008902523022E-2</c:v>
                </c:pt>
                <c:pt idx="120">
                  <c:v>6.6857916092296202E-2</c:v>
                </c:pt>
                <c:pt idx="121">
                  <c:v>6.8087160135268221E-2</c:v>
                </c:pt>
                <c:pt idx="122">
                  <c:v>7.2554972729347675E-2</c:v>
                </c:pt>
                <c:pt idx="123">
                  <c:v>7.2554873263382613E-2</c:v>
                </c:pt>
                <c:pt idx="124">
                  <c:v>7.3353197595371941E-2</c:v>
                </c:pt>
                <c:pt idx="125">
                  <c:v>8.0816511095576624E-2</c:v>
                </c:pt>
                <c:pt idx="126">
                  <c:v>8.0141815015089005E-2</c:v>
                </c:pt>
                <c:pt idx="127">
                  <c:v>8.1987653488290069E-2</c:v>
                </c:pt>
                <c:pt idx="128">
                  <c:v>8.2576079277345699E-2</c:v>
                </c:pt>
                <c:pt idx="129">
                  <c:v>8.4531064932100719E-2</c:v>
                </c:pt>
                <c:pt idx="130">
                  <c:v>8.4085657641697023E-2</c:v>
                </c:pt>
                <c:pt idx="131">
                  <c:v>7.8845648104426527E-2</c:v>
                </c:pt>
                <c:pt idx="132">
                  <c:v>7.7710649834858828E-2</c:v>
                </c:pt>
                <c:pt idx="133">
                  <c:v>8.1853964004279675E-2</c:v>
                </c:pt>
                <c:pt idx="134">
                  <c:v>7.9958567879297712E-2</c:v>
                </c:pt>
                <c:pt idx="135">
                  <c:v>7.863954230956717E-2</c:v>
                </c:pt>
                <c:pt idx="136">
                  <c:v>8.5825519791288232E-2</c:v>
                </c:pt>
                <c:pt idx="137">
                  <c:v>8.5410168960750835E-2</c:v>
                </c:pt>
                <c:pt idx="138">
                  <c:v>8.4604655949373206E-2</c:v>
                </c:pt>
                <c:pt idx="139">
                  <c:v>8.6122621260891041E-2</c:v>
                </c:pt>
                <c:pt idx="140">
                  <c:v>8.6873513196618998E-2</c:v>
                </c:pt>
                <c:pt idx="141">
                  <c:v>8.8004582989886074E-2</c:v>
                </c:pt>
                <c:pt idx="142">
                  <c:v>8.3773979592476053E-2</c:v>
                </c:pt>
                <c:pt idx="143">
                  <c:v>8.3390593606256558E-2</c:v>
                </c:pt>
                <c:pt idx="144">
                  <c:v>8.1996489889006582E-2</c:v>
                </c:pt>
                <c:pt idx="145">
                  <c:v>8.496828531530834E-2</c:v>
                </c:pt>
                <c:pt idx="146">
                  <c:v>8.5694187904422819E-2</c:v>
                </c:pt>
                <c:pt idx="147">
                  <c:v>8.753092066543583E-2</c:v>
                </c:pt>
                <c:pt idx="148">
                  <c:v>8.8275912937589185E-2</c:v>
                </c:pt>
                <c:pt idx="149">
                  <c:v>1</c:v>
                </c:pt>
                <c:pt idx="150">
                  <c:v>1.8021611510471991E-2</c:v>
                </c:pt>
                <c:pt idx="151">
                  <c:v>2.9755480432446552E-2</c:v>
                </c:pt>
                <c:pt idx="152">
                  <c:v>3.3749986039905658E-2</c:v>
                </c:pt>
                <c:pt idx="153">
                  <c:v>3.5776614024227951E-2</c:v>
                </c:pt>
                <c:pt idx="154">
                  <c:v>4.069470174837627E-2</c:v>
                </c:pt>
                <c:pt idx="155">
                  <c:v>1</c:v>
                </c:pt>
                <c:pt idx="156">
                  <c:v>1.6857122904947439E-2</c:v>
                </c:pt>
                <c:pt idx="157">
                  <c:v>4.0812155594955997E-2</c:v>
                </c:pt>
                <c:pt idx="158">
                  <c:v>4.6906532083887911E-2</c:v>
                </c:pt>
                <c:pt idx="159">
                  <c:v>4.8137617007043852E-2</c:v>
                </c:pt>
                <c:pt idx="160">
                  <c:v>5.2451037954199857E-2</c:v>
                </c:pt>
                <c:pt idx="161">
                  <c:v>5.2803924413353562E-2</c:v>
                </c:pt>
                <c:pt idx="162">
                  <c:v>6.0257482320620073E-2</c:v>
                </c:pt>
                <c:pt idx="163">
                  <c:v>6.2499391843739489E-2</c:v>
                </c:pt>
                <c:pt idx="164">
                  <c:v>6.5206182173382671E-2</c:v>
                </c:pt>
                <c:pt idx="165">
                  <c:v>6.9050961716564913E-2</c:v>
                </c:pt>
                <c:pt idx="166">
                  <c:v>7.3411323691829206E-2</c:v>
                </c:pt>
                <c:pt idx="167">
                  <c:v>7.5606250840690239E-2</c:v>
                </c:pt>
                <c:pt idx="168">
                  <c:v>8.1083383740369067E-2</c:v>
                </c:pt>
                <c:pt idx="169">
                  <c:v>8.3335438844810164E-2</c:v>
                </c:pt>
                <c:pt idx="170">
                  <c:v>8.2251621134379782E-2</c:v>
                </c:pt>
                <c:pt idx="171">
                  <c:v>8.1749797665465557E-2</c:v>
                </c:pt>
                <c:pt idx="172">
                  <c:v>8.3966784490423357E-2</c:v>
                </c:pt>
                <c:pt idx="173">
                  <c:v>8.6218935599776225E-2</c:v>
                </c:pt>
                <c:pt idx="174">
                  <c:v>8.8130695480413968E-2</c:v>
                </c:pt>
                <c:pt idx="175">
                  <c:v>9.4462023966602068E-2</c:v>
                </c:pt>
                <c:pt idx="176">
                  <c:v>9.3231897149552809E-2</c:v>
                </c:pt>
                <c:pt idx="177">
                  <c:v>9.6938616806762856E-2</c:v>
                </c:pt>
                <c:pt idx="178">
                  <c:v>9.6629615989375084E-2</c:v>
                </c:pt>
                <c:pt idx="179">
                  <c:v>0.1007649588503453</c:v>
                </c:pt>
                <c:pt idx="180">
                  <c:v>0.1054950592344774</c:v>
                </c:pt>
                <c:pt idx="181">
                  <c:v>0.10926606726245799</c:v>
                </c:pt>
                <c:pt idx="182">
                  <c:v>0.1094739542092984</c:v>
                </c:pt>
                <c:pt idx="183">
                  <c:v>0.1114041981899738</c:v>
                </c:pt>
                <c:pt idx="184">
                  <c:v>1</c:v>
                </c:pt>
                <c:pt idx="185">
                  <c:v>1.850863906893294E-2</c:v>
                </c:pt>
                <c:pt idx="186">
                  <c:v>3.1461574628687657E-2</c:v>
                </c:pt>
                <c:pt idx="187">
                  <c:v>3.6570744711483603E-2</c:v>
                </c:pt>
                <c:pt idx="188">
                  <c:v>4.6334408275461862E-2</c:v>
                </c:pt>
                <c:pt idx="189">
                  <c:v>4.7468340818325253E-2</c:v>
                </c:pt>
                <c:pt idx="190">
                  <c:v>5.0444707475372177E-2</c:v>
                </c:pt>
                <c:pt idx="191">
                  <c:v>5.3191711696934513E-2</c:v>
                </c:pt>
                <c:pt idx="192">
                  <c:v>6.3279738145263789E-2</c:v>
                </c:pt>
                <c:pt idx="193">
                  <c:v>6.7834611732428954E-2</c:v>
                </c:pt>
                <c:pt idx="194">
                  <c:v>1</c:v>
                </c:pt>
                <c:pt idx="195">
                  <c:v>8.7880870027270616E-3</c:v>
                </c:pt>
                <c:pt idx="196">
                  <c:v>1.410740841709239E-2</c:v>
                </c:pt>
                <c:pt idx="197">
                  <c:v>1.9923206962817529E-2</c:v>
                </c:pt>
                <c:pt idx="198">
                  <c:v>2.228693164863935E-2</c:v>
                </c:pt>
                <c:pt idx="199">
                  <c:v>2.293290040957353E-2</c:v>
                </c:pt>
                <c:pt idx="200">
                  <c:v>1</c:v>
                </c:pt>
                <c:pt idx="201">
                  <c:v>1.6611543044852441E-2</c:v>
                </c:pt>
                <c:pt idx="202">
                  <c:v>1.9976569712556701E-2</c:v>
                </c:pt>
                <c:pt idx="203">
                  <c:v>2.20077912041854E-2</c:v>
                </c:pt>
                <c:pt idx="204">
                  <c:v>3.0809012521178871E-2</c:v>
                </c:pt>
                <c:pt idx="205">
                  <c:v>3.4989312279448202E-2</c:v>
                </c:pt>
                <c:pt idx="206">
                  <c:v>3.7078760767733039E-2</c:v>
                </c:pt>
                <c:pt idx="207">
                  <c:v>3.7670005544948967E-2</c:v>
                </c:pt>
                <c:pt idx="208">
                  <c:v>3.8600082515959012E-2</c:v>
                </c:pt>
                <c:pt idx="209">
                  <c:v>3.902450197534197E-2</c:v>
                </c:pt>
                <c:pt idx="210">
                  <c:v>4.0587765312256413E-2</c:v>
                </c:pt>
                <c:pt idx="211">
                  <c:v>4.6932491359326867E-2</c:v>
                </c:pt>
                <c:pt idx="212">
                  <c:v>5.2974892658199831E-2</c:v>
                </c:pt>
                <c:pt idx="213">
                  <c:v>5.6284603106810487E-2</c:v>
                </c:pt>
                <c:pt idx="214">
                  <c:v>5.6964808736637451E-2</c:v>
                </c:pt>
                <c:pt idx="215">
                  <c:v>5.9253803842426567E-2</c:v>
                </c:pt>
                <c:pt idx="216">
                  <c:v>6.3469876863937305E-2</c:v>
                </c:pt>
                <c:pt idx="217">
                  <c:v>6.8433647988623364E-2</c:v>
                </c:pt>
                <c:pt idx="218">
                  <c:v>7.0760495812185215E-2</c:v>
                </c:pt>
                <c:pt idx="219">
                  <c:v>7.8899004274989609E-2</c:v>
                </c:pt>
                <c:pt idx="220">
                  <c:v>8.1759653978049615E-2</c:v>
                </c:pt>
                <c:pt idx="221">
                  <c:v>8.5632812505482409E-2</c:v>
                </c:pt>
                <c:pt idx="222">
                  <c:v>9.1232941763337613E-2</c:v>
                </c:pt>
                <c:pt idx="223">
                  <c:v>9.4380747849718533E-2</c:v>
                </c:pt>
                <c:pt idx="224">
                  <c:v>9.5770692983159739E-2</c:v>
                </c:pt>
                <c:pt idx="225">
                  <c:v>9.6065340090861262E-2</c:v>
                </c:pt>
                <c:pt idx="226">
                  <c:v>0.1015367513997532</c:v>
                </c:pt>
                <c:pt idx="227">
                  <c:v>0.10274111149342061</c:v>
                </c:pt>
                <c:pt idx="228">
                  <c:v>0.1010562556151864</c:v>
                </c:pt>
                <c:pt idx="229">
                  <c:v>0.10107780046668929</c:v>
                </c:pt>
                <c:pt idx="230">
                  <c:v>0.1003619352803337</c:v>
                </c:pt>
                <c:pt idx="231">
                  <c:v>0.1027482994903533</c:v>
                </c:pt>
                <c:pt idx="232">
                  <c:v>0.1028317724706902</c:v>
                </c:pt>
                <c:pt idx="233">
                  <c:v>0.1063863386324571</c:v>
                </c:pt>
                <c:pt idx="234">
                  <c:v>0.1093704771806439</c:v>
                </c:pt>
                <c:pt idx="235">
                  <c:v>0.11168156913131699</c:v>
                </c:pt>
                <c:pt idx="236">
                  <c:v>0.1080007224304282</c:v>
                </c:pt>
                <c:pt idx="237">
                  <c:v>0.1106704995233057</c:v>
                </c:pt>
                <c:pt idx="238">
                  <c:v>0.1133527942912298</c:v>
                </c:pt>
                <c:pt idx="239">
                  <c:v>0.1105051292192159</c:v>
                </c:pt>
                <c:pt idx="240">
                  <c:v>0.1078916044061837</c:v>
                </c:pt>
                <c:pt idx="241">
                  <c:v>0.109765155127831</c:v>
                </c:pt>
                <c:pt idx="242">
                  <c:v>0.1090337330991472</c:v>
                </c:pt>
                <c:pt idx="243">
                  <c:v>0.10835425008238569</c:v>
                </c:pt>
                <c:pt idx="244">
                  <c:v>0.10643168385395189</c:v>
                </c:pt>
                <c:pt idx="245">
                  <c:v>0.1079636633726221</c:v>
                </c:pt>
                <c:pt idx="246">
                  <c:v>0.1082845087215594</c:v>
                </c:pt>
                <c:pt idx="247">
                  <c:v>0.11008615598397931</c:v>
                </c:pt>
                <c:pt idx="248">
                  <c:v>0.1098192619722947</c:v>
                </c:pt>
                <c:pt idx="249">
                  <c:v>0.1102859481548073</c:v>
                </c:pt>
                <c:pt idx="250">
                  <c:v>0.1122414905224558</c:v>
                </c:pt>
                <c:pt idx="251">
                  <c:v>0.1119847807377921</c:v>
                </c:pt>
                <c:pt idx="252">
                  <c:v>0.1093608334118015</c:v>
                </c:pt>
                <c:pt idx="253">
                  <c:v>0.1118101760212724</c:v>
                </c:pt>
                <c:pt idx="254">
                  <c:v>0.1083763947348096</c:v>
                </c:pt>
                <c:pt idx="255">
                  <c:v>0.1110752082669671</c:v>
                </c:pt>
                <c:pt idx="256">
                  <c:v>0.1113273512787285</c:v>
                </c:pt>
                <c:pt idx="257">
                  <c:v>0.11195796471076511</c:v>
                </c:pt>
                <c:pt idx="258">
                  <c:v>0.1129466403709395</c:v>
                </c:pt>
                <c:pt idx="259">
                  <c:v>0.1141907262522998</c:v>
                </c:pt>
                <c:pt idx="260">
                  <c:v>0.1165538292404231</c:v>
                </c:pt>
                <c:pt idx="261">
                  <c:v>0.116469963301156</c:v>
                </c:pt>
                <c:pt idx="262">
                  <c:v>0.12325831399444891</c:v>
                </c:pt>
                <c:pt idx="263">
                  <c:v>0.1232379944966943</c:v>
                </c:pt>
                <c:pt idx="264">
                  <c:v>0.1249671677158922</c:v>
                </c:pt>
                <c:pt idx="265">
                  <c:v>0.1209168765031312</c:v>
                </c:pt>
                <c:pt idx="266">
                  <c:v>0.12264070568941381</c:v>
                </c:pt>
                <c:pt idx="267">
                  <c:v>0.1228488901583718</c:v>
                </c:pt>
                <c:pt idx="268">
                  <c:v>0.1174751504011516</c:v>
                </c:pt>
                <c:pt idx="269">
                  <c:v>0.118126768450553</c:v>
                </c:pt>
                <c:pt idx="270">
                  <c:v>0.1184259037792265</c:v>
                </c:pt>
                <c:pt idx="271">
                  <c:v>0.11931729130444479</c:v>
                </c:pt>
                <c:pt idx="272">
                  <c:v>0.1194151880658948</c:v>
                </c:pt>
                <c:pt idx="273">
                  <c:v>0.12093934722166109</c:v>
                </c:pt>
                <c:pt idx="274">
                  <c:v>0.1208497323110207</c:v>
                </c:pt>
                <c:pt idx="275">
                  <c:v>0.1260161534298776</c:v>
                </c:pt>
                <c:pt idx="276">
                  <c:v>0.1257136327440414</c:v>
                </c:pt>
                <c:pt idx="277">
                  <c:v>0.1294971879114325</c:v>
                </c:pt>
                <c:pt idx="278">
                  <c:v>0.12990318630268849</c:v>
                </c:pt>
                <c:pt idx="279">
                  <c:v>0.1312416466922022</c:v>
                </c:pt>
                <c:pt idx="280">
                  <c:v>0.13195647455385981</c:v>
                </c:pt>
                <c:pt idx="281">
                  <c:v>0.13584712340347119</c:v>
                </c:pt>
                <c:pt idx="282">
                  <c:v>0.1410185766108967</c:v>
                </c:pt>
                <c:pt idx="283">
                  <c:v>0.14066078601918999</c:v>
                </c:pt>
                <c:pt idx="284">
                  <c:v>0.1392272761593637</c:v>
                </c:pt>
                <c:pt idx="285">
                  <c:v>0.1429923067759811</c:v>
                </c:pt>
                <c:pt idx="286">
                  <c:v>0.14648738556292179</c:v>
                </c:pt>
                <c:pt idx="287">
                  <c:v>0.1503312133022208</c:v>
                </c:pt>
                <c:pt idx="288">
                  <c:v>1.476486936055952E-2</c:v>
                </c:pt>
                <c:pt idx="289">
                  <c:v>3.2789939992155903E-2</c:v>
                </c:pt>
                <c:pt idx="290">
                  <c:v>3.5219863300281401E-2</c:v>
                </c:pt>
                <c:pt idx="291">
                  <c:v>3.8631936734404772E-2</c:v>
                </c:pt>
                <c:pt idx="292">
                  <c:v>4.1735030744088963E-2</c:v>
                </c:pt>
                <c:pt idx="293">
                  <c:v>4.7509123173672181E-2</c:v>
                </c:pt>
                <c:pt idx="294">
                  <c:v>4.5789990711005077E-2</c:v>
                </c:pt>
                <c:pt idx="295">
                  <c:v>4.8379376475742759E-2</c:v>
                </c:pt>
                <c:pt idx="296">
                  <c:v>4.9420545143651143E-2</c:v>
                </c:pt>
                <c:pt idx="297">
                  <c:v>5.5721838311996397E-2</c:v>
                </c:pt>
                <c:pt idx="298">
                  <c:v>5.751878791078989E-2</c:v>
                </c:pt>
                <c:pt idx="299">
                  <c:v>5.7378260995127058E-2</c:v>
                </c:pt>
                <c:pt idx="300">
                  <c:v>6.5060231628651113E-2</c:v>
                </c:pt>
                <c:pt idx="301">
                  <c:v>6.5651771229809086E-2</c:v>
                </c:pt>
                <c:pt idx="302">
                  <c:v>7.1639932901500739E-2</c:v>
                </c:pt>
                <c:pt idx="303">
                  <c:v>7.1902460956052683E-2</c:v>
                </c:pt>
                <c:pt idx="304">
                  <c:v>7.910416032287261E-2</c:v>
                </c:pt>
                <c:pt idx="305">
                  <c:v>8.2177834137644679E-2</c:v>
                </c:pt>
                <c:pt idx="306">
                  <c:v>8.4466420618536125E-2</c:v>
                </c:pt>
                <c:pt idx="307">
                  <c:v>8.5983650676934406E-2</c:v>
                </c:pt>
                <c:pt idx="308">
                  <c:v>8.5184653316507264E-2</c:v>
                </c:pt>
                <c:pt idx="309">
                  <c:v>8.5227089927248798E-2</c:v>
                </c:pt>
                <c:pt idx="310">
                  <c:v>8.7306293094315826E-2</c:v>
                </c:pt>
                <c:pt idx="311">
                  <c:v>8.7128121960622501E-2</c:v>
                </c:pt>
                <c:pt idx="312">
                  <c:v>8.663558180408204E-2</c:v>
                </c:pt>
                <c:pt idx="313">
                  <c:v>8.9844582415424964E-2</c:v>
                </c:pt>
                <c:pt idx="314">
                  <c:v>9.1174252617537241E-2</c:v>
                </c:pt>
                <c:pt idx="315">
                  <c:v>9.2533324647101373E-2</c:v>
                </c:pt>
                <c:pt idx="316">
                  <c:v>9.0805618199171739E-2</c:v>
                </c:pt>
                <c:pt idx="317">
                  <c:v>9.196651237678187E-2</c:v>
                </c:pt>
                <c:pt idx="318">
                  <c:v>9.5486693124097077E-2</c:v>
                </c:pt>
                <c:pt idx="319">
                  <c:v>0.1022739159578798</c:v>
                </c:pt>
                <c:pt idx="320">
                  <c:v>0.1016452870339586</c:v>
                </c:pt>
                <c:pt idx="321">
                  <c:v>0.1037117766766783</c:v>
                </c:pt>
                <c:pt idx="322">
                  <c:v>0.1055337255974506</c:v>
                </c:pt>
                <c:pt idx="323">
                  <c:v>0.1103722050613479</c:v>
                </c:pt>
                <c:pt idx="324">
                  <c:v>0.11363297580179781</c:v>
                </c:pt>
                <c:pt idx="325">
                  <c:v>0.11412623071543131</c:v>
                </c:pt>
                <c:pt idx="326">
                  <c:v>0.1166958320133043</c:v>
                </c:pt>
                <c:pt idx="327">
                  <c:v>0.11768518628258801</c:v>
                </c:pt>
                <c:pt idx="328">
                  <c:v>0.115057810863714</c:v>
                </c:pt>
                <c:pt idx="329">
                  <c:v>0.11619539077842719</c:v>
                </c:pt>
                <c:pt idx="330">
                  <c:v>0.1210447993139962</c:v>
                </c:pt>
                <c:pt idx="331">
                  <c:v>0.12121923001424841</c:v>
                </c:pt>
                <c:pt idx="332">
                  <c:v>0.1233924144370379</c:v>
                </c:pt>
                <c:pt idx="333">
                  <c:v>0.1228325250900188</c:v>
                </c:pt>
                <c:pt idx="334">
                  <c:v>0.12148338221947159</c:v>
                </c:pt>
                <c:pt idx="335">
                  <c:v>0.12197068911911629</c:v>
                </c:pt>
                <c:pt idx="336">
                  <c:v>0.12483518481516991</c:v>
                </c:pt>
                <c:pt idx="337">
                  <c:v>0.1234221461250347</c:v>
                </c:pt>
                <c:pt idx="338">
                  <c:v>1</c:v>
                </c:pt>
                <c:pt idx="339">
                  <c:v>2.9326570783646248E-2</c:v>
                </c:pt>
                <c:pt idx="340">
                  <c:v>3.4499452108247328E-2</c:v>
                </c:pt>
                <c:pt idx="341">
                  <c:v>4.0005475809567689E-2</c:v>
                </c:pt>
                <c:pt idx="342">
                  <c:v>4.1608038630684942E-2</c:v>
                </c:pt>
                <c:pt idx="343">
                  <c:v>1</c:v>
                </c:pt>
                <c:pt idx="344">
                  <c:v>2.424750151967859E-2</c:v>
                </c:pt>
                <c:pt idx="345">
                  <c:v>3.195535200982532E-2</c:v>
                </c:pt>
                <c:pt idx="346">
                  <c:v>4.1083204862885143E-2</c:v>
                </c:pt>
                <c:pt idx="347">
                  <c:v>4.0645831174495203E-2</c:v>
                </c:pt>
                <c:pt idx="348">
                  <c:v>4.1045962199182107E-2</c:v>
                </c:pt>
                <c:pt idx="349">
                  <c:v>4.7851183074495457E-2</c:v>
                </c:pt>
                <c:pt idx="350">
                  <c:v>4.9392798201403937E-2</c:v>
                </c:pt>
                <c:pt idx="351">
                  <c:v>5.129783449010171E-2</c:v>
                </c:pt>
                <c:pt idx="352">
                  <c:v>5.2661051131022221E-2</c:v>
                </c:pt>
                <c:pt idx="353">
                  <c:v>4.881100202029813E-2</c:v>
                </c:pt>
                <c:pt idx="354">
                  <c:v>5.9924442262459257E-2</c:v>
                </c:pt>
                <c:pt idx="355">
                  <c:v>6.5049724445928811E-2</c:v>
                </c:pt>
                <c:pt idx="356">
                  <c:v>6.9395902581364924E-2</c:v>
                </c:pt>
                <c:pt idx="357">
                  <c:v>7.3806973542497781E-2</c:v>
                </c:pt>
                <c:pt idx="358">
                  <c:v>7.776526645019062E-2</c:v>
                </c:pt>
                <c:pt idx="359">
                  <c:v>8.0532828154469688E-2</c:v>
                </c:pt>
                <c:pt idx="360">
                  <c:v>8.2295468985214934E-2</c:v>
                </c:pt>
                <c:pt idx="361">
                  <c:v>8.0635268200058979E-2</c:v>
                </c:pt>
                <c:pt idx="362">
                  <c:v>8.4109063180659444E-2</c:v>
                </c:pt>
                <c:pt idx="363">
                  <c:v>8.6104511163083458E-2</c:v>
                </c:pt>
                <c:pt idx="364">
                  <c:v>8.5991998527447266E-2</c:v>
                </c:pt>
                <c:pt idx="365">
                  <c:v>8.621433580574675E-2</c:v>
                </c:pt>
                <c:pt idx="366">
                  <c:v>8.9752119291166402E-2</c:v>
                </c:pt>
                <c:pt idx="367">
                  <c:v>8.9264930768587866E-2</c:v>
                </c:pt>
                <c:pt idx="368">
                  <c:v>9.0072172397283962E-2</c:v>
                </c:pt>
                <c:pt idx="369">
                  <c:v>9.2243639346206885E-2</c:v>
                </c:pt>
                <c:pt idx="370">
                  <c:v>9.2009868496999797E-2</c:v>
                </c:pt>
                <c:pt idx="371">
                  <c:v>9.4472394917221397E-2</c:v>
                </c:pt>
                <c:pt idx="372">
                  <c:v>9.5230294669032461E-2</c:v>
                </c:pt>
                <c:pt idx="373">
                  <c:v>9.7793280961553847E-2</c:v>
                </c:pt>
                <c:pt idx="374">
                  <c:v>9.7780247720005098E-2</c:v>
                </c:pt>
                <c:pt idx="375">
                  <c:v>9.6570716109835739E-2</c:v>
                </c:pt>
                <c:pt idx="376">
                  <c:v>9.9336006795498699E-2</c:v>
                </c:pt>
                <c:pt idx="377">
                  <c:v>9.8720422096618549E-2</c:v>
                </c:pt>
                <c:pt idx="378">
                  <c:v>9.9688697662211709E-2</c:v>
                </c:pt>
                <c:pt idx="379">
                  <c:v>9.9250460907746349E-2</c:v>
                </c:pt>
                <c:pt idx="380">
                  <c:v>9.6709435142421307E-2</c:v>
                </c:pt>
                <c:pt idx="381">
                  <c:v>9.6395800927672345E-2</c:v>
                </c:pt>
                <c:pt idx="382">
                  <c:v>9.679626729839326E-2</c:v>
                </c:pt>
                <c:pt idx="383">
                  <c:v>9.8303496710009236E-2</c:v>
                </c:pt>
                <c:pt idx="384">
                  <c:v>0.1002608887235934</c:v>
                </c:pt>
                <c:pt idx="385">
                  <c:v>0.10688633280176529</c:v>
                </c:pt>
                <c:pt idx="386">
                  <c:v>0.10544621484760459</c:v>
                </c:pt>
                <c:pt idx="387">
                  <c:v>0.1055210546534622</c:v>
                </c:pt>
                <c:pt idx="388">
                  <c:v>0.1004547437020387</c:v>
                </c:pt>
                <c:pt idx="389">
                  <c:v>0.1000760988644824</c:v>
                </c:pt>
                <c:pt idx="390">
                  <c:v>9.629864293702492E-2</c:v>
                </c:pt>
                <c:pt idx="391">
                  <c:v>9.3459885264362427E-2</c:v>
                </c:pt>
                <c:pt idx="392">
                  <c:v>9.4190904465548106E-2</c:v>
                </c:pt>
                <c:pt idx="393">
                  <c:v>9.3738445586726282E-2</c:v>
                </c:pt>
                <c:pt idx="394">
                  <c:v>9.1683396148126831E-2</c:v>
                </c:pt>
                <c:pt idx="395">
                  <c:v>9.2129217499314658E-2</c:v>
                </c:pt>
                <c:pt idx="396">
                  <c:v>8.8681977561082162E-2</c:v>
                </c:pt>
                <c:pt idx="397">
                  <c:v>9.0419865047754983E-2</c:v>
                </c:pt>
                <c:pt idx="398">
                  <c:v>8.7160065323925326E-2</c:v>
                </c:pt>
                <c:pt idx="399">
                  <c:v>8.4706895831074533E-2</c:v>
                </c:pt>
                <c:pt idx="400">
                  <c:v>8.8915911503275866E-2</c:v>
                </c:pt>
                <c:pt idx="401">
                  <c:v>8.9469812895236131E-2</c:v>
                </c:pt>
                <c:pt idx="402">
                  <c:v>9.3755003848717725E-2</c:v>
                </c:pt>
                <c:pt idx="403">
                  <c:v>9.8025144797205088E-2</c:v>
                </c:pt>
                <c:pt idx="404">
                  <c:v>0.1025397342347116</c:v>
                </c:pt>
                <c:pt idx="405">
                  <c:v>0.1022180754870254</c:v>
                </c:pt>
                <c:pt idx="406">
                  <c:v>0.10246659214129521</c:v>
                </c:pt>
                <c:pt idx="407">
                  <c:v>0.10119091920970751</c:v>
                </c:pt>
                <c:pt idx="408">
                  <c:v>0.1014510229617302</c:v>
                </c:pt>
                <c:pt idx="409">
                  <c:v>0.1025725963635334</c:v>
                </c:pt>
                <c:pt idx="410">
                  <c:v>9.9803080898344623E-2</c:v>
                </c:pt>
                <c:pt idx="411">
                  <c:v>9.9639810052900485E-2</c:v>
                </c:pt>
                <c:pt idx="412">
                  <c:v>0.1058491072016749</c:v>
                </c:pt>
                <c:pt idx="413">
                  <c:v>0.1038585017299084</c:v>
                </c:pt>
                <c:pt idx="414">
                  <c:v>0.1029078258988023</c:v>
                </c:pt>
                <c:pt idx="415">
                  <c:v>0.1039897498720594</c:v>
                </c:pt>
                <c:pt idx="416">
                  <c:v>0.10292048618404211</c:v>
                </c:pt>
                <c:pt idx="417">
                  <c:v>0.10366876418117139</c:v>
                </c:pt>
                <c:pt idx="418">
                  <c:v>0.10102205149452009</c:v>
                </c:pt>
                <c:pt idx="419">
                  <c:v>9.8676404468665546E-2</c:v>
                </c:pt>
                <c:pt idx="420">
                  <c:v>0.10023292235584851</c:v>
                </c:pt>
                <c:pt idx="421">
                  <c:v>9.5101651233005388E-2</c:v>
                </c:pt>
                <c:pt idx="422">
                  <c:v>9.2741279200694388E-2</c:v>
                </c:pt>
                <c:pt idx="423">
                  <c:v>9.0415425724048565E-2</c:v>
                </c:pt>
                <c:pt idx="424">
                  <c:v>9.0313080001259163E-2</c:v>
                </c:pt>
                <c:pt idx="425">
                  <c:v>9.4364525917059613E-2</c:v>
                </c:pt>
                <c:pt idx="426">
                  <c:v>9.439127516780968E-2</c:v>
                </c:pt>
                <c:pt idx="427">
                  <c:v>9.6197454626283666E-2</c:v>
                </c:pt>
                <c:pt idx="428">
                  <c:v>9.6105766413026344E-2</c:v>
                </c:pt>
                <c:pt idx="429">
                  <c:v>9.7741725016325318E-2</c:v>
                </c:pt>
                <c:pt idx="430">
                  <c:v>9.5297538934214762E-2</c:v>
                </c:pt>
                <c:pt idx="431">
                  <c:v>9.5011959129496101E-2</c:v>
                </c:pt>
                <c:pt idx="432">
                  <c:v>9.9327399013480103E-2</c:v>
                </c:pt>
                <c:pt idx="433">
                  <c:v>9.4822493750161801E-2</c:v>
                </c:pt>
                <c:pt idx="434">
                  <c:v>9.483108599640834E-2</c:v>
                </c:pt>
                <c:pt idx="435">
                  <c:v>9.3582315321808426E-2</c:v>
                </c:pt>
                <c:pt idx="436">
                  <c:v>9.7489767892782145E-2</c:v>
                </c:pt>
                <c:pt idx="437">
                  <c:v>9.9701208264252855E-2</c:v>
                </c:pt>
                <c:pt idx="438">
                  <c:v>9.4294410829124542E-2</c:v>
                </c:pt>
                <c:pt idx="439">
                  <c:v>9.4135089729445995E-2</c:v>
                </c:pt>
                <c:pt idx="440">
                  <c:v>9.3052454997592182E-2</c:v>
                </c:pt>
                <c:pt idx="441">
                  <c:v>9.6082983243983872E-2</c:v>
                </c:pt>
                <c:pt idx="442">
                  <c:v>9.8578375193281317E-2</c:v>
                </c:pt>
                <c:pt idx="443">
                  <c:v>9.9375909217945396E-2</c:v>
                </c:pt>
                <c:pt idx="444">
                  <c:v>9.799957474481262E-2</c:v>
                </c:pt>
                <c:pt idx="445">
                  <c:v>9.5220813786580261E-2</c:v>
                </c:pt>
                <c:pt idx="446">
                  <c:v>9.4120858995267745E-2</c:v>
                </c:pt>
                <c:pt idx="447">
                  <c:v>9.2424933194746622E-2</c:v>
                </c:pt>
                <c:pt idx="448">
                  <c:v>9.1128865121869407E-2</c:v>
                </c:pt>
                <c:pt idx="449">
                  <c:v>9.1990789187820235E-2</c:v>
                </c:pt>
                <c:pt idx="450">
                  <c:v>9.0439493573535354E-2</c:v>
                </c:pt>
                <c:pt idx="451">
                  <c:v>8.9667501399429972E-2</c:v>
                </c:pt>
                <c:pt idx="452">
                  <c:v>8.8951136854403187E-2</c:v>
                </c:pt>
                <c:pt idx="453">
                  <c:v>8.8475349467133202E-2</c:v>
                </c:pt>
                <c:pt idx="454">
                  <c:v>9.0102876863730211E-2</c:v>
                </c:pt>
                <c:pt idx="455">
                  <c:v>1</c:v>
                </c:pt>
                <c:pt idx="456">
                  <c:v>1.5095421751906179E-2</c:v>
                </c:pt>
                <c:pt idx="457">
                  <c:v>2.258470040087527E-2</c:v>
                </c:pt>
                <c:pt idx="458">
                  <c:v>2.5507583882849849E-2</c:v>
                </c:pt>
                <c:pt idx="459">
                  <c:v>3.4471062955899183E-2</c:v>
                </c:pt>
                <c:pt idx="460">
                  <c:v>3.369493466607662E-2</c:v>
                </c:pt>
                <c:pt idx="461">
                  <c:v>4.4259785430551347E-2</c:v>
                </c:pt>
                <c:pt idx="462">
                  <c:v>4.3687881170750648E-2</c:v>
                </c:pt>
                <c:pt idx="463">
                  <c:v>4.8060170021057648E-2</c:v>
                </c:pt>
                <c:pt idx="464">
                  <c:v>4.78695754232462E-2</c:v>
                </c:pt>
                <c:pt idx="465">
                  <c:v>5.1994720506439163E-2</c:v>
                </c:pt>
                <c:pt idx="466">
                  <c:v>5.2045584421627551E-2</c:v>
                </c:pt>
                <c:pt idx="467">
                  <c:v>5.1374086865174418E-2</c:v>
                </c:pt>
                <c:pt idx="468">
                  <c:v>6.0329507014090213E-2</c:v>
                </c:pt>
                <c:pt idx="469">
                  <c:v>6.5732057692716311E-2</c:v>
                </c:pt>
                <c:pt idx="470">
                  <c:v>7.3786127871299165E-2</c:v>
                </c:pt>
                <c:pt idx="471">
                  <c:v>8.7434771522065621E-2</c:v>
                </c:pt>
                <c:pt idx="472">
                  <c:v>0.1000605817388838</c:v>
                </c:pt>
                <c:pt idx="473">
                  <c:v>0.11127444825055841</c:v>
                </c:pt>
                <c:pt idx="474">
                  <c:v>0.12074718276390629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F4-4826-BF45-B24EAABC4F62}"/>
            </c:ext>
          </c:extLst>
        </c:ser>
        <c:ser>
          <c:idx val="4"/>
          <c:order val="4"/>
          <c:tx>
            <c:strRef>
              <c:f>ASSETS!$M$18</c:f>
              <c:strCache>
                <c:ptCount val="1"/>
                <c:pt idx="0">
                  <c:v> Drift threshold </c:v>
                </c:pt>
              </c:strCache>
            </c:strRef>
          </c:tx>
          <c:spPr>
            <a:ln w="38100" cap="rnd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ASSETS!$C$19:$C$493</c:f>
              <c:numCache>
                <c:formatCode>_-* #,##0_-;\-* #,##0_-;_-* "-"??_-;_-@_-</c:formatCode>
                <c:ptCount val="4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</c:numCache>
            </c:numRef>
          </c:cat>
          <c:val>
            <c:numRef>
              <c:f>ASSETS!$M$19:$M$493</c:f>
              <c:numCache>
                <c:formatCode>_(* #,##0.00_);_(* \(#,##0.00\);_(* "-"??_);_(@_)</c:formatCode>
                <c:ptCount val="475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0.15</c:v>
                </c:pt>
                <c:pt idx="23">
                  <c:v>0.15</c:v>
                </c:pt>
                <c:pt idx="24">
                  <c:v>0.15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0.15</c:v>
                </c:pt>
                <c:pt idx="29">
                  <c:v>0.15</c:v>
                </c:pt>
                <c:pt idx="30">
                  <c:v>0.15</c:v>
                </c:pt>
                <c:pt idx="31">
                  <c:v>0.15</c:v>
                </c:pt>
                <c:pt idx="32">
                  <c:v>0.15</c:v>
                </c:pt>
                <c:pt idx="33">
                  <c:v>0.15</c:v>
                </c:pt>
                <c:pt idx="34">
                  <c:v>0.15</c:v>
                </c:pt>
                <c:pt idx="35">
                  <c:v>0.15</c:v>
                </c:pt>
                <c:pt idx="36">
                  <c:v>0.15</c:v>
                </c:pt>
                <c:pt idx="37">
                  <c:v>0.15</c:v>
                </c:pt>
                <c:pt idx="38">
                  <c:v>0.15</c:v>
                </c:pt>
                <c:pt idx="39">
                  <c:v>0.15</c:v>
                </c:pt>
                <c:pt idx="40">
                  <c:v>0.15</c:v>
                </c:pt>
                <c:pt idx="41">
                  <c:v>0.15</c:v>
                </c:pt>
                <c:pt idx="42">
                  <c:v>0.15</c:v>
                </c:pt>
                <c:pt idx="43">
                  <c:v>0.15</c:v>
                </c:pt>
                <c:pt idx="44">
                  <c:v>0.15</c:v>
                </c:pt>
                <c:pt idx="45">
                  <c:v>0.15</c:v>
                </c:pt>
                <c:pt idx="46">
                  <c:v>0.15</c:v>
                </c:pt>
                <c:pt idx="47">
                  <c:v>0.15</c:v>
                </c:pt>
                <c:pt idx="48">
                  <c:v>0.15</c:v>
                </c:pt>
                <c:pt idx="49">
                  <c:v>0.15</c:v>
                </c:pt>
                <c:pt idx="50">
                  <c:v>0.15</c:v>
                </c:pt>
                <c:pt idx="51">
                  <c:v>0.15</c:v>
                </c:pt>
                <c:pt idx="52">
                  <c:v>0.15</c:v>
                </c:pt>
                <c:pt idx="53">
                  <c:v>0.15</c:v>
                </c:pt>
                <c:pt idx="54">
                  <c:v>0.15</c:v>
                </c:pt>
                <c:pt idx="55">
                  <c:v>0.15</c:v>
                </c:pt>
                <c:pt idx="56">
                  <c:v>0.15</c:v>
                </c:pt>
                <c:pt idx="57">
                  <c:v>0.15</c:v>
                </c:pt>
                <c:pt idx="58">
                  <c:v>0.15</c:v>
                </c:pt>
                <c:pt idx="59">
                  <c:v>0.15</c:v>
                </c:pt>
                <c:pt idx="60">
                  <c:v>0.15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</c:v>
                </c:pt>
                <c:pt idx="65">
                  <c:v>0.15</c:v>
                </c:pt>
                <c:pt idx="66">
                  <c:v>0.15</c:v>
                </c:pt>
                <c:pt idx="67">
                  <c:v>0.15</c:v>
                </c:pt>
                <c:pt idx="68">
                  <c:v>0.15</c:v>
                </c:pt>
                <c:pt idx="69">
                  <c:v>0.15</c:v>
                </c:pt>
                <c:pt idx="70">
                  <c:v>0.15</c:v>
                </c:pt>
                <c:pt idx="71">
                  <c:v>0.15</c:v>
                </c:pt>
                <c:pt idx="72">
                  <c:v>0.15</c:v>
                </c:pt>
                <c:pt idx="73">
                  <c:v>0.15</c:v>
                </c:pt>
                <c:pt idx="74">
                  <c:v>0.15</c:v>
                </c:pt>
                <c:pt idx="75">
                  <c:v>0.15</c:v>
                </c:pt>
                <c:pt idx="76">
                  <c:v>0.15</c:v>
                </c:pt>
                <c:pt idx="77">
                  <c:v>0.15</c:v>
                </c:pt>
                <c:pt idx="78">
                  <c:v>0.15</c:v>
                </c:pt>
                <c:pt idx="79">
                  <c:v>0.15</c:v>
                </c:pt>
                <c:pt idx="80">
                  <c:v>0.15</c:v>
                </c:pt>
                <c:pt idx="81">
                  <c:v>0.15</c:v>
                </c:pt>
                <c:pt idx="82">
                  <c:v>0.15</c:v>
                </c:pt>
                <c:pt idx="83">
                  <c:v>0.15</c:v>
                </c:pt>
                <c:pt idx="84">
                  <c:v>0.15</c:v>
                </c:pt>
                <c:pt idx="85">
                  <c:v>0.15</c:v>
                </c:pt>
                <c:pt idx="86">
                  <c:v>0.15</c:v>
                </c:pt>
                <c:pt idx="87">
                  <c:v>0.15</c:v>
                </c:pt>
                <c:pt idx="88">
                  <c:v>0.15</c:v>
                </c:pt>
                <c:pt idx="89">
                  <c:v>0.15</c:v>
                </c:pt>
                <c:pt idx="90">
                  <c:v>0.15</c:v>
                </c:pt>
                <c:pt idx="91">
                  <c:v>0.15</c:v>
                </c:pt>
                <c:pt idx="92">
                  <c:v>0.15</c:v>
                </c:pt>
                <c:pt idx="93">
                  <c:v>0.15</c:v>
                </c:pt>
                <c:pt idx="94">
                  <c:v>0.15</c:v>
                </c:pt>
                <c:pt idx="95">
                  <c:v>0.15</c:v>
                </c:pt>
                <c:pt idx="96">
                  <c:v>0.15</c:v>
                </c:pt>
                <c:pt idx="97">
                  <c:v>0.15</c:v>
                </c:pt>
                <c:pt idx="98">
                  <c:v>0.15</c:v>
                </c:pt>
                <c:pt idx="99">
                  <c:v>0.15</c:v>
                </c:pt>
                <c:pt idx="100">
                  <c:v>0.15</c:v>
                </c:pt>
                <c:pt idx="101">
                  <c:v>0.15</c:v>
                </c:pt>
                <c:pt idx="102">
                  <c:v>0.15</c:v>
                </c:pt>
                <c:pt idx="103">
                  <c:v>0.15</c:v>
                </c:pt>
                <c:pt idx="104">
                  <c:v>0.15</c:v>
                </c:pt>
                <c:pt idx="105">
                  <c:v>0.15</c:v>
                </c:pt>
                <c:pt idx="106">
                  <c:v>0.15</c:v>
                </c:pt>
                <c:pt idx="107">
                  <c:v>0.15</c:v>
                </c:pt>
                <c:pt idx="108">
                  <c:v>0.15</c:v>
                </c:pt>
                <c:pt idx="109">
                  <c:v>0.15</c:v>
                </c:pt>
                <c:pt idx="110">
                  <c:v>0.15</c:v>
                </c:pt>
                <c:pt idx="111">
                  <c:v>0.15</c:v>
                </c:pt>
                <c:pt idx="112">
                  <c:v>0.15</c:v>
                </c:pt>
                <c:pt idx="113">
                  <c:v>0.15</c:v>
                </c:pt>
                <c:pt idx="114">
                  <c:v>0.15</c:v>
                </c:pt>
                <c:pt idx="115">
                  <c:v>0.15</c:v>
                </c:pt>
                <c:pt idx="116">
                  <c:v>0.15</c:v>
                </c:pt>
                <c:pt idx="117">
                  <c:v>0.15</c:v>
                </c:pt>
                <c:pt idx="118">
                  <c:v>0.15</c:v>
                </c:pt>
                <c:pt idx="119">
                  <c:v>0.15</c:v>
                </c:pt>
                <c:pt idx="120">
                  <c:v>0.15</c:v>
                </c:pt>
                <c:pt idx="121">
                  <c:v>0.15</c:v>
                </c:pt>
                <c:pt idx="122">
                  <c:v>0.15</c:v>
                </c:pt>
                <c:pt idx="123">
                  <c:v>0.15</c:v>
                </c:pt>
                <c:pt idx="124">
                  <c:v>0.15</c:v>
                </c:pt>
                <c:pt idx="125">
                  <c:v>0.15</c:v>
                </c:pt>
                <c:pt idx="126">
                  <c:v>0.15</c:v>
                </c:pt>
                <c:pt idx="127">
                  <c:v>0.15</c:v>
                </c:pt>
                <c:pt idx="128">
                  <c:v>0.15</c:v>
                </c:pt>
                <c:pt idx="129">
                  <c:v>0.15</c:v>
                </c:pt>
                <c:pt idx="130">
                  <c:v>0.15</c:v>
                </c:pt>
                <c:pt idx="131">
                  <c:v>0.15</c:v>
                </c:pt>
                <c:pt idx="132">
                  <c:v>0.15</c:v>
                </c:pt>
                <c:pt idx="133">
                  <c:v>0.15</c:v>
                </c:pt>
                <c:pt idx="134">
                  <c:v>0.15</c:v>
                </c:pt>
                <c:pt idx="135">
                  <c:v>0.15</c:v>
                </c:pt>
                <c:pt idx="136">
                  <c:v>0.15</c:v>
                </c:pt>
                <c:pt idx="137">
                  <c:v>0.15</c:v>
                </c:pt>
                <c:pt idx="138">
                  <c:v>0.15</c:v>
                </c:pt>
                <c:pt idx="139">
                  <c:v>0.15</c:v>
                </c:pt>
                <c:pt idx="140">
                  <c:v>0.15</c:v>
                </c:pt>
                <c:pt idx="141">
                  <c:v>0.15</c:v>
                </c:pt>
                <c:pt idx="142">
                  <c:v>0.15</c:v>
                </c:pt>
                <c:pt idx="143">
                  <c:v>0.15</c:v>
                </c:pt>
                <c:pt idx="144">
                  <c:v>0.15</c:v>
                </c:pt>
                <c:pt idx="145">
                  <c:v>0.15</c:v>
                </c:pt>
                <c:pt idx="146">
                  <c:v>0.15</c:v>
                </c:pt>
                <c:pt idx="147">
                  <c:v>0.15</c:v>
                </c:pt>
                <c:pt idx="148">
                  <c:v>0.15</c:v>
                </c:pt>
                <c:pt idx="149">
                  <c:v>0.15</c:v>
                </c:pt>
                <c:pt idx="150">
                  <c:v>0.15</c:v>
                </c:pt>
                <c:pt idx="151">
                  <c:v>0.15</c:v>
                </c:pt>
                <c:pt idx="152">
                  <c:v>0.15</c:v>
                </c:pt>
                <c:pt idx="153">
                  <c:v>0.15</c:v>
                </c:pt>
                <c:pt idx="154">
                  <c:v>0.15</c:v>
                </c:pt>
                <c:pt idx="155">
                  <c:v>0.15</c:v>
                </c:pt>
                <c:pt idx="156">
                  <c:v>0.15</c:v>
                </c:pt>
                <c:pt idx="157">
                  <c:v>0.15</c:v>
                </c:pt>
                <c:pt idx="158">
                  <c:v>0.15</c:v>
                </c:pt>
                <c:pt idx="159">
                  <c:v>0.15</c:v>
                </c:pt>
                <c:pt idx="160">
                  <c:v>0.15</c:v>
                </c:pt>
                <c:pt idx="161">
                  <c:v>0.15</c:v>
                </c:pt>
                <c:pt idx="162">
                  <c:v>0.15</c:v>
                </c:pt>
                <c:pt idx="163">
                  <c:v>0.15</c:v>
                </c:pt>
                <c:pt idx="164">
                  <c:v>0.15</c:v>
                </c:pt>
                <c:pt idx="165">
                  <c:v>0.15</c:v>
                </c:pt>
                <c:pt idx="166">
                  <c:v>0.15</c:v>
                </c:pt>
                <c:pt idx="167">
                  <c:v>0.15</c:v>
                </c:pt>
                <c:pt idx="168">
                  <c:v>0.15</c:v>
                </c:pt>
                <c:pt idx="169">
                  <c:v>0.15</c:v>
                </c:pt>
                <c:pt idx="170">
                  <c:v>0.15</c:v>
                </c:pt>
                <c:pt idx="171">
                  <c:v>0.15</c:v>
                </c:pt>
                <c:pt idx="172">
                  <c:v>0.15</c:v>
                </c:pt>
                <c:pt idx="173">
                  <c:v>0.15</c:v>
                </c:pt>
                <c:pt idx="174">
                  <c:v>0.15</c:v>
                </c:pt>
                <c:pt idx="175">
                  <c:v>0.15</c:v>
                </c:pt>
                <c:pt idx="176">
                  <c:v>0.15</c:v>
                </c:pt>
                <c:pt idx="177">
                  <c:v>0.15</c:v>
                </c:pt>
                <c:pt idx="178">
                  <c:v>0.15</c:v>
                </c:pt>
                <c:pt idx="179">
                  <c:v>0.15</c:v>
                </c:pt>
                <c:pt idx="180">
                  <c:v>0.15</c:v>
                </c:pt>
                <c:pt idx="181">
                  <c:v>0.15</c:v>
                </c:pt>
                <c:pt idx="182">
                  <c:v>0.15</c:v>
                </c:pt>
                <c:pt idx="183">
                  <c:v>0.15</c:v>
                </c:pt>
                <c:pt idx="184">
                  <c:v>0.15</c:v>
                </c:pt>
                <c:pt idx="185">
                  <c:v>0.15</c:v>
                </c:pt>
                <c:pt idx="186">
                  <c:v>0.15</c:v>
                </c:pt>
                <c:pt idx="187">
                  <c:v>0.15</c:v>
                </c:pt>
                <c:pt idx="188">
                  <c:v>0.15</c:v>
                </c:pt>
                <c:pt idx="189">
                  <c:v>0.15</c:v>
                </c:pt>
                <c:pt idx="190">
                  <c:v>0.15</c:v>
                </c:pt>
                <c:pt idx="191">
                  <c:v>0.15</c:v>
                </c:pt>
                <c:pt idx="192">
                  <c:v>0.15</c:v>
                </c:pt>
                <c:pt idx="193">
                  <c:v>0.15</c:v>
                </c:pt>
                <c:pt idx="194">
                  <c:v>0.15</c:v>
                </c:pt>
                <c:pt idx="195">
                  <c:v>0.15</c:v>
                </c:pt>
                <c:pt idx="196">
                  <c:v>0.15</c:v>
                </c:pt>
                <c:pt idx="197">
                  <c:v>0.15</c:v>
                </c:pt>
                <c:pt idx="198">
                  <c:v>0.15</c:v>
                </c:pt>
                <c:pt idx="199">
                  <c:v>0.15</c:v>
                </c:pt>
                <c:pt idx="200">
                  <c:v>0.15</c:v>
                </c:pt>
                <c:pt idx="201">
                  <c:v>0.15</c:v>
                </c:pt>
                <c:pt idx="202">
                  <c:v>0.15</c:v>
                </c:pt>
                <c:pt idx="203">
                  <c:v>0.15</c:v>
                </c:pt>
                <c:pt idx="204">
                  <c:v>0.15</c:v>
                </c:pt>
                <c:pt idx="205">
                  <c:v>0.15</c:v>
                </c:pt>
                <c:pt idx="206">
                  <c:v>0.15</c:v>
                </c:pt>
                <c:pt idx="207">
                  <c:v>0.15</c:v>
                </c:pt>
                <c:pt idx="208">
                  <c:v>0.15</c:v>
                </c:pt>
                <c:pt idx="209">
                  <c:v>0.15</c:v>
                </c:pt>
                <c:pt idx="210">
                  <c:v>0.15</c:v>
                </c:pt>
                <c:pt idx="211">
                  <c:v>0.15</c:v>
                </c:pt>
                <c:pt idx="212">
                  <c:v>0.15</c:v>
                </c:pt>
                <c:pt idx="213">
                  <c:v>0.15</c:v>
                </c:pt>
                <c:pt idx="214">
                  <c:v>0.15</c:v>
                </c:pt>
                <c:pt idx="215">
                  <c:v>0.15</c:v>
                </c:pt>
                <c:pt idx="216">
                  <c:v>0.15</c:v>
                </c:pt>
                <c:pt idx="217">
                  <c:v>0.15</c:v>
                </c:pt>
                <c:pt idx="218">
                  <c:v>0.15</c:v>
                </c:pt>
                <c:pt idx="219">
                  <c:v>0.15</c:v>
                </c:pt>
                <c:pt idx="220">
                  <c:v>0.15</c:v>
                </c:pt>
                <c:pt idx="221">
                  <c:v>0.15</c:v>
                </c:pt>
                <c:pt idx="222">
                  <c:v>0.15</c:v>
                </c:pt>
                <c:pt idx="223">
                  <c:v>0.15</c:v>
                </c:pt>
                <c:pt idx="224">
                  <c:v>0.15</c:v>
                </c:pt>
                <c:pt idx="225">
                  <c:v>0.15</c:v>
                </c:pt>
                <c:pt idx="226">
                  <c:v>0.15</c:v>
                </c:pt>
                <c:pt idx="227">
                  <c:v>0.15</c:v>
                </c:pt>
                <c:pt idx="228">
                  <c:v>0.15</c:v>
                </c:pt>
                <c:pt idx="229">
                  <c:v>0.15</c:v>
                </c:pt>
                <c:pt idx="230">
                  <c:v>0.15</c:v>
                </c:pt>
                <c:pt idx="231">
                  <c:v>0.15</c:v>
                </c:pt>
                <c:pt idx="232">
                  <c:v>0.15</c:v>
                </c:pt>
                <c:pt idx="233">
                  <c:v>0.15</c:v>
                </c:pt>
                <c:pt idx="234">
                  <c:v>0.15</c:v>
                </c:pt>
                <c:pt idx="235">
                  <c:v>0.15</c:v>
                </c:pt>
                <c:pt idx="236">
                  <c:v>0.15</c:v>
                </c:pt>
                <c:pt idx="237">
                  <c:v>0.15</c:v>
                </c:pt>
                <c:pt idx="238">
                  <c:v>0.15</c:v>
                </c:pt>
                <c:pt idx="239">
                  <c:v>0.15</c:v>
                </c:pt>
                <c:pt idx="240">
                  <c:v>0.15</c:v>
                </c:pt>
                <c:pt idx="241">
                  <c:v>0.15</c:v>
                </c:pt>
                <c:pt idx="242">
                  <c:v>0.15</c:v>
                </c:pt>
                <c:pt idx="243">
                  <c:v>0.15</c:v>
                </c:pt>
                <c:pt idx="244">
                  <c:v>0.15</c:v>
                </c:pt>
                <c:pt idx="245">
                  <c:v>0.15</c:v>
                </c:pt>
                <c:pt idx="246">
                  <c:v>0.15</c:v>
                </c:pt>
                <c:pt idx="247">
                  <c:v>0.15</c:v>
                </c:pt>
                <c:pt idx="248">
                  <c:v>0.15</c:v>
                </c:pt>
                <c:pt idx="249">
                  <c:v>0.15</c:v>
                </c:pt>
                <c:pt idx="250">
                  <c:v>0.15</c:v>
                </c:pt>
                <c:pt idx="251">
                  <c:v>0.15</c:v>
                </c:pt>
                <c:pt idx="252">
                  <c:v>0.15</c:v>
                </c:pt>
                <c:pt idx="253">
                  <c:v>0.15</c:v>
                </c:pt>
                <c:pt idx="254">
                  <c:v>0.15</c:v>
                </c:pt>
                <c:pt idx="255">
                  <c:v>0.15</c:v>
                </c:pt>
                <c:pt idx="256">
                  <c:v>0.15</c:v>
                </c:pt>
                <c:pt idx="257">
                  <c:v>0.15</c:v>
                </c:pt>
                <c:pt idx="258">
                  <c:v>0.15</c:v>
                </c:pt>
                <c:pt idx="259">
                  <c:v>0.15</c:v>
                </c:pt>
                <c:pt idx="260">
                  <c:v>0.15</c:v>
                </c:pt>
                <c:pt idx="261">
                  <c:v>0.15</c:v>
                </c:pt>
                <c:pt idx="262">
                  <c:v>0.15</c:v>
                </c:pt>
                <c:pt idx="263">
                  <c:v>0.15</c:v>
                </c:pt>
                <c:pt idx="264">
                  <c:v>0.15</c:v>
                </c:pt>
                <c:pt idx="265">
                  <c:v>0.15</c:v>
                </c:pt>
                <c:pt idx="266">
                  <c:v>0.15</c:v>
                </c:pt>
                <c:pt idx="267">
                  <c:v>0.15</c:v>
                </c:pt>
                <c:pt idx="268">
                  <c:v>0.15</c:v>
                </c:pt>
                <c:pt idx="269">
                  <c:v>0.15</c:v>
                </c:pt>
                <c:pt idx="270">
                  <c:v>0.15</c:v>
                </c:pt>
                <c:pt idx="271">
                  <c:v>0.15</c:v>
                </c:pt>
                <c:pt idx="272">
                  <c:v>0.15</c:v>
                </c:pt>
                <c:pt idx="273">
                  <c:v>0.15</c:v>
                </c:pt>
                <c:pt idx="274">
                  <c:v>0.15</c:v>
                </c:pt>
                <c:pt idx="275">
                  <c:v>0.15</c:v>
                </c:pt>
                <c:pt idx="276">
                  <c:v>0.15</c:v>
                </c:pt>
                <c:pt idx="277">
                  <c:v>0.15</c:v>
                </c:pt>
                <c:pt idx="278">
                  <c:v>0.15</c:v>
                </c:pt>
                <c:pt idx="279">
                  <c:v>0.15</c:v>
                </c:pt>
                <c:pt idx="280">
                  <c:v>0.15</c:v>
                </c:pt>
                <c:pt idx="281">
                  <c:v>0.15</c:v>
                </c:pt>
                <c:pt idx="282">
                  <c:v>0.15</c:v>
                </c:pt>
                <c:pt idx="283">
                  <c:v>0.15</c:v>
                </c:pt>
                <c:pt idx="284">
                  <c:v>0.15</c:v>
                </c:pt>
                <c:pt idx="285">
                  <c:v>0.15</c:v>
                </c:pt>
                <c:pt idx="286">
                  <c:v>0.15</c:v>
                </c:pt>
                <c:pt idx="287">
                  <c:v>0.15</c:v>
                </c:pt>
                <c:pt idx="288">
                  <c:v>0.15</c:v>
                </c:pt>
                <c:pt idx="289">
                  <c:v>0.15</c:v>
                </c:pt>
                <c:pt idx="290">
                  <c:v>0.15</c:v>
                </c:pt>
                <c:pt idx="291">
                  <c:v>0.15</c:v>
                </c:pt>
                <c:pt idx="292">
                  <c:v>0.15</c:v>
                </c:pt>
                <c:pt idx="293">
                  <c:v>0.15</c:v>
                </c:pt>
                <c:pt idx="294">
                  <c:v>0.15</c:v>
                </c:pt>
                <c:pt idx="295">
                  <c:v>0.15</c:v>
                </c:pt>
                <c:pt idx="296">
                  <c:v>0.15</c:v>
                </c:pt>
                <c:pt idx="297">
                  <c:v>0.15</c:v>
                </c:pt>
                <c:pt idx="298">
                  <c:v>0.15</c:v>
                </c:pt>
                <c:pt idx="299">
                  <c:v>0.15</c:v>
                </c:pt>
                <c:pt idx="300">
                  <c:v>0.15</c:v>
                </c:pt>
                <c:pt idx="301">
                  <c:v>0.15</c:v>
                </c:pt>
                <c:pt idx="302">
                  <c:v>0.15</c:v>
                </c:pt>
                <c:pt idx="303">
                  <c:v>0.15</c:v>
                </c:pt>
                <c:pt idx="304">
                  <c:v>0.15</c:v>
                </c:pt>
                <c:pt idx="305">
                  <c:v>0.15</c:v>
                </c:pt>
                <c:pt idx="306">
                  <c:v>0.15</c:v>
                </c:pt>
                <c:pt idx="307">
                  <c:v>0.15</c:v>
                </c:pt>
                <c:pt idx="308">
                  <c:v>0.15</c:v>
                </c:pt>
                <c:pt idx="309">
                  <c:v>0.15</c:v>
                </c:pt>
                <c:pt idx="310">
                  <c:v>0.15</c:v>
                </c:pt>
                <c:pt idx="311">
                  <c:v>0.15</c:v>
                </c:pt>
                <c:pt idx="312">
                  <c:v>0.15</c:v>
                </c:pt>
                <c:pt idx="313">
                  <c:v>0.15</c:v>
                </c:pt>
                <c:pt idx="314">
                  <c:v>0.15</c:v>
                </c:pt>
                <c:pt idx="315">
                  <c:v>0.15</c:v>
                </c:pt>
                <c:pt idx="316">
                  <c:v>0.15</c:v>
                </c:pt>
                <c:pt idx="317">
                  <c:v>0.15</c:v>
                </c:pt>
                <c:pt idx="318">
                  <c:v>0.15</c:v>
                </c:pt>
                <c:pt idx="319">
                  <c:v>0.15</c:v>
                </c:pt>
                <c:pt idx="320">
                  <c:v>0.15</c:v>
                </c:pt>
                <c:pt idx="321">
                  <c:v>0.15</c:v>
                </c:pt>
                <c:pt idx="322">
                  <c:v>0.15</c:v>
                </c:pt>
                <c:pt idx="323">
                  <c:v>0.15</c:v>
                </c:pt>
                <c:pt idx="324">
                  <c:v>0.15</c:v>
                </c:pt>
                <c:pt idx="325">
                  <c:v>0.15</c:v>
                </c:pt>
                <c:pt idx="326">
                  <c:v>0.15</c:v>
                </c:pt>
                <c:pt idx="327">
                  <c:v>0.15</c:v>
                </c:pt>
                <c:pt idx="328">
                  <c:v>0.15</c:v>
                </c:pt>
                <c:pt idx="329">
                  <c:v>0.15</c:v>
                </c:pt>
                <c:pt idx="330">
                  <c:v>0.15</c:v>
                </c:pt>
                <c:pt idx="331">
                  <c:v>0.15</c:v>
                </c:pt>
                <c:pt idx="332">
                  <c:v>0.15</c:v>
                </c:pt>
                <c:pt idx="333">
                  <c:v>0.15</c:v>
                </c:pt>
                <c:pt idx="334">
                  <c:v>0.15</c:v>
                </c:pt>
                <c:pt idx="335">
                  <c:v>0.15</c:v>
                </c:pt>
                <c:pt idx="336">
                  <c:v>0.15</c:v>
                </c:pt>
                <c:pt idx="337">
                  <c:v>0.15</c:v>
                </c:pt>
                <c:pt idx="338">
                  <c:v>0.15</c:v>
                </c:pt>
                <c:pt idx="339">
                  <c:v>0.15</c:v>
                </c:pt>
                <c:pt idx="340">
                  <c:v>0.15</c:v>
                </c:pt>
                <c:pt idx="341">
                  <c:v>0.15</c:v>
                </c:pt>
                <c:pt idx="342">
                  <c:v>0.15</c:v>
                </c:pt>
                <c:pt idx="343">
                  <c:v>0.15</c:v>
                </c:pt>
                <c:pt idx="344">
                  <c:v>0.15</c:v>
                </c:pt>
                <c:pt idx="345">
                  <c:v>0.15</c:v>
                </c:pt>
                <c:pt idx="346">
                  <c:v>0.15</c:v>
                </c:pt>
                <c:pt idx="347">
                  <c:v>0.15</c:v>
                </c:pt>
                <c:pt idx="348">
                  <c:v>0.15</c:v>
                </c:pt>
                <c:pt idx="349">
                  <c:v>0.15</c:v>
                </c:pt>
                <c:pt idx="350">
                  <c:v>0.15</c:v>
                </c:pt>
                <c:pt idx="351">
                  <c:v>0.15</c:v>
                </c:pt>
                <c:pt idx="352">
                  <c:v>0.15</c:v>
                </c:pt>
                <c:pt idx="353">
                  <c:v>0.15</c:v>
                </c:pt>
                <c:pt idx="354">
                  <c:v>0.15</c:v>
                </c:pt>
                <c:pt idx="355">
                  <c:v>0.15</c:v>
                </c:pt>
                <c:pt idx="356">
                  <c:v>0.15</c:v>
                </c:pt>
                <c:pt idx="357">
                  <c:v>0.15</c:v>
                </c:pt>
                <c:pt idx="358">
                  <c:v>0.15</c:v>
                </c:pt>
                <c:pt idx="359">
                  <c:v>0.15</c:v>
                </c:pt>
                <c:pt idx="360">
                  <c:v>0.15</c:v>
                </c:pt>
                <c:pt idx="361">
                  <c:v>0.15</c:v>
                </c:pt>
                <c:pt idx="362">
                  <c:v>0.15</c:v>
                </c:pt>
                <c:pt idx="363">
                  <c:v>0.15</c:v>
                </c:pt>
                <c:pt idx="364">
                  <c:v>0.15</c:v>
                </c:pt>
                <c:pt idx="365">
                  <c:v>0.15</c:v>
                </c:pt>
                <c:pt idx="366">
                  <c:v>0.15</c:v>
                </c:pt>
                <c:pt idx="367">
                  <c:v>0.15</c:v>
                </c:pt>
                <c:pt idx="368">
                  <c:v>0.15</c:v>
                </c:pt>
                <c:pt idx="369">
                  <c:v>0.15</c:v>
                </c:pt>
                <c:pt idx="370">
                  <c:v>0.15</c:v>
                </c:pt>
                <c:pt idx="371">
                  <c:v>0.15</c:v>
                </c:pt>
                <c:pt idx="372">
                  <c:v>0.15</c:v>
                </c:pt>
                <c:pt idx="373">
                  <c:v>0.15</c:v>
                </c:pt>
                <c:pt idx="374">
                  <c:v>0.15</c:v>
                </c:pt>
                <c:pt idx="375">
                  <c:v>0.15</c:v>
                </c:pt>
                <c:pt idx="376">
                  <c:v>0.15</c:v>
                </c:pt>
                <c:pt idx="377">
                  <c:v>0.15</c:v>
                </c:pt>
                <c:pt idx="378">
                  <c:v>0.15</c:v>
                </c:pt>
                <c:pt idx="379">
                  <c:v>0.15</c:v>
                </c:pt>
                <c:pt idx="380">
                  <c:v>0.15</c:v>
                </c:pt>
                <c:pt idx="381">
                  <c:v>0.15</c:v>
                </c:pt>
                <c:pt idx="382">
                  <c:v>0.15</c:v>
                </c:pt>
                <c:pt idx="383">
                  <c:v>0.15</c:v>
                </c:pt>
                <c:pt idx="384">
                  <c:v>0.15</c:v>
                </c:pt>
                <c:pt idx="385">
                  <c:v>0.15</c:v>
                </c:pt>
                <c:pt idx="386">
                  <c:v>0.15</c:v>
                </c:pt>
                <c:pt idx="387">
                  <c:v>0.15</c:v>
                </c:pt>
                <c:pt idx="388">
                  <c:v>0.15</c:v>
                </c:pt>
                <c:pt idx="389">
                  <c:v>0.15</c:v>
                </c:pt>
                <c:pt idx="390">
                  <c:v>0.15</c:v>
                </c:pt>
                <c:pt idx="391">
                  <c:v>0.15</c:v>
                </c:pt>
                <c:pt idx="392">
                  <c:v>0.15</c:v>
                </c:pt>
                <c:pt idx="393">
                  <c:v>0.15</c:v>
                </c:pt>
                <c:pt idx="394">
                  <c:v>0.15</c:v>
                </c:pt>
                <c:pt idx="395">
                  <c:v>0.15</c:v>
                </c:pt>
                <c:pt idx="396">
                  <c:v>0.15</c:v>
                </c:pt>
                <c:pt idx="397">
                  <c:v>0.15</c:v>
                </c:pt>
                <c:pt idx="398">
                  <c:v>0.15</c:v>
                </c:pt>
                <c:pt idx="399">
                  <c:v>0.15</c:v>
                </c:pt>
                <c:pt idx="400">
                  <c:v>0.15</c:v>
                </c:pt>
                <c:pt idx="401">
                  <c:v>0.15</c:v>
                </c:pt>
                <c:pt idx="402">
                  <c:v>0.15</c:v>
                </c:pt>
                <c:pt idx="403">
                  <c:v>0.15</c:v>
                </c:pt>
                <c:pt idx="404">
                  <c:v>0.15</c:v>
                </c:pt>
                <c:pt idx="405">
                  <c:v>0.15</c:v>
                </c:pt>
                <c:pt idx="406">
                  <c:v>0.15</c:v>
                </c:pt>
                <c:pt idx="407">
                  <c:v>0.15</c:v>
                </c:pt>
                <c:pt idx="408">
                  <c:v>0.15</c:v>
                </c:pt>
                <c:pt idx="409">
                  <c:v>0.15</c:v>
                </c:pt>
                <c:pt idx="410">
                  <c:v>0.15</c:v>
                </c:pt>
                <c:pt idx="411">
                  <c:v>0.15</c:v>
                </c:pt>
                <c:pt idx="412">
                  <c:v>0.15</c:v>
                </c:pt>
                <c:pt idx="413">
                  <c:v>0.15</c:v>
                </c:pt>
                <c:pt idx="414">
                  <c:v>0.15</c:v>
                </c:pt>
                <c:pt idx="415">
                  <c:v>0.15</c:v>
                </c:pt>
                <c:pt idx="416">
                  <c:v>0.15</c:v>
                </c:pt>
                <c:pt idx="417">
                  <c:v>0.15</c:v>
                </c:pt>
                <c:pt idx="418">
                  <c:v>0.15</c:v>
                </c:pt>
                <c:pt idx="419">
                  <c:v>0.15</c:v>
                </c:pt>
                <c:pt idx="420">
                  <c:v>0.15</c:v>
                </c:pt>
                <c:pt idx="421">
                  <c:v>0.15</c:v>
                </c:pt>
                <c:pt idx="422">
                  <c:v>0.15</c:v>
                </c:pt>
                <c:pt idx="423">
                  <c:v>0.15</c:v>
                </c:pt>
                <c:pt idx="424">
                  <c:v>0.15</c:v>
                </c:pt>
                <c:pt idx="425">
                  <c:v>0.15</c:v>
                </c:pt>
                <c:pt idx="426">
                  <c:v>0.15</c:v>
                </c:pt>
                <c:pt idx="427">
                  <c:v>0.15</c:v>
                </c:pt>
                <c:pt idx="428">
                  <c:v>0.15</c:v>
                </c:pt>
                <c:pt idx="429">
                  <c:v>0.15</c:v>
                </c:pt>
                <c:pt idx="430">
                  <c:v>0.15</c:v>
                </c:pt>
                <c:pt idx="431">
                  <c:v>0.15</c:v>
                </c:pt>
                <c:pt idx="432">
                  <c:v>0.15</c:v>
                </c:pt>
                <c:pt idx="433">
                  <c:v>0.15</c:v>
                </c:pt>
                <c:pt idx="434">
                  <c:v>0.15</c:v>
                </c:pt>
                <c:pt idx="435">
                  <c:v>0.15</c:v>
                </c:pt>
                <c:pt idx="436">
                  <c:v>0.15</c:v>
                </c:pt>
                <c:pt idx="437">
                  <c:v>0.15</c:v>
                </c:pt>
                <c:pt idx="438">
                  <c:v>0.15</c:v>
                </c:pt>
                <c:pt idx="439">
                  <c:v>0.15</c:v>
                </c:pt>
                <c:pt idx="440">
                  <c:v>0.15</c:v>
                </c:pt>
                <c:pt idx="441">
                  <c:v>0.15</c:v>
                </c:pt>
                <c:pt idx="442">
                  <c:v>0.15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0.15</c:v>
                </c:pt>
                <c:pt idx="447">
                  <c:v>0.15</c:v>
                </c:pt>
                <c:pt idx="448">
                  <c:v>0.15</c:v>
                </c:pt>
                <c:pt idx="449">
                  <c:v>0.15</c:v>
                </c:pt>
                <c:pt idx="450">
                  <c:v>0.15</c:v>
                </c:pt>
                <c:pt idx="451">
                  <c:v>0.15</c:v>
                </c:pt>
                <c:pt idx="452">
                  <c:v>0.15</c:v>
                </c:pt>
                <c:pt idx="453">
                  <c:v>0.15</c:v>
                </c:pt>
                <c:pt idx="454">
                  <c:v>0.15</c:v>
                </c:pt>
                <c:pt idx="455">
                  <c:v>0.15</c:v>
                </c:pt>
                <c:pt idx="456">
                  <c:v>0.15</c:v>
                </c:pt>
                <c:pt idx="457">
                  <c:v>0.15</c:v>
                </c:pt>
                <c:pt idx="458">
                  <c:v>0.15</c:v>
                </c:pt>
                <c:pt idx="459">
                  <c:v>0.15</c:v>
                </c:pt>
                <c:pt idx="460">
                  <c:v>0.15</c:v>
                </c:pt>
                <c:pt idx="461">
                  <c:v>0.15</c:v>
                </c:pt>
                <c:pt idx="462">
                  <c:v>0.15</c:v>
                </c:pt>
                <c:pt idx="463">
                  <c:v>0.15</c:v>
                </c:pt>
                <c:pt idx="464">
                  <c:v>0.15</c:v>
                </c:pt>
                <c:pt idx="465">
                  <c:v>0.15</c:v>
                </c:pt>
                <c:pt idx="466">
                  <c:v>0.15</c:v>
                </c:pt>
                <c:pt idx="467">
                  <c:v>0.15</c:v>
                </c:pt>
                <c:pt idx="468">
                  <c:v>0.15</c:v>
                </c:pt>
                <c:pt idx="469">
                  <c:v>0.15</c:v>
                </c:pt>
                <c:pt idx="470">
                  <c:v>0.15</c:v>
                </c:pt>
                <c:pt idx="471">
                  <c:v>0.15</c:v>
                </c:pt>
                <c:pt idx="472">
                  <c:v>0.15</c:v>
                </c:pt>
                <c:pt idx="473">
                  <c:v>0.15</c:v>
                </c:pt>
                <c:pt idx="474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F4-4826-BF45-B24EAABC4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3800511"/>
        <c:axId val="8138009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ASSETS!$I$18</c15:sqref>
                        </c15:formulaRef>
                      </c:ext>
                    </c:extLst>
                    <c:strCache>
                      <c:ptCount val="1"/>
                      <c:pt idx="0">
                        <c:v> Fitness 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ASSETS!$C$19:$C$493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7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ASSETS!$I$19:$I$493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475"/>
                      <c:pt idx="0">
                        <c:v>1</c:v>
                      </c:pt>
                      <c:pt idx="1">
                        <c:v>0.76923076923076927</c:v>
                      </c:pt>
                      <c:pt idx="2">
                        <c:v>0.8</c:v>
                      </c:pt>
                      <c:pt idx="3">
                        <c:v>0.84615384615384615</c:v>
                      </c:pt>
                      <c:pt idx="4">
                        <c:v>0.8571428571428571</c:v>
                      </c:pt>
                      <c:pt idx="5">
                        <c:v>0.875</c:v>
                      </c:pt>
                      <c:pt idx="6">
                        <c:v>0.87878787878787878</c:v>
                      </c:pt>
                      <c:pt idx="7">
                        <c:v>0.83333333333333337</c:v>
                      </c:pt>
                      <c:pt idx="8">
                        <c:v>0.8</c:v>
                      </c:pt>
                      <c:pt idx="9">
                        <c:v>0.8</c:v>
                      </c:pt>
                      <c:pt idx="10">
                        <c:v>0.77777777777777779</c:v>
                      </c:pt>
                      <c:pt idx="11">
                        <c:v>0.80851063829787229</c:v>
                      </c:pt>
                      <c:pt idx="12">
                        <c:v>0.80851063829787229</c:v>
                      </c:pt>
                      <c:pt idx="13">
                        <c:v>0.80851063829787229</c:v>
                      </c:pt>
                      <c:pt idx="14">
                        <c:v>0.78723404255319152</c:v>
                      </c:pt>
                      <c:pt idx="15">
                        <c:v>0.82978723404255317</c:v>
                      </c:pt>
                      <c:pt idx="16">
                        <c:v>0.78723404255319152</c:v>
                      </c:pt>
                      <c:pt idx="17">
                        <c:v>0.78723404255319152</c:v>
                      </c:pt>
                      <c:pt idx="18">
                        <c:v>0.78723404255319152</c:v>
                      </c:pt>
                      <c:pt idx="19">
                        <c:v>0.77551020408163263</c:v>
                      </c:pt>
                      <c:pt idx="20">
                        <c:v>0.79591836734693877</c:v>
                      </c:pt>
                      <c:pt idx="21">
                        <c:v>0.76</c:v>
                      </c:pt>
                      <c:pt idx="22">
                        <c:v>0.78</c:v>
                      </c:pt>
                      <c:pt idx="23">
                        <c:v>0.75</c:v>
                      </c:pt>
                      <c:pt idx="24">
                        <c:v>0.75</c:v>
                      </c:pt>
                      <c:pt idx="25">
                        <c:v>0.74509803921568629</c:v>
                      </c:pt>
                      <c:pt idx="26">
                        <c:v>0.73076923076923073</c:v>
                      </c:pt>
                      <c:pt idx="27">
                        <c:v>0.69811320754716977</c:v>
                      </c:pt>
                      <c:pt idx="28">
                        <c:v>0.67924528301886788</c:v>
                      </c:pt>
                      <c:pt idx="29">
                        <c:v>0.67924528301886788</c:v>
                      </c:pt>
                      <c:pt idx="30">
                        <c:v>0.68518518518518523</c:v>
                      </c:pt>
                      <c:pt idx="31">
                        <c:v>0.70175438596491224</c:v>
                      </c:pt>
                      <c:pt idx="32">
                        <c:v>0.68421052631578949</c:v>
                      </c:pt>
                      <c:pt idx="33">
                        <c:v>0.66666666666666663</c:v>
                      </c:pt>
                      <c:pt idx="34">
                        <c:v>0.66666666666666663</c:v>
                      </c:pt>
                      <c:pt idx="35">
                        <c:v>0.68421052631578949</c:v>
                      </c:pt>
                      <c:pt idx="36">
                        <c:v>0.68421052631578949</c:v>
                      </c:pt>
                      <c:pt idx="37">
                        <c:v>0.6785714285714286</c:v>
                      </c:pt>
                      <c:pt idx="38">
                        <c:v>0.6785714285714286</c:v>
                      </c:pt>
                      <c:pt idx="39">
                        <c:v>0.68421052631578949</c:v>
                      </c:pt>
                      <c:pt idx="40">
                        <c:v>0.66666666666666663</c:v>
                      </c:pt>
                      <c:pt idx="41">
                        <c:v>0.68421052631578949</c:v>
                      </c:pt>
                      <c:pt idx="42">
                        <c:v>0.66666666666666663</c:v>
                      </c:pt>
                      <c:pt idx="43">
                        <c:v>0.68965517241379315</c:v>
                      </c:pt>
                      <c:pt idx="44">
                        <c:v>0.64516129032258063</c:v>
                      </c:pt>
                      <c:pt idx="45">
                        <c:v>0.66666666666666663</c:v>
                      </c:pt>
                      <c:pt idx="46">
                        <c:v>0.66153846153846152</c:v>
                      </c:pt>
                      <c:pt idx="47">
                        <c:v>0.66153846153846152</c:v>
                      </c:pt>
                      <c:pt idx="48">
                        <c:v>0.64615384615384619</c:v>
                      </c:pt>
                      <c:pt idx="49">
                        <c:v>0.64615384615384619</c:v>
                      </c:pt>
                      <c:pt idx="50">
                        <c:v>0.61538461538461542</c:v>
                      </c:pt>
                      <c:pt idx="51">
                        <c:v>0.58461538461538465</c:v>
                      </c:pt>
                      <c:pt idx="52">
                        <c:v>0.58461538461538465</c:v>
                      </c:pt>
                      <c:pt idx="53">
                        <c:v>0.58461538461538465</c:v>
                      </c:pt>
                      <c:pt idx="54">
                        <c:v>0.61538461538461542</c:v>
                      </c:pt>
                      <c:pt idx="55">
                        <c:v>0.63492063492063489</c:v>
                      </c:pt>
                      <c:pt idx="56">
                        <c:v>0.63492063492063489</c:v>
                      </c:pt>
                      <c:pt idx="57">
                        <c:v>0.609375</c:v>
                      </c:pt>
                      <c:pt idx="58">
                        <c:v>0.609375</c:v>
                      </c:pt>
                      <c:pt idx="59">
                        <c:v>0.625</c:v>
                      </c:pt>
                      <c:pt idx="60">
                        <c:v>0.640625</c:v>
                      </c:pt>
                      <c:pt idx="61">
                        <c:v>0.65079365079365081</c:v>
                      </c:pt>
                      <c:pt idx="62">
                        <c:v>0.65079365079365081</c:v>
                      </c:pt>
                      <c:pt idx="63">
                        <c:v>0.66129032258064513</c:v>
                      </c:pt>
                      <c:pt idx="64">
                        <c:v>0.62295081967213117</c:v>
                      </c:pt>
                      <c:pt idx="65">
                        <c:v>0.65573770491803274</c:v>
                      </c:pt>
                      <c:pt idx="66">
                        <c:v>0.65573770491803274</c:v>
                      </c:pt>
                      <c:pt idx="67">
                        <c:v>0.68333333333333335</c:v>
                      </c:pt>
                      <c:pt idx="68">
                        <c:v>0.68852459016393441</c:v>
                      </c:pt>
                      <c:pt idx="69">
                        <c:v>0.7</c:v>
                      </c:pt>
                      <c:pt idx="70">
                        <c:v>0.68333333333333335</c:v>
                      </c:pt>
                      <c:pt idx="71">
                        <c:v>0.7</c:v>
                      </c:pt>
                      <c:pt idx="72">
                        <c:v>0.71666666666666667</c:v>
                      </c:pt>
                      <c:pt idx="73">
                        <c:v>0.71186440677966101</c:v>
                      </c:pt>
                      <c:pt idx="74">
                        <c:v>0.75438596491228072</c:v>
                      </c:pt>
                      <c:pt idx="75">
                        <c:v>0.7068965517241379</c:v>
                      </c:pt>
                      <c:pt idx="76">
                        <c:v>0.73684210526315785</c:v>
                      </c:pt>
                      <c:pt idx="77">
                        <c:v>0.7321428571428571</c:v>
                      </c:pt>
                      <c:pt idx="78">
                        <c:v>0.7192982456140351</c:v>
                      </c:pt>
                      <c:pt idx="79">
                        <c:v>0.7321428571428571</c:v>
                      </c:pt>
                      <c:pt idx="80">
                        <c:v>0.75</c:v>
                      </c:pt>
                      <c:pt idx="81">
                        <c:v>0.75</c:v>
                      </c:pt>
                      <c:pt idx="82">
                        <c:v>0.72727272727272729</c:v>
                      </c:pt>
                      <c:pt idx="83">
                        <c:v>0.7142857142857143</c:v>
                      </c:pt>
                      <c:pt idx="84">
                        <c:v>0.7321428571428571</c:v>
                      </c:pt>
                      <c:pt idx="85">
                        <c:v>0.72413793103448276</c:v>
                      </c:pt>
                      <c:pt idx="86">
                        <c:v>0.72413793103448276</c:v>
                      </c:pt>
                      <c:pt idx="87">
                        <c:v>0.72413793103448276</c:v>
                      </c:pt>
                      <c:pt idx="88">
                        <c:v>0.6964285714285714</c:v>
                      </c:pt>
                      <c:pt idx="89">
                        <c:v>0.6964285714285714</c:v>
                      </c:pt>
                      <c:pt idx="90">
                        <c:v>0.6964285714285714</c:v>
                      </c:pt>
                      <c:pt idx="91">
                        <c:v>0.6785714285714286</c:v>
                      </c:pt>
                      <c:pt idx="92">
                        <c:v>0.6607142857142857</c:v>
                      </c:pt>
                      <c:pt idx="93">
                        <c:v>0.6271186440677966</c:v>
                      </c:pt>
                      <c:pt idx="94">
                        <c:v>0.62903225806451613</c:v>
                      </c:pt>
                      <c:pt idx="95">
                        <c:v>0.62295081967213117</c:v>
                      </c:pt>
                      <c:pt idx="96">
                        <c:v>0.66666666666666663</c:v>
                      </c:pt>
                      <c:pt idx="97">
                        <c:v>0.65</c:v>
                      </c:pt>
                      <c:pt idx="98">
                        <c:v>0.64516129032258063</c:v>
                      </c:pt>
                      <c:pt idx="99">
                        <c:v>0.65079365079365081</c:v>
                      </c:pt>
                      <c:pt idx="100">
                        <c:v>0.67213114754098358</c:v>
                      </c:pt>
                      <c:pt idx="101">
                        <c:v>0.65573770491803274</c:v>
                      </c:pt>
                      <c:pt idx="102">
                        <c:v>0.66666666666666663</c:v>
                      </c:pt>
                      <c:pt idx="103">
                        <c:v>0.66666666666666663</c:v>
                      </c:pt>
                      <c:pt idx="104">
                        <c:v>0.66666666666666663</c:v>
                      </c:pt>
                      <c:pt idx="105">
                        <c:v>0.671875</c:v>
                      </c:pt>
                      <c:pt idx="106">
                        <c:v>0.671875</c:v>
                      </c:pt>
                      <c:pt idx="107">
                        <c:v>0.671875</c:v>
                      </c:pt>
                      <c:pt idx="108">
                        <c:v>0.66666666666666663</c:v>
                      </c:pt>
                      <c:pt idx="109">
                        <c:v>0.69354838709677424</c:v>
                      </c:pt>
                      <c:pt idx="110">
                        <c:v>0.67213114754098358</c:v>
                      </c:pt>
                      <c:pt idx="111">
                        <c:v>0.66129032258064513</c:v>
                      </c:pt>
                      <c:pt idx="112">
                        <c:v>0.66129032258064513</c:v>
                      </c:pt>
                      <c:pt idx="113">
                        <c:v>0.66129032258064513</c:v>
                      </c:pt>
                      <c:pt idx="114">
                        <c:v>0.68852459016393441</c:v>
                      </c:pt>
                      <c:pt idx="115">
                        <c:v>0.66666666666666663</c:v>
                      </c:pt>
                      <c:pt idx="116">
                        <c:v>0.68333333333333335</c:v>
                      </c:pt>
                      <c:pt idx="117">
                        <c:v>0.67213114754098358</c:v>
                      </c:pt>
                      <c:pt idx="118">
                        <c:v>0.68333333333333335</c:v>
                      </c:pt>
                      <c:pt idx="119">
                        <c:v>0.66666666666666663</c:v>
                      </c:pt>
                      <c:pt idx="120">
                        <c:v>0.64516129032258063</c:v>
                      </c:pt>
                      <c:pt idx="121">
                        <c:v>0.66129032258064513</c:v>
                      </c:pt>
                      <c:pt idx="122">
                        <c:v>0.66129032258064513</c:v>
                      </c:pt>
                      <c:pt idx="123">
                        <c:v>0.64516129032258063</c:v>
                      </c:pt>
                      <c:pt idx="124">
                        <c:v>0.67213114754098358</c:v>
                      </c:pt>
                      <c:pt idx="125">
                        <c:v>0.66666666666666663</c:v>
                      </c:pt>
                      <c:pt idx="126">
                        <c:v>0.66666666666666663</c:v>
                      </c:pt>
                      <c:pt idx="127">
                        <c:v>0.66666666666666663</c:v>
                      </c:pt>
                      <c:pt idx="128">
                        <c:v>0.73333333333333328</c:v>
                      </c:pt>
                      <c:pt idx="129">
                        <c:v>0.71186440677966101</c:v>
                      </c:pt>
                      <c:pt idx="130">
                        <c:v>0.71186440677966101</c:v>
                      </c:pt>
                      <c:pt idx="131">
                        <c:v>0.69491525423728817</c:v>
                      </c:pt>
                      <c:pt idx="132">
                        <c:v>0.67241379310344829</c:v>
                      </c:pt>
                      <c:pt idx="133">
                        <c:v>0.66666666666666663</c:v>
                      </c:pt>
                      <c:pt idx="134">
                        <c:v>0.66666666666666663</c:v>
                      </c:pt>
                      <c:pt idx="135">
                        <c:v>0.66666666666666663</c:v>
                      </c:pt>
                      <c:pt idx="136">
                        <c:v>0.65</c:v>
                      </c:pt>
                      <c:pt idx="137">
                        <c:v>0.66666666666666663</c:v>
                      </c:pt>
                      <c:pt idx="138">
                        <c:v>0.66666666666666663</c:v>
                      </c:pt>
                      <c:pt idx="139">
                        <c:v>0.65</c:v>
                      </c:pt>
                      <c:pt idx="140">
                        <c:v>0.66666666666666663</c:v>
                      </c:pt>
                      <c:pt idx="141">
                        <c:v>0.63934426229508201</c:v>
                      </c:pt>
                      <c:pt idx="142">
                        <c:v>0.65573770491803274</c:v>
                      </c:pt>
                      <c:pt idx="143">
                        <c:v>0.63934426229508201</c:v>
                      </c:pt>
                      <c:pt idx="144">
                        <c:v>0.62295081967213117</c:v>
                      </c:pt>
                      <c:pt idx="145">
                        <c:v>0.62295081967213117</c:v>
                      </c:pt>
                      <c:pt idx="146">
                        <c:v>0.62295081967213117</c:v>
                      </c:pt>
                      <c:pt idx="147">
                        <c:v>0.64406779661016944</c:v>
                      </c:pt>
                      <c:pt idx="148">
                        <c:v>0.70909090909090911</c:v>
                      </c:pt>
                      <c:pt idx="149">
                        <c:v>0.65454545454545454</c:v>
                      </c:pt>
                      <c:pt idx="150">
                        <c:v>0.65454545454545454</c:v>
                      </c:pt>
                      <c:pt idx="151">
                        <c:v>0.66666666666666663</c:v>
                      </c:pt>
                      <c:pt idx="152">
                        <c:v>0.66666666666666663</c:v>
                      </c:pt>
                      <c:pt idx="153">
                        <c:v>0.66666666666666663</c:v>
                      </c:pt>
                      <c:pt idx="154">
                        <c:v>0.65517241379310343</c:v>
                      </c:pt>
                      <c:pt idx="155">
                        <c:v>0.64406779661016944</c:v>
                      </c:pt>
                      <c:pt idx="156">
                        <c:v>0.66101694915254239</c:v>
                      </c:pt>
                      <c:pt idx="157">
                        <c:v>0.67213114754098358</c:v>
                      </c:pt>
                      <c:pt idx="158">
                        <c:v>0.67741935483870963</c:v>
                      </c:pt>
                      <c:pt idx="159">
                        <c:v>0.67741935483870963</c:v>
                      </c:pt>
                      <c:pt idx="160">
                        <c:v>0.67741935483870963</c:v>
                      </c:pt>
                      <c:pt idx="161">
                        <c:v>0.66129032258064513</c:v>
                      </c:pt>
                      <c:pt idx="162">
                        <c:v>0.68333333333333335</c:v>
                      </c:pt>
                      <c:pt idx="163">
                        <c:v>0.67213114754098358</c:v>
                      </c:pt>
                      <c:pt idx="164">
                        <c:v>0.68852459016393441</c:v>
                      </c:pt>
                      <c:pt idx="165">
                        <c:v>0.7</c:v>
                      </c:pt>
                      <c:pt idx="166">
                        <c:v>0.69491525423728817</c:v>
                      </c:pt>
                      <c:pt idx="167">
                        <c:v>0.69491525423728817</c:v>
                      </c:pt>
                      <c:pt idx="168">
                        <c:v>0.7068965517241379</c:v>
                      </c:pt>
                      <c:pt idx="169">
                        <c:v>0.71186440677966101</c:v>
                      </c:pt>
                      <c:pt idx="170">
                        <c:v>0.69491525423728817</c:v>
                      </c:pt>
                      <c:pt idx="171">
                        <c:v>0.68333333333333335</c:v>
                      </c:pt>
                      <c:pt idx="172">
                        <c:v>0.71186440677966101</c:v>
                      </c:pt>
                      <c:pt idx="173">
                        <c:v>0.69491525423728817</c:v>
                      </c:pt>
                      <c:pt idx="174">
                        <c:v>0.71186440677966101</c:v>
                      </c:pt>
                      <c:pt idx="175">
                        <c:v>0.7192982456140351</c:v>
                      </c:pt>
                      <c:pt idx="176">
                        <c:v>0.69491525423728817</c:v>
                      </c:pt>
                      <c:pt idx="177">
                        <c:v>0.74576271186440679</c:v>
                      </c:pt>
                      <c:pt idx="178">
                        <c:v>0.7068965517241379</c:v>
                      </c:pt>
                      <c:pt idx="179">
                        <c:v>0.72413793103448276</c:v>
                      </c:pt>
                      <c:pt idx="180">
                        <c:v>0.75</c:v>
                      </c:pt>
                      <c:pt idx="181">
                        <c:v>0.75</c:v>
                      </c:pt>
                      <c:pt idx="182">
                        <c:v>0.74137931034482762</c:v>
                      </c:pt>
                      <c:pt idx="183">
                        <c:v>0.73684210526315785</c:v>
                      </c:pt>
                      <c:pt idx="184">
                        <c:v>0.7321428571428571</c:v>
                      </c:pt>
                      <c:pt idx="185">
                        <c:v>0.7142857142857143</c:v>
                      </c:pt>
                      <c:pt idx="186">
                        <c:v>0.70909090909090911</c:v>
                      </c:pt>
                      <c:pt idx="187">
                        <c:v>0.72727272727272729</c:v>
                      </c:pt>
                      <c:pt idx="188">
                        <c:v>0.7068965517241379</c:v>
                      </c:pt>
                      <c:pt idx="189">
                        <c:v>0.7068965517241379</c:v>
                      </c:pt>
                      <c:pt idx="190">
                        <c:v>0.7068965517241379</c:v>
                      </c:pt>
                      <c:pt idx="191">
                        <c:v>0.69491525423728817</c:v>
                      </c:pt>
                      <c:pt idx="192">
                        <c:v>0.68333333333333335</c:v>
                      </c:pt>
                      <c:pt idx="193">
                        <c:v>0.70491803278688525</c:v>
                      </c:pt>
                      <c:pt idx="194">
                        <c:v>0.68852459016393441</c:v>
                      </c:pt>
                      <c:pt idx="195">
                        <c:v>0.70491803278688525</c:v>
                      </c:pt>
                      <c:pt idx="196">
                        <c:v>0.70491803278688525</c:v>
                      </c:pt>
                      <c:pt idx="197">
                        <c:v>0.7</c:v>
                      </c:pt>
                      <c:pt idx="198">
                        <c:v>0.7</c:v>
                      </c:pt>
                      <c:pt idx="199">
                        <c:v>0.7</c:v>
                      </c:pt>
                      <c:pt idx="200">
                        <c:v>0.69354838709677424</c:v>
                      </c:pt>
                      <c:pt idx="201">
                        <c:v>0.68253968253968256</c:v>
                      </c:pt>
                      <c:pt idx="202">
                        <c:v>0.68253968253968256</c:v>
                      </c:pt>
                      <c:pt idx="203">
                        <c:v>0.68253968253968256</c:v>
                      </c:pt>
                      <c:pt idx="204">
                        <c:v>0.67741935483870963</c:v>
                      </c:pt>
                      <c:pt idx="205">
                        <c:v>0.65079365079365081</c:v>
                      </c:pt>
                      <c:pt idx="206">
                        <c:v>0.65079365079365081</c:v>
                      </c:pt>
                      <c:pt idx="207">
                        <c:v>0.65079365079365081</c:v>
                      </c:pt>
                      <c:pt idx="208">
                        <c:v>0.65079365079365081</c:v>
                      </c:pt>
                      <c:pt idx="209">
                        <c:v>0.65079365079365081</c:v>
                      </c:pt>
                      <c:pt idx="210">
                        <c:v>0.65079365079365081</c:v>
                      </c:pt>
                      <c:pt idx="211">
                        <c:v>0.640625</c:v>
                      </c:pt>
                      <c:pt idx="212">
                        <c:v>0.64615384615384619</c:v>
                      </c:pt>
                      <c:pt idx="213">
                        <c:v>0.63636363636363635</c:v>
                      </c:pt>
                      <c:pt idx="214">
                        <c:v>0.63636363636363635</c:v>
                      </c:pt>
                      <c:pt idx="215">
                        <c:v>0.63076923076923075</c:v>
                      </c:pt>
                      <c:pt idx="216">
                        <c:v>0.63076923076923075</c:v>
                      </c:pt>
                      <c:pt idx="217">
                        <c:v>0.64615384615384619</c:v>
                      </c:pt>
                      <c:pt idx="218">
                        <c:v>0.64615384615384619</c:v>
                      </c:pt>
                      <c:pt idx="219">
                        <c:v>0.65625</c:v>
                      </c:pt>
                      <c:pt idx="220">
                        <c:v>0.65625</c:v>
                      </c:pt>
                      <c:pt idx="221">
                        <c:v>0.65625</c:v>
                      </c:pt>
                      <c:pt idx="222">
                        <c:v>0.67741935483870963</c:v>
                      </c:pt>
                      <c:pt idx="223">
                        <c:v>0.67213114754098358</c:v>
                      </c:pt>
                      <c:pt idx="224">
                        <c:v>0.65573770491803274</c:v>
                      </c:pt>
                      <c:pt idx="225">
                        <c:v>0.65573770491803274</c:v>
                      </c:pt>
                      <c:pt idx="226">
                        <c:v>0.66101694915254239</c:v>
                      </c:pt>
                      <c:pt idx="227">
                        <c:v>0.66666666666666663</c:v>
                      </c:pt>
                      <c:pt idx="228">
                        <c:v>0.65517241379310343</c:v>
                      </c:pt>
                      <c:pt idx="229">
                        <c:v>0.65517241379310343</c:v>
                      </c:pt>
                      <c:pt idx="230">
                        <c:v>0.65517241379310343</c:v>
                      </c:pt>
                      <c:pt idx="231">
                        <c:v>0.65517241379310343</c:v>
                      </c:pt>
                      <c:pt idx="232">
                        <c:v>0.68965517241379315</c:v>
                      </c:pt>
                      <c:pt idx="233">
                        <c:v>0.6785714285714286</c:v>
                      </c:pt>
                      <c:pt idx="234">
                        <c:v>0.70909090909090911</c:v>
                      </c:pt>
                      <c:pt idx="235">
                        <c:v>0.70909090909090911</c:v>
                      </c:pt>
                      <c:pt idx="236">
                        <c:v>0.7142857142857143</c:v>
                      </c:pt>
                      <c:pt idx="237">
                        <c:v>0.7592592592592593</c:v>
                      </c:pt>
                      <c:pt idx="238">
                        <c:v>0.79245283018867929</c:v>
                      </c:pt>
                      <c:pt idx="239">
                        <c:v>0.77777777777777779</c:v>
                      </c:pt>
                      <c:pt idx="240">
                        <c:v>0.77358490566037741</c:v>
                      </c:pt>
                      <c:pt idx="241">
                        <c:v>0.75471698113207553</c:v>
                      </c:pt>
                      <c:pt idx="242">
                        <c:v>0.75471698113207553</c:v>
                      </c:pt>
                      <c:pt idx="243">
                        <c:v>0.7407407407407407</c:v>
                      </c:pt>
                      <c:pt idx="244">
                        <c:v>0.71698113207547165</c:v>
                      </c:pt>
                      <c:pt idx="245">
                        <c:v>0.71698113207547165</c:v>
                      </c:pt>
                      <c:pt idx="246">
                        <c:v>0.69811320754716977</c:v>
                      </c:pt>
                      <c:pt idx="247">
                        <c:v>0.68518518518518523</c:v>
                      </c:pt>
                      <c:pt idx="248">
                        <c:v>0.68518518518518523</c:v>
                      </c:pt>
                      <c:pt idx="249">
                        <c:v>0.70370370370370372</c:v>
                      </c:pt>
                      <c:pt idx="250">
                        <c:v>0.68518518518518523</c:v>
                      </c:pt>
                      <c:pt idx="251">
                        <c:v>0.69811320754716977</c:v>
                      </c:pt>
                      <c:pt idx="252">
                        <c:v>0.6785714285714286</c:v>
                      </c:pt>
                      <c:pt idx="253">
                        <c:v>0.68421052631578949</c:v>
                      </c:pt>
                      <c:pt idx="254">
                        <c:v>0.66101694915254239</c:v>
                      </c:pt>
                      <c:pt idx="255">
                        <c:v>0.64406779661016944</c:v>
                      </c:pt>
                      <c:pt idx="256">
                        <c:v>0.64406779661016944</c:v>
                      </c:pt>
                      <c:pt idx="257">
                        <c:v>0.64406779661016944</c:v>
                      </c:pt>
                      <c:pt idx="258">
                        <c:v>0.6271186440677966</c:v>
                      </c:pt>
                      <c:pt idx="259">
                        <c:v>0.6271186440677966</c:v>
                      </c:pt>
                      <c:pt idx="260">
                        <c:v>0.6271186440677966</c:v>
                      </c:pt>
                      <c:pt idx="261">
                        <c:v>0.6271186440677966</c:v>
                      </c:pt>
                      <c:pt idx="262">
                        <c:v>0.67241379310344829</c:v>
                      </c:pt>
                      <c:pt idx="263">
                        <c:v>0.66666666666666663</c:v>
                      </c:pt>
                      <c:pt idx="264">
                        <c:v>0.6428571428571429</c:v>
                      </c:pt>
                      <c:pt idx="265">
                        <c:v>0.625</c:v>
                      </c:pt>
                      <c:pt idx="266">
                        <c:v>0.625</c:v>
                      </c:pt>
                      <c:pt idx="267">
                        <c:v>0.61403508771929827</c:v>
                      </c:pt>
                      <c:pt idx="268">
                        <c:v>0.625</c:v>
                      </c:pt>
                      <c:pt idx="269">
                        <c:v>0.625</c:v>
                      </c:pt>
                      <c:pt idx="270">
                        <c:v>0.625</c:v>
                      </c:pt>
                      <c:pt idx="271">
                        <c:v>0.625</c:v>
                      </c:pt>
                      <c:pt idx="272">
                        <c:v>0.63157894736842102</c:v>
                      </c:pt>
                      <c:pt idx="273">
                        <c:v>0.62068965517241381</c:v>
                      </c:pt>
                      <c:pt idx="274">
                        <c:v>0.60344827586206895</c:v>
                      </c:pt>
                      <c:pt idx="275">
                        <c:v>0.61016949152542377</c:v>
                      </c:pt>
                      <c:pt idx="276">
                        <c:v>0.61016949152542377</c:v>
                      </c:pt>
                      <c:pt idx="277">
                        <c:v>0.61016949152542377</c:v>
                      </c:pt>
                      <c:pt idx="278">
                        <c:v>0.6166666666666667</c:v>
                      </c:pt>
                      <c:pt idx="279">
                        <c:v>0.6271186440677966</c:v>
                      </c:pt>
                      <c:pt idx="280">
                        <c:v>0.6271186440677966</c:v>
                      </c:pt>
                      <c:pt idx="281">
                        <c:v>0.62068965517241381</c:v>
                      </c:pt>
                      <c:pt idx="282">
                        <c:v>0.60344827586206895</c:v>
                      </c:pt>
                      <c:pt idx="283">
                        <c:v>0.61403508771929827</c:v>
                      </c:pt>
                      <c:pt idx="284">
                        <c:v>0.61403508771929827</c:v>
                      </c:pt>
                      <c:pt idx="285">
                        <c:v>0.60344827586206895</c:v>
                      </c:pt>
                      <c:pt idx="286">
                        <c:v>0.60344827586206895</c:v>
                      </c:pt>
                      <c:pt idx="287">
                        <c:v>0.60344827586206895</c:v>
                      </c:pt>
                      <c:pt idx="288">
                        <c:v>0.60344827586206895</c:v>
                      </c:pt>
                      <c:pt idx="289">
                        <c:v>0.6071428571428571</c:v>
                      </c:pt>
                      <c:pt idx="290">
                        <c:v>0.6071428571428571</c:v>
                      </c:pt>
                      <c:pt idx="291">
                        <c:v>0.6071428571428571</c:v>
                      </c:pt>
                      <c:pt idx="292">
                        <c:v>0.6071428571428571</c:v>
                      </c:pt>
                      <c:pt idx="293">
                        <c:v>0.625</c:v>
                      </c:pt>
                      <c:pt idx="294">
                        <c:v>0.6071428571428571</c:v>
                      </c:pt>
                      <c:pt idx="295">
                        <c:v>0.6071428571428571</c:v>
                      </c:pt>
                      <c:pt idx="296">
                        <c:v>0.63157894736842102</c:v>
                      </c:pt>
                      <c:pt idx="297">
                        <c:v>0.6607142857142857</c:v>
                      </c:pt>
                      <c:pt idx="298">
                        <c:v>0.6607142857142857</c:v>
                      </c:pt>
                      <c:pt idx="299">
                        <c:v>0.6071428571428571</c:v>
                      </c:pt>
                      <c:pt idx="300">
                        <c:v>0.57894736842105265</c:v>
                      </c:pt>
                      <c:pt idx="301">
                        <c:v>0.57894736842105265</c:v>
                      </c:pt>
                      <c:pt idx="302">
                        <c:v>0.57894736842105265</c:v>
                      </c:pt>
                      <c:pt idx="303">
                        <c:v>0.59649122807017541</c:v>
                      </c:pt>
                      <c:pt idx="304">
                        <c:v>0.59649122807017541</c:v>
                      </c:pt>
                      <c:pt idx="305">
                        <c:v>0.59649122807017541</c:v>
                      </c:pt>
                      <c:pt idx="306">
                        <c:v>0.6071428571428571</c:v>
                      </c:pt>
                      <c:pt idx="307">
                        <c:v>0.59649122807017541</c:v>
                      </c:pt>
                      <c:pt idx="308">
                        <c:v>0.59649122807017541</c:v>
                      </c:pt>
                      <c:pt idx="309">
                        <c:v>0.61403508771929827</c:v>
                      </c:pt>
                      <c:pt idx="310">
                        <c:v>0.61403508771929827</c:v>
                      </c:pt>
                      <c:pt idx="311">
                        <c:v>0.60344827586206895</c:v>
                      </c:pt>
                      <c:pt idx="312">
                        <c:v>0.61016949152542377</c:v>
                      </c:pt>
                      <c:pt idx="313">
                        <c:v>0.60344827586206895</c:v>
                      </c:pt>
                      <c:pt idx="314">
                        <c:v>0.64912280701754388</c:v>
                      </c:pt>
                      <c:pt idx="315">
                        <c:v>0.63157894736842102</c:v>
                      </c:pt>
                      <c:pt idx="316">
                        <c:v>0.64912280701754388</c:v>
                      </c:pt>
                      <c:pt idx="317">
                        <c:v>0.63157894736842102</c:v>
                      </c:pt>
                      <c:pt idx="318">
                        <c:v>0.63157894736842102</c:v>
                      </c:pt>
                      <c:pt idx="319">
                        <c:v>0.62068965517241381</c:v>
                      </c:pt>
                      <c:pt idx="320">
                        <c:v>0.62068965517241381</c:v>
                      </c:pt>
                      <c:pt idx="321">
                        <c:v>0.61016949152542377</c:v>
                      </c:pt>
                      <c:pt idx="322">
                        <c:v>0.65</c:v>
                      </c:pt>
                      <c:pt idx="323">
                        <c:v>0.62295081967213117</c:v>
                      </c:pt>
                      <c:pt idx="324">
                        <c:v>0.60317460317460314</c:v>
                      </c:pt>
                      <c:pt idx="325">
                        <c:v>0.60317460317460314</c:v>
                      </c:pt>
                      <c:pt idx="326">
                        <c:v>0.625</c:v>
                      </c:pt>
                      <c:pt idx="327">
                        <c:v>0.59677419354838712</c:v>
                      </c:pt>
                      <c:pt idx="328">
                        <c:v>0.5714285714285714</c:v>
                      </c:pt>
                      <c:pt idx="329">
                        <c:v>0.5714285714285714</c:v>
                      </c:pt>
                      <c:pt idx="330">
                        <c:v>0.59677419354838712</c:v>
                      </c:pt>
                      <c:pt idx="331">
                        <c:v>0.59677419354838712</c:v>
                      </c:pt>
                      <c:pt idx="332">
                        <c:v>0.59677419354838712</c:v>
                      </c:pt>
                      <c:pt idx="333">
                        <c:v>0.6</c:v>
                      </c:pt>
                      <c:pt idx="334">
                        <c:v>0.60655737704918034</c:v>
                      </c:pt>
                      <c:pt idx="335">
                        <c:v>0.60655737704918034</c:v>
                      </c:pt>
                      <c:pt idx="336">
                        <c:v>0.61016949152542377</c:v>
                      </c:pt>
                      <c:pt idx="337">
                        <c:v>0.6166666666666667</c:v>
                      </c:pt>
                      <c:pt idx="338">
                        <c:v>0.64912280701754388</c:v>
                      </c:pt>
                      <c:pt idx="339">
                        <c:v>0.6271186440677966</c:v>
                      </c:pt>
                      <c:pt idx="340">
                        <c:v>0.6271186440677966</c:v>
                      </c:pt>
                      <c:pt idx="341">
                        <c:v>0.6271186440677966</c:v>
                      </c:pt>
                      <c:pt idx="342">
                        <c:v>0.6166666666666667</c:v>
                      </c:pt>
                      <c:pt idx="343">
                        <c:v>0.60317460317460314</c:v>
                      </c:pt>
                      <c:pt idx="344">
                        <c:v>0.61290322580645162</c:v>
                      </c:pt>
                      <c:pt idx="345">
                        <c:v>0.62295081967213117</c:v>
                      </c:pt>
                      <c:pt idx="346">
                        <c:v>0.61904761904761907</c:v>
                      </c:pt>
                      <c:pt idx="347">
                        <c:v>0.61904761904761907</c:v>
                      </c:pt>
                      <c:pt idx="348">
                        <c:v>0.60317460317460314</c:v>
                      </c:pt>
                      <c:pt idx="349">
                        <c:v>0.61290322580645162</c:v>
                      </c:pt>
                      <c:pt idx="350">
                        <c:v>0.5901639344262295</c:v>
                      </c:pt>
                      <c:pt idx="351">
                        <c:v>0.61290322580645162</c:v>
                      </c:pt>
                      <c:pt idx="352">
                        <c:v>0.61290322580645162</c:v>
                      </c:pt>
                      <c:pt idx="353">
                        <c:v>0.60317460317460314</c:v>
                      </c:pt>
                      <c:pt idx="354">
                        <c:v>0.6</c:v>
                      </c:pt>
                      <c:pt idx="355">
                        <c:v>0.59375</c:v>
                      </c:pt>
                      <c:pt idx="356">
                        <c:v>0.60317460317460314</c:v>
                      </c:pt>
                      <c:pt idx="357">
                        <c:v>0.59375</c:v>
                      </c:pt>
                      <c:pt idx="358">
                        <c:v>0.578125</c:v>
                      </c:pt>
                      <c:pt idx="359">
                        <c:v>0.58730158730158732</c:v>
                      </c:pt>
                      <c:pt idx="360">
                        <c:v>0.58461538461538465</c:v>
                      </c:pt>
                      <c:pt idx="361">
                        <c:v>0.5757575757575758</c:v>
                      </c:pt>
                      <c:pt idx="362">
                        <c:v>0.5757575757575758</c:v>
                      </c:pt>
                      <c:pt idx="363">
                        <c:v>0.61194029850746268</c:v>
                      </c:pt>
                      <c:pt idx="364">
                        <c:v>0.59701492537313428</c:v>
                      </c:pt>
                      <c:pt idx="365">
                        <c:v>0.58208955223880599</c:v>
                      </c:pt>
                      <c:pt idx="366">
                        <c:v>0.58208955223880599</c:v>
                      </c:pt>
                      <c:pt idx="367">
                        <c:v>0.61194029850746268</c:v>
                      </c:pt>
                      <c:pt idx="368">
                        <c:v>0.62121212121212122</c:v>
                      </c:pt>
                      <c:pt idx="369">
                        <c:v>0.61538461538461542</c:v>
                      </c:pt>
                      <c:pt idx="370">
                        <c:v>0.63492063492063489</c:v>
                      </c:pt>
                      <c:pt idx="371">
                        <c:v>0.61904761904761907</c:v>
                      </c:pt>
                      <c:pt idx="372">
                        <c:v>0.61290322580645162</c:v>
                      </c:pt>
                      <c:pt idx="373">
                        <c:v>0.63934426229508201</c:v>
                      </c:pt>
                      <c:pt idx="374">
                        <c:v>0.63934426229508201</c:v>
                      </c:pt>
                      <c:pt idx="375">
                        <c:v>0.63934426229508201</c:v>
                      </c:pt>
                      <c:pt idx="376">
                        <c:v>0.63934426229508201</c:v>
                      </c:pt>
                      <c:pt idx="377">
                        <c:v>0.66101694915254239</c:v>
                      </c:pt>
                      <c:pt idx="378">
                        <c:v>0.65</c:v>
                      </c:pt>
                      <c:pt idx="379">
                        <c:v>0.66666666666666663</c:v>
                      </c:pt>
                      <c:pt idx="380">
                        <c:v>0.66101694915254239</c:v>
                      </c:pt>
                      <c:pt idx="381">
                        <c:v>0.66101694915254239</c:v>
                      </c:pt>
                      <c:pt idx="382">
                        <c:v>0.67796610169491522</c:v>
                      </c:pt>
                      <c:pt idx="383">
                        <c:v>0.68333333333333335</c:v>
                      </c:pt>
                      <c:pt idx="384">
                        <c:v>0.68333333333333335</c:v>
                      </c:pt>
                      <c:pt idx="385">
                        <c:v>0.7</c:v>
                      </c:pt>
                      <c:pt idx="386">
                        <c:v>0.7</c:v>
                      </c:pt>
                      <c:pt idx="387">
                        <c:v>0.68333333333333335</c:v>
                      </c:pt>
                      <c:pt idx="388">
                        <c:v>0.67796610169491522</c:v>
                      </c:pt>
                      <c:pt idx="389">
                        <c:v>0.68852459016393441</c:v>
                      </c:pt>
                      <c:pt idx="390">
                        <c:v>0.68333333333333335</c:v>
                      </c:pt>
                      <c:pt idx="391">
                        <c:v>0.67796610169491522</c:v>
                      </c:pt>
                      <c:pt idx="392">
                        <c:v>0.68965517241379315</c:v>
                      </c:pt>
                      <c:pt idx="393">
                        <c:v>0.66101694915254239</c:v>
                      </c:pt>
                      <c:pt idx="394">
                        <c:v>0.66101694915254239</c:v>
                      </c:pt>
                      <c:pt idx="395">
                        <c:v>0.66101694915254239</c:v>
                      </c:pt>
                      <c:pt idx="396">
                        <c:v>0.67796610169491522</c:v>
                      </c:pt>
                      <c:pt idx="397">
                        <c:v>0.68965517241379315</c:v>
                      </c:pt>
                      <c:pt idx="398">
                        <c:v>0.68333333333333335</c:v>
                      </c:pt>
                      <c:pt idx="399">
                        <c:v>0.64516129032258063</c:v>
                      </c:pt>
                      <c:pt idx="400">
                        <c:v>0.625</c:v>
                      </c:pt>
                      <c:pt idx="401">
                        <c:v>0.63076923076923075</c:v>
                      </c:pt>
                      <c:pt idx="402">
                        <c:v>0.62121212121212122</c:v>
                      </c:pt>
                      <c:pt idx="403">
                        <c:v>0.62121212121212122</c:v>
                      </c:pt>
                      <c:pt idx="404">
                        <c:v>0.61538461538461542</c:v>
                      </c:pt>
                      <c:pt idx="405">
                        <c:v>0.63076923076923075</c:v>
                      </c:pt>
                      <c:pt idx="406">
                        <c:v>0.64615384615384619</c:v>
                      </c:pt>
                      <c:pt idx="407">
                        <c:v>0.63636363636363635</c:v>
                      </c:pt>
                      <c:pt idx="408">
                        <c:v>0.65151515151515149</c:v>
                      </c:pt>
                      <c:pt idx="409">
                        <c:v>0.609375</c:v>
                      </c:pt>
                      <c:pt idx="410">
                        <c:v>0.61538461538461542</c:v>
                      </c:pt>
                      <c:pt idx="411">
                        <c:v>0.61538461538461542</c:v>
                      </c:pt>
                      <c:pt idx="412">
                        <c:v>0.609375</c:v>
                      </c:pt>
                      <c:pt idx="413">
                        <c:v>0.625</c:v>
                      </c:pt>
                      <c:pt idx="414">
                        <c:v>0.640625</c:v>
                      </c:pt>
                      <c:pt idx="415">
                        <c:v>0.625</c:v>
                      </c:pt>
                      <c:pt idx="416">
                        <c:v>0.625</c:v>
                      </c:pt>
                      <c:pt idx="417">
                        <c:v>0.625</c:v>
                      </c:pt>
                      <c:pt idx="418">
                        <c:v>0.625</c:v>
                      </c:pt>
                      <c:pt idx="419">
                        <c:v>0.625</c:v>
                      </c:pt>
                      <c:pt idx="420">
                        <c:v>0.625</c:v>
                      </c:pt>
                      <c:pt idx="421">
                        <c:v>0.60317460317460314</c:v>
                      </c:pt>
                      <c:pt idx="422">
                        <c:v>0.609375</c:v>
                      </c:pt>
                      <c:pt idx="423">
                        <c:v>0.609375</c:v>
                      </c:pt>
                      <c:pt idx="424">
                        <c:v>0.609375</c:v>
                      </c:pt>
                      <c:pt idx="425">
                        <c:v>0.625</c:v>
                      </c:pt>
                      <c:pt idx="426">
                        <c:v>0.625</c:v>
                      </c:pt>
                      <c:pt idx="427">
                        <c:v>0.65625</c:v>
                      </c:pt>
                      <c:pt idx="428">
                        <c:v>0.671875</c:v>
                      </c:pt>
                      <c:pt idx="429">
                        <c:v>0.625</c:v>
                      </c:pt>
                      <c:pt idx="430">
                        <c:v>0.65625</c:v>
                      </c:pt>
                      <c:pt idx="431">
                        <c:v>0.640625</c:v>
                      </c:pt>
                      <c:pt idx="432">
                        <c:v>0.59090909090909094</c:v>
                      </c:pt>
                      <c:pt idx="433">
                        <c:v>0.62121212121212122</c:v>
                      </c:pt>
                      <c:pt idx="434">
                        <c:v>0.62121212121212122</c:v>
                      </c:pt>
                      <c:pt idx="435">
                        <c:v>0.63636363636363635</c:v>
                      </c:pt>
                      <c:pt idx="436">
                        <c:v>0.64615384615384619</c:v>
                      </c:pt>
                      <c:pt idx="437">
                        <c:v>0.66129032258064513</c:v>
                      </c:pt>
                      <c:pt idx="438">
                        <c:v>0.66129032258064513</c:v>
                      </c:pt>
                      <c:pt idx="439">
                        <c:v>0.66129032258064513</c:v>
                      </c:pt>
                      <c:pt idx="440">
                        <c:v>0.67213114754098358</c:v>
                      </c:pt>
                      <c:pt idx="441">
                        <c:v>0.67213114754098358</c:v>
                      </c:pt>
                      <c:pt idx="442">
                        <c:v>0.67213114754098358</c:v>
                      </c:pt>
                      <c:pt idx="443">
                        <c:v>0.68333333333333335</c:v>
                      </c:pt>
                      <c:pt idx="444">
                        <c:v>0.68852459016393441</c:v>
                      </c:pt>
                      <c:pt idx="445">
                        <c:v>0.68852459016393441</c:v>
                      </c:pt>
                      <c:pt idx="446">
                        <c:v>0.68852459016393441</c:v>
                      </c:pt>
                      <c:pt idx="447">
                        <c:v>0.68852459016393441</c:v>
                      </c:pt>
                      <c:pt idx="448">
                        <c:v>0.67213114754098358</c:v>
                      </c:pt>
                      <c:pt idx="449">
                        <c:v>0.70491803278688525</c:v>
                      </c:pt>
                      <c:pt idx="450">
                        <c:v>0.70491803278688525</c:v>
                      </c:pt>
                      <c:pt idx="451">
                        <c:v>0.69354838709677424</c:v>
                      </c:pt>
                      <c:pt idx="452">
                        <c:v>0.66129032258064513</c:v>
                      </c:pt>
                      <c:pt idx="453">
                        <c:v>0.69841269841269837</c:v>
                      </c:pt>
                      <c:pt idx="454">
                        <c:v>0.69841269841269837</c:v>
                      </c:pt>
                      <c:pt idx="455">
                        <c:v>0.67692307692307696</c:v>
                      </c:pt>
                      <c:pt idx="456">
                        <c:v>0.67692307692307696</c:v>
                      </c:pt>
                      <c:pt idx="457">
                        <c:v>0.67692307692307696</c:v>
                      </c:pt>
                      <c:pt idx="458">
                        <c:v>0.69230769230769229</c:v>
                      </c:pt>
                      <c:pt idx="459">
                        <c:v>0.703125</c:v>
                      </c:pt>
                      <c:pt idx="460">
                        <c:v>0.6875</c:v>
                      </c:pt>
                      <c:pt idx="461">
                        <c:v>0.70967741935483875</c:v>
                      </c:pt>
                      <c:pt idx="462">
                        <c:v>0.70967741935483875</c:v>
                      </c:pt>
                      <c:pt idx="463">
                        <c:v>0.72131147540983609</c:v>
                      </c:pt>
                      <c:pt idx="464">
                        <c:v>0.70967741935483875</c:v>
                      </c:pt>
                      <c:pt idx="465">
                        <c:v>0.70967741935483875</c:v>
                      </c:pt>
                      <c:pt idx="466">
                        <c:v>0.70967741935483875</c:v>
                      </c:pt>
                      <c:pt idx="467">
                        <c:v>0.70967741935483875</c:v>
                      </c:pt>
                      <c:pt idx="468">
                        <c:v>0.72580645161290325</c:v>
                      </c:pt>
                      <c:pt idx="469">
                        <c:v>0.72580645161290325</c:v>
                      </c:pt>
                      <c:pt idx="470">
                        <c:v>0.72580645161290325</c:v>
                      </c:pt>
                      <c:pt idx="471">
                        <c:v>0.69841269841269837</c:v>
                      </c:pt>
                      <c:pt idx="472">
                        <c:v>0.7142857142857143</c:v>
                      </c:pt>
                      <c:pt idx="473">
                        <c:v>0.7142857142857143</c:v>
                      </c:pt>
                      <c:pt idx="474">
                        <c:v>0.71875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F4-4826-BF45-B24EAABC4F6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ASSETS!$J$18</c15:sqref>
                        </c15:formulaRef>
                      </c:ext>
                    </c:extLst>
                    <c:strCache>
                      <c:ptCount val="1"/>
                      <c:pt idx="0">
                        <c:v> Precision 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ASSETS!$C$19:$C$493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7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ASSETS!$J$19:$J$493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475"/>
                      <c:pt idx="0">
                        <c:v>0.93142857142857149</c:v>
                      </c:pt>
                      <c:pt idx="1">
                        <c:v>0.95714285714285718</c:v>
                      </c:pt>
                      <c:pt idx="2">
                        <c:v>0.96374999999999988</c:v>
                      </c:pt>
                      <c:pt idx="3">
                        <c:v>0.97375000000000012</c:v>
                      </c:pt>
                      <c:pt idx="4">
                        <c:v>0.98</c:v>
                      </c:pt>
                      <c:pt idx="5">
                        <c:v>0.97000000000000008</c:v>
                      </c:pt>
                      <c:pt idx="6">
                        <c:v>0.88769230769230778</c:v>
                      </c:pt>
                      <c:pt idx="7">
                        <c:v>0.8961538461538463</c:v>
                      </c:pt>
                      <c:pt idx="8">
                        <c:v>0.84266666666666667</c:v>
                      </c:pt>
                      <c:pt idx="9">
                        <c:v>0.97142857142857142</c:v>
                      </c:pt>
                      <c:pt idx="10">
                        <c:v>0.96562500000000007</c:v>
                      </c:pt>
                      <c:pt idx="11">
                        <c:v>0.97133333333333338</c:v>
                      </c:pt>
                      <c:pt idx="12">
                        <c:v>0.91312500000000008</c:v>
                      </c:pt>
                      <c:pt idx="13">
                        <c:v>0.91764705882352937</c:v>
                      </c:pt>
                      <c:pt idx="14">
                        <c:v>0.92176470588235282</c:v>
                      </c:pt>
                      <c:pt idx="15">
                        <c:v>0.92666666666666664</c:v>
                      </c:pt>
                      <c:pt idx="16">
                        <c:v>0.9277777777777777</c:v>
                      </c:pt>
                      <c:pt idx="17">
                        <c:v>0.92833333333333334</c:v>
                      </c:pt>
                      <c:pt idx="18">
                        <c:v>0.92736842105263162</c:v>
                      </c:pt>
                      <c:pt idx="19">
                        <c:v>0.98333333333333361</c:v>
                      </c:pt>
                      <c:pt idx="20">
                        <c:v>0.98466666666666691</c:v>
                      </c:pt>
                      <c:pt idx="21">
                        <c:v>0.98466666666666691</c:v>
                      </c:pt>
                      <c:pt idx="22">
                        <c:v>0.98533333333333351</c:v>
                      </c:pt>
                      <c:pt idx="23">
                        <c:v>0.98466666666666691</c:v>
                      </c:pt>
                      <c:pt idx="24">
                        <c:v>0.98466666666666691</c:v>
                      </c:pt>
                      <c:pt idx="25">
                        <c:v>0.98533333333333351</c:v>
                      </c:pt>
                      <c:pt idx="26">
                        <c:v>0.98533333333333351</c:v>
                      </c:pt>
                      <c:pt idx="27">
                        <c:v>0.9826666666666668</c:v>
                      </c:pt>
                      <c:pt idx="28">
                        <c:v>0.98187500000000005</c:v>
                      </c:pt>
                      <c:pt idx="29">
                        <c:v>0.98125000000000018</c:v>
                      </c:pt>
                      <c:pt idx="30">
                        <c:v>0.9764705882352942</c:v>
                      </c:pt>
                      <c:pt idx="31">
                        <c:v>0.97882352941176454</c:v>
                      </c:pt>
                      <c:pt idx="32">
                        <c:v>0.97941176470588232</c:v>
                      </c:pt>
                      <c:pt idx="33">
                        <c:v>0.97941176470588232</c:v>
                      </c:pt>
                      <c:pt idx="34">
                        <c:v>0.979375</c:v>
                      </c:pt>
                      <c:pt idx="35">
                        <c:v>0.9787499999999999</c:v>
                      </c:pt>
                      <c:pt idx="36">
                        <c:v>0.97812500000000002</c:v>
                      </c:pt>
                      <c:pt idx="37">
                        <c:v>0.98562500000000008</c:v>
                      </c:pt>
                      <c:pt idx="38">
                        <c:v>0.98062500000000008</c:v>
                      </c:pt>
                      <c:pt idx="39">
                        <c:v>0.92952380952380931</c:v>
                      </c:pt>
                      <c:pt idx="40">
                        <c:v>0.93095238095238086</c:v>
                      </c:pt>
                      <c:pt idx="41">
                        <c:v>0.93095238095238098</c:v>
                      </c:pt>
                      <c:pt idx="42">
                        <c:v>0.88913043478260856</c:v>
                      </c:pt>
                      <c:pt idx="43">
                        <c:v>0.88913043478260856</c:v>
                      </c:pt>
                      <c:pt idx="44">
                        <c:v>0.88884615384615373</c:v>
                      </c:pt>
                      <c:pt idx="45">
                        <c:v>0.8921428571428569</c:v>
                      </c:pt>
                      <c:pt idx="46">
                        <c:v>0.89222222222222192</c:v>
                      </c:pt>
                      <c:pt idx="47">
                        <c:v>0.89222222222222192</c:v>
                      </c:pt>
                      <c:pt idx="48">
                        <c:v>0.92653846153846131</c:v>
                      </c:pt>
                      <c:pt idx="49">
                        <c:v>0.92615384615384577</c:v>
                      </c:pt>
                      <c:pt idx="50">
                        <c:v>0.8887999999999997</c:v>
                      </c:pt>
                      <c:pt idx="51">
                        <c:v>0.88695652173913009</c:v>
                      </c:pt>
                      <c:pt idx="52">
                        <c:v>0.88739130434782576</c:v>
                      </c:pt>
                      <c:pt idx="53">
                        <c:v>0.88782608695652132</c:v>
                      </c:pt>
                      <c:pt idx="54">
                        <c:v>0.88959999999999961</c:v>
                      </c:pt>
                      <c:pt idx="55">
                        <c:v>0.8907999999999997</c:v>
                      </c:pt>
                      <c:pt idx="56">
                        <c:v>0.8907999999999997</c:v>
                      </c:pt>
                      <c:pt idx="57">
                        <c:v>0.89079999999999959</c:v>
                      </c:pt>
                      <c:pt idx="58">
                        <c:v>0.89159999999999973</c:v>
                      </c:pt>
                      <c:pt idx="59">
                        <c:v>0.89230769230769214</c:v>
                      </c:pt>
                      <c:pt idx="60">
                        <c:v>0.8914814814814811</c:v>
                      </c:pt>
                      <c:pt idx="61">
                        <c:v>0.89039999999999975</c:v>
                      </c:pt>
                      <c:pt idx="62">
                        <c:v>0.88958333333333306</c:v>
                      </c:pt>
                      <c:pt idx="63">
                        <c:v>0.88916666666666655</c:v>
                      </c:pt>
                      <c:pt idx="64">
                        <c:v>0.88999999999999968</c:v>
                      </c:pt>
                      <c:pt idx="65">
                        <c:v>0.89041666666666641</c:v>
                      </c:pt>
                      <c:pt idx="66">
                        <c:v>0.8907999999999997</c:v>
                      </c:pt>
                      <c:pt idx="67">
                        <c:v>0.89119999999999977</c:v>
                      </c:pt>
                      <c:pt idx="68">
                        <c:v>0.89153846153846128</c:v>
                      </c:pt>
                      <c:pt idx="69">
                        <c:v>0.89115384615384585</c:v>
                      </c:pt>
                      <c:pt idx="70">
                        <c:v>0.89192307692307671</c:v>
                      </c:pt>
                      <c:pt idx="71">
                        <c:v>0.89192307692307671</c:v>
                      </c:pt>
                      <c:pt idx="72">
                        <c:v>0.89407407407407391</c:v>
                      </c:pt>
                      <c:pt idx="73">
                        <c:v>0.89481481481481473</c:v>
                      </c:pt>
                      <c:pt idx="74">
                        <c:v>0.89592592592592579</c:v>
                      </c:pt>
                      <c:pt idx="75">
                        <c:v>0.89481481481481473</c:v>
                      </c:pt>
                      <c:pt idx="76">
                        <c:v>0.89481481481481473</c:v>
                      </c:pt>
                      <c:pt idx="77">
                        <c:v>0.89785714285714291</c:v>
                      </c:pt>
                      <c:pt idx="78">
                        <c:v>0.89777777777777756</c:v>
                      </c:pt>
                      <c:pt idx="79">
                        <c:v>0.89814814814814803</c:v>
                      </c:pt>
                      <c:pt idx="80">
                        <c:v>0.89928571428571413</c:v>
                      </c:pt>
                      <c:pt idx="81">
                        <c:v>0.89928571428571413</c:v>
                      </c:pt>
                      <c:pt idx="82">
                        <c:v>0.89888888888888874</c:v>
                      </c:pt>
                      <c:pt idx="83">
                        <c:v>0.89928571428571413</c:v>
                      </c:pt>
                      <c:pt idx="84">
                        <c:v>0.89862068965517228</c:v>
                      </c:pt>
                      <c:pt idx="85">
                        <c:v>0.89689655172413785</c:v>
                      </c:pt>
                      <c:pt idx="86">
                        <c:v>0.89724137931034487</c:v>
                      </c:pt>
                      <c:pt idx="87">
                        <c:v>0.89724137931034464</c:v>
                      </c:pt>
                      <c:pt idx="88">
                        <c:v>0.89571428571428557</c:v>
                      </c:pt>
                      <c:pt idx="89">
                        <c:v>0.89642857142857135</c:v>
                      </c:pt>
                      <c:pt idx="90">
                        <c:v>0.8978571428571428</c:v>
                      </c:pt>
                      <c:pt idx="91">
                        <c:v>0.89821428571428552</c:v>
                      </c:pt>
                      <c:pt idx="92">
                        <c:v>0.89857142857142847</c:v>
                      </c:pt>
                      <c:pt idx="93">
                        <c:v>0.89629629629629615</c:v>
                      </c:pt>
                      <c:pt idx="94">
                        <c:v>0.89296296296296263</c:v>
                      </c:pt>
                      <c:pt idx="95">
                        <c:v>0.8914814814814811</c:v>
                      </c:pt>
                      <c:pt idx="96">
                        <c:v>0.89074074074074039</c:v>
                      </c:pt>
                      <c:pt idx="97">
                        <c:v>0.89074074074074039</c:v>
                      </c:pt>
                      <c:pt idx="98">
                        <c:v>0.88652173913043453</c:v>
                      </c:pt>
                      <c:pt idx="99">
                        <c:v>0.88652173913043453</c:v>
                      </c:pt>
                      <c:pt idx="100">
                        <c:v>0.88652173913043464</c:v>
                      </c:pt>
                      <c:pt idx="101">
                        <c:v>0.88913043478260856</c:v>
                      </c:pt>
                      <c:pt idx="102">
                        <c:v>0.92849999999999988</c:v>
                      </c:pt>
                      <c:pt idx="103">
                        <c:v>0.92799999999999994</c:v>
                      </c:pt>
                      <c:pt idx="104">
                        <c:v>0.92749999999999999</c:v>
                      </c:pt>
                      <c:pt idx="105">
                        <c:v>0.92749999999999999</c:v>
                      </c:pt>
                      <c:pt idx="106">
                        <c:v>0.92849999999999999</c:v>
                      </c:pt>
                      <c:pt idx="107">
                        <c:v>0.92849999999999999</c:v>
                      </c:pt>
                      <c:pt idx="108">
                        <c:v>0.92749999999999988</c:v>
                      </c:pt>
                      <c:pt idx="109">
                        <c:v>0.92749999999999988</c:v>
                      </c:pt>
                      <c:pt idx="110">
                        <c:v>0.92799999999999994</c:v>
                      </c:pt>
                      <c:pt idx="111">
                        <c:v>0.92749999999999999</c:v>
                      </c:pt>
                      <c:pt idx="112">
                        <c:v>0.92749999999999999</c:v>
                      </c:pt>
                      <c:pt idx="113">
                        <c:v>0.92849999999999999</c:v>
                      </c:pt>
                      <c:pt idx="114">
                        <c:v>0.92749999999999999</c:v>
                      </c:pt>
                      <c:pt idx="115">
                        <c:v>0.92749999999999999</c:v>
                      </c:pt>
                      <c:pt idx="116">
                        <c:v>0.92699999999999994</c:v>
                      </c:pt>
                      <c:pt idx="117">
                        <c:v>0.9265000000000001</c:v>
                      </c:pt>
                      <c:pt idx="118">
                        <c:v>0.92599999999999993</c:v>
                      </c:pt>
                      <c:pt idx="119">
                        <c:v>0.9257142857142856</c:v>
                      </c:pt>
                      <c:pt idx="120">
                        <c:v>0.92666666666666653</c:v>
                      </c:pt>
                      <c:pt idx="121">
                        <c:v>0.92666666666666653</c:v>
                      </c:pt>
                      <c:pt idx="122">
                        <c:v>0.92809523809523797</c:v>
                      </c:pt>
                      <c:pt idx="123">
                        <c:v>0.92899999999999994</c:v>
                      </c:pt>
                      <c:pt idx="124">
                        <c:v>0.92809523809523797</c:v>
                      </c:pt>
                      <c:pt idx="125">
                        <c:v>0.9290476190476189</c:v>
                      </c:pt>
                      <c:pt idx="126">
                        <c:v>0.9285714285714286</c:v>
                      </c:pt>
                      <c:pt idx="127">
                        <c:v>0.92608695652173911</c:v>
                      </c:pt>
                      <c:pt idx="128">
                        <c:v>0.9263636363636365</c:v>
                      </c:pt>
                      <c:pt idx="129">
                        <c:v>0.92666666666666675</c:v>
                      </c:pt>
                      <c:pt idx="130">
                        <c:v>0.9263636363636365</c:v>
                      </c:pt>
                      <c:pt idx="131">
                        <c:v>0.92666666666666675</c:v>
                      </c:pt>
                      <c:pt idx="132">
                        <c:v>0.92619047619047612</c:v>
                      </c:pt>
                      <c:pt idx="133">
                        <c:v>0.92619047619047612</c:v>
                      </c:pt>
                      <c:pt idx="134">
                        <c:v>0.92714285714285694</c:v>
                      </c:pt>
                      <c:pt idx="135">
                        <c:v>0.92619047619047612</c:v>
                      </c:pt>
                      <c:pt idx="136">
                        <c:v>0.92714285714285705</c:v>
                      </c:pt>
                      <c:pt idx="137">
                        <c:v>0.9285714285714286</c:v>
                      </c:pt>
                      <c:pt idx="138">
                        <c:v>0.93105263157894746</c:v>
                      </c:pt>
                      <c:pt idx="139">
                        <c:v>0.93</c:v>
                      </c:pt>
                      <c:pt idx="140">
                        <c:v>0.93</c:v>
                      </c:pt>
                      <c:pt idx="141">
                        <c:v>0.92950000000000021</c:v>
                      </c:pt>
                      <c:pt idx="142">
                        <c:v>0.93</c:v>
                      </c:pt>
                      <c:pt idx="143">
                        <c:v>0.93</c:v>
                      </c:pt>
                      <c:pt idx="144">
                        <c:v>0.93099999999999983</c:v>
                      </c:pt>
                      <c:pt idx="145">
                        <c:v>0.93099999999999983</c:v>
                      </c:pt>
                      <c:pt idx="146">
                        <c:v>0.93099999999999983</c:v>
                      </c:pt>
                      <c:pt idx="147">
                        <c:v>0.8872727272727271</c:v>
                      </c:pt>
                      <c:pt idx="148">
                        <c:v>0.92954545454545434</c:v>
                      </c:pt>
                      <c:pt idx="149">
                        <c:v>0.92863636363636348</c:v>
                      </c:pt>
                      <c:pt idx="150">
                        <c:v>0.92999999999999994</c:v>
                      </c:pt>
                      <c:pt idx="151">
                        <c:v>0.92909090909090897</c:v>
                      </c:pt>
                      <c:pt idx="152">
                        <c:v>0.92909090909090897</c:v>
                      </c:pt>
                      <c:pt idx="153">
                        <c:v>0.92869565217391303</c:v>
                      </c:pt>
                      <c:pt idx="154">
                        <c:v>0.92999999999999983</c:v>
                      </c:pt>
                      <c:pt idx="155">
                        <c:v>0.92913043478260859</c:v>
                      </c:pt>
                      <c:pt idx="156">
                        <c:v>0.92874999999999996</c:v>
                      </c:pt>
                      <c:pt idx="157">
                        <c:v>0.93159999999999987</c:v>
                      </c:pt>
                      <c:pt idx="158">
                        <c:v>0.89538461538461511</c:v>
                      </c:pt>
                      <c:pt idx="159">
                        <c:v>0.89538461538461511</c:v>
                      </c:pt>
                      <c:pt idx="160">
                        <c:v>0.8949999999999998</c:v>
                      </c:pt>
                      <c:pt idx="161">
                        <c:v>0.89576923076923065</c:v>
                      </c:pt>
                      <c:pt idx="162">
                        <c:v>0.8965384615384614</c:v>
                      </c:pt>
                      <c:pt idx="163">
                        <c:v>0.89730769230769214</c:v>
                      </c:pt>
                      <c:pt idx="164">
                        <c:v>0.89615384615384608</c:v>
                      </c:pt>
                      <c:pt idx="165">
                        <c:v>0.89576923076923065</c:v>
                      </c:pt>
                      <c:pt idx="166">
                        <c:v>0.93374999999999986</c:v>
                      </c:pt>
                      <c:pt idx="167">
                        <c:v>0.93458333333333299</c:v>
                      </c:pt>
                      <c:pt idx="168">
                        <c:v>0.93374999999999975</c:v>
                      </c:pt>
                      <c:pt idx="169">
                        <c:v>0.93374999999999975</c:v>
                      </c:pt>
                      <c:pt idx="170">
                        <c:v>0.93478260869565188</c:v>
                      </c:pt>
                      <c:pt idx="171">
                        <c:v>0.9360869565217389</c:v>
                      </c:pt>
                      <c:pt idx="172">
                        <c:v>0.93565217391304312</c:v>
                      </c:pt>
                      <c:pt idx="173">
                        <c:v>0.93708333333333316</c:v>
                      </c:pt>
                      <c:pt idx="174">
                        <c:v>0.93599999999999961</c:v>
                      </c:pt>
                      <c:pt idx="175">
                        <c:v>0.93652173913043446</c:v>
                      </c:pt>
                      <c:pt idx="176">
                        <c:v>0.93695652173913013</c:v>
                      </c:pt>
                      <c:pt idx="177">
                        <c:v>0.93565217391304312</c:v>
                      </c:pt>
                      <c:pt idx="178">
                        <c:v>0.93565217391304312</c:v>
                      </c:pt>
                      <c:pt idx="179">
                        <c:v>0.93454545454545435</c:v>
                      </c:pt>
                      <c:pt idx="180">
                        <c:v>0.93454545454545435</c:v>
                      </c:pt>
                      <c:pt idx="181">
                        <c:v>0.93363636363636349</c:v>
                      </c:pt>
                      <c:pt idx="182">
                        <c:v>0.93272727272727252</c:v>
                      </c:pt>
                      <c:pt idx="183">
                        <c:v>0.93272727272727252</c:v>
                      </c:pt>
                      <c:pt idx="184">
                        <c:v>0.93380952380952364</c:v>
                      </c:pt>
                      <c:pt idx="185">
                        <c:v>0.93227272727272703</c:v>
                      </c:pt>
                      <c:pt idx="186">
                        <c:v>0.93238095238095231</c:v>
                      </c:pt>
                      <c:pt idx="187">
                        <c:v>0.93285714285714283</c:v>
                      </c:pt>
                      <c:pt idx="188">
                        <c:v>0.9309090909090908</c:v>
                      </c:pt>
                      <c:pt idx="189">
                        <c:v>0.9309090909090908</c:v>
                      </c:pt>
                      <c:pt idx="190">
                        <c:v>0.93090909090909058</c:v>
                      </c:pt>
                      <c:pt idx="191">
                        <c:v>0.92999999999999972</c:v>
                      </c:pt>
                      <c:pt idx="192">
                        <c:v>0.92956521739130404</c:v>
                      </c:pt>
                      <c:pt idx="193">
                        <c:v>0.88958333333333306</c:v>
                      </c:pt>
                      <c:pt idx="194">
                        <c:v>0.9280952380952382</c:v>
                      </c:pt>
                      <c:pt idx="195">
                        <c:v>0.9285714285714286</c:v>
                      </c:pt>
                      <c:pt idx="196">
                        <c:v>0.97549999999999992</c:v>
                      </c:pt>
                      <c:pt idx="197">
                        <c:v>0.97599999999999976</c:v>
                      </c:pt>
                      <c:pt idx="198">
                        <c:v>0.97499999999999998</c:v>
                      </c:pt>
                      <c:pt idx="199">
                        <c:v>0.97399999999999998</c:v>
                      </c:pt>
                      <c:pt idx="200">
                        <c:v>0.97399999999999998</c:v>
                      </c:pt>
                      <c:pt idx="201">
                        <c:v>0.97350000000000014</c:v>
                      </c:pt>
                      <c:pt idx="202">
                        <c:v>0.97399999999999998</c:v>
                      </c:pt>
                      <c:pt idx="203">
                        <c:v>0.97399999999999998</c:v>
                      </c:pt>
                      <c:pt idx="204">
                        <c:v>0.97789473684210537</c:v>
                      </c:pt>
                      <c:pt idx="205">
                        <c:v>0.97842105263157897</c:v>
                      </c:pt>
                      <c:pt idx="206">
                        <c:v>0.97399999999999998</c:v>
                      </c:pt>
                      <c:pt idx="207">
                        <c:v>0.97499999999999998</c:v>
                      </c:pt>
                      <c:pt idx="208">
                        <c:v>0.97499999999999998</c:v>
                      </c:pt>
                      <c:pt idx="209">
                        <c:v>0.97499999999999998</c:v>
                      </c:pt>
                      <c:pt idx="210">
                        <c:v>0.97549999999999992</c:v>
                      </c:pt>
                      <c:pt idx="211">
                        <c:v>0.92857142857142871</c:v>
                      </c:pt>
                      <c:pt idx="212">
                        <c:v>0.9285714285714286</c:v>
                      </c:pt>
                      <c:pt idx="213">
                        <c:v>0.9280952380952382</c:v>
                      </c:pt>
                      <c:pt idx="214">
                        <c:v>0.9290476190476189</c:v>
                      </c:pt>
                      <c:pt idx="215">
                        <c:v>0.92761904761904768</c:v>
                      </c:pt>
                      <c:pt idx="216">
                        <c:v>0.9285714285714286</c:v>
                      </c:pt>
                      <c:pt idx="217">
                        <c:v>0.93</c:v>
                      </c:pt>
                      <c:pt idx="218">
                        <c:v>0.93149999999999999</c:v>
                      </c:pt>
                      <c:pt idx="219">
                        <c:v>0.93200000000000005</c:v>
                      </c:pt>
                      <c:pt idx="220">
                        <c:v>0.93249999999999988</c:v>
                      </c:pt>
                      <c:pt idx="221">
                        <c:v>0.93149999999999999</c:v>
                      </c:pt>
                      <c:pt idx="222">
                        <c:v>0.93149999999999999</c:v>
                      </c:pt>
                      <c:pt idx="223">
                        <c:v>0.93149999999999999</c:v>
                      </c:pt>
                      <c:pt idx="224">
                        <c:v>0.93099999999999983</c:v>
                      </c:pt>
                      <c:pt idx="225">
                        <c:v>0.88666666666666649</c:v>
                      </c:pt>
                      <c:pt idx="226">
                        <c:v>0.88809523809523805</c:v>
                      </c:pt>
                      <c:pt idx="227">
                        <c:v>0.88809523809523805</c:v>
                      </c:pt>
                      <c:pt idx="228">
                        <c:v>0.93249999999999988</c:v>
                      </c:pt>
                      <c:pt idx="229">
                        <c:v>0.93300000000000005</c:v>
                      </c:pt>
                      <c:pt idx="230">
                        <c:v>0.93249999999999988</c:v>
                      </c:pt>
                      <c:pt idx="231">
                        <c:v>0.93249999999999988</c:v>
                      </c:pt>
                      <c:pt idx="232">
                        <c:v>0.92894736842105274</c:v>
                      </c:pt>
                      <c:pt idx="233">
                        <c:v>0.92947368421052634</c:v>
                      </c:pt>
                      <c:pt idx="234">
                        <c:v>0.93149999999999999</c:v>
                      </c:pt>
                      <c:pt idx="235">
                        <c:v>0.93149999999999999</c:v>
                      </c:pt>
                      <c:pt idx="236">
                        <c:v>0.92631578947368431</c:v>
                      </c:pt>
                      <c:pt idx="237">
                        <c:v>0.92611111111111122</c:v>
                      </c:pt>
                      <c:pt idx="238">
                        <c:v>0.88300000000000001</c:v>
                      </c:pt>
                      <c:pt idx="239">
                        <c:v>0.88300000000000023</c:v>
                      </c:pt>
                      <c:pt idx="240">
                        <c:v>0.8861904761904762</c:v>
                      </c:pt>
                      <c:pt idx="241">
                        <c:v>0.88200000000000001</c:v>
                      </c:pt>
                      <c:pt idx="242">
                        <c:v>0.88285714285714278</c:v>
                      </c:pt>
                      <c:pt idx="243">
                        <c:v>0.88238095238095227</c:v>
                      </c:pt>
                      <c:pt idx="244">
                        <c:v>0.88285714285714278</c:v>
                      </c:pt>
                      <c:pt idx="245">
                        <c:v>0.88380952380952371</c:v>
                      </c:pt>
                      <c:pt idx="246">
                        <c:v>0.88545454545454549</c:v>
                      </c:pt>
                      <c:pt idx="247">
                        <c:v>0.88608695652173897</c:v>
                      </c:pt>
                      <c:pt idx="248">
                        <c:v>0.88652173913043464</c:v>
                      </c:pt>
                      <c:pt idx="249">
                        <c:v>0.88652173913043486</c:v>
                      </c:pt>
                      <c:pt idx="250">
                        <c:v>0.88695652173913042</c:v>
                      </c:pt>
                      <c:pt idx="251">
                        <c:v>0.8827272727272728</c:v>
                      </c:pt>
                      <c:pt idx="252">
                        <c:v>0.88285714285714278</c:v>
                      </c:pt>
                      <c:pt idx="253">
                        <c:v>0.88318181818181818</c:v>
                      </c:pt>
                      <c:pt idx="254">
                        <c:v>0.88652173913043486</c:v>
                      </c:pt>
                      <c:pt idx="255">
                        <c:v>0.88428571428571434</c:v>
                      </c:pt>
                      <c:pt idx="256">
                        <c:v>0.88428571428571434</c:v>
                      </c:pt>
                      <c:pt idx="257">
                        <c:v>0.88428571428571434</c:v>
                      </c:pt>
                      <c:pt idx="258">
                        <c:v>0.88409090909090904</c:v>
                      </c:pt>
                      <c:pt idx="259">
                        <c:v>0.88285714285714278</c:v>
                      </c:pt>
                      <c:pt idx="260">
                        <c:v>0.88333333333333341</c:v>
                      </c:pt>
                      <c:pt idx="261">
                        <c:v>0.88333333333333341</c:v>
                      </c:pt>
                      <c:pt idx="262">
                        <c:v>0.88363636363636366</c:v>
                      </c:pt>
                      <c:pt idx="263">
                        <c:v>0.88380952380952393</c:v>
                      </c:pt>
                      <c:pt idx="264">
                        <c:v>0.88333333333333341</c:v>
                      </c:pt>
                      <c:pt idx="265">
                        <c:v>0.88363636363636366</c:v>
                      </c:pt>
                      <c:pt idx="266">
                        <c:v>0.88380952380952393</c:v>
                      </c:pt>
                      <c:pt idx="267">
                        <c:v>0.88454545454545463</c:v>
                      </c:pt>
                      <c:pt idx="268">
                        <c:v>0.88333333333333319</c:v>
                      </c:pt>
                      <c:pt idx="269">
                        <c:v>0.88380952380952371</c:v>
                      </c:pt>
                      <c:pt idx="270">
                        <c:v>0.88409090909090904</c:v>
                      </c:pt>
                      <c:pt idx="271">
                        <c:v>0.88363636363636355</c:v>
                      </c:pt>
                      <c:pt idx="272">
                        <c:v>0.88318181818181796</c:v>
                      </c:pt>
                      <c:pt idx="273">
                        <c:v>0.92789473684210522</c:v>
                      </c:pt>
                      <c:pt idx="274">
                        <c:v>0.92649999999999988</c:v>
                      </c:pt>
                      <c:pt idx="275">
                        <c:v>0.92842105263157892</c:v>
                      </c:pt>
                      <c:pt idx="276">
                        <c:v>0.92842105263157881</c:v>
                      </c:pt>
                      <c:pt idx="277">
                        <c:v>0.92789473684210522</c:v>
                      </c:pt>
                      <c:pt idx="278">
                        <c:v>0.92842105263157892</c:v>
                      </c:pt>
                      <c:pt idx="279">
                        <c:v>0.92684210526315791</c:v>
                      </c:pt>
                      <c:pt idx="280">
                        <c:v>0.92631578947368409</c:v>
                      </c:pt>
                      <c:pt idx="281">
                        <c:v>0.92631578947368409</c:v>
                      </c:pt>
                      <c:pt idx="282">
                        <c:v>0.92578947368421038</c:v>
                      </c:pt>
                      <c:pt idx="283">
                        <c:v>0.92722222222222228</c:v>
                      </c:pt>
                      <c:pt idx="284">
                        <c:v>0.92666666666666664</c:v>
                      </c:pt>
                      <c:pt idx="285">
                        <c:v>0.92666666666666664</c:v>
                      </c:pt>
                      <c:pt idx="286">
                        <c:v>0.92555555555555558</c:v>
                      </c:pt>
                      <c:pt idx="287">
                        <c:v>0.92500000000000016</c:v>
                      </c:pt>
                      <c:pt idx="288">
                        <c:v>0.92500000000000016</c:v>
                      </c:pt>
                      <c:pt idx="289">
                        <c:v>0.92666666666666664</c:v>
                      </c:pt>
                      <c:pt idx="290">
                        <c:v>0.92666666666666664</c:v>
                      </c:pt>
                      <c:pt idx="291">
                        <c:v>0.92666666666666664</c:v>
                      </c:pt>
                      <c:pt idx="292">
                        <c:v>0.92722222222222228</c:v>
                      </c:pt>
                      <c:pt idx="293">
                        <c:v>0.92666666666666664</c:v>
                      </c:pt>
                      <c:pt idx="294">
                        <c:v>0.92722222222222228</c:v>
                      </c:pt>
                      <c:pt idx="295">
                        <c:v>0.92449999999999988</c:v>
                      </c:pt>
                      <c:pt idx="296">
                        <c:v>0.92449999999999988</c:v>
                      </c:pt>
                      <c:pt idx="297">
                        <c:v>0.92181818181818154</c:v>
                      </c:pt>
                      <c:pt idx="298">
                        <c:v>0.92272727272727262</c:v>
                      </c:pt>
                      <c:pt idx="299">
                        <c:v>0.92428571428571416</c:v>
                      </c:pt>
                      <c:pt idx="300">
                        <c:v>0.9228571428571426</c:v>
                      </c:pt>
                      <c:pt idx="301">
                        <c:v>0.92285714285714282</c:v>
                      </c:pt>
                      <c:pt idx="302">
                        <c:v>0.92333333333333323</c:v>
                      </c:pt>
                      <c:pt idx="303">
                        <c:v>0.92285714285714282</c:v>
                      </c:pt>
                      <c:pt idx="304">
                        <c:v>0.87999999999999989</c:v>
                      </c:pt>
                      <c:pt idx="305">
                        <c:v>0.87999999999999989</c:v>
                      </c:pt>
                      <c:pt idx="306">
                        <c:v>0.88181818181818172</c:v>
                      </c:pt>
                      <c:pt idx="307">
                        <c:v>0.88318181818181818</c:v>
                      </c:pt>
                      <c:pt idx="308">
                        <c:v>0.88318181818181796</c:v>
                      </c:pt>
                      <c:pt idx="309">
                        <c:v>0.88272727272727269</c:v>
                      </c:pt>
                      <c:pt idx="310">
                        <c:v>0.88363636363636355</c:v>
                      </c:pt>
                      <c:pt idx="311">
                        <c:v>0.88363636363636366</c:v>
                      </c:pt>
                      <c:pt idx="312">
                        <c:v>0.88318181818181818</c:v>
                      </c:pt>
                      <c:pt idx="313">
                        <c:v>0.88363636363636355</c:v>
                      </c:pt>
                      <c:pt idx="314">
                        <c:v>0.88272727272727269</c:v>
                      </c:pt>
                      <c:pt idx="315">
                        <c:v>0.8822727272727271</c:v>
                      </c:pt>
                      <c:pt idx="316">
                        <c:v>0.8822727272727271</c:v>
                      </c:pt>
                      <c:pt idx="317">
                        <c:v>0.88363636363636333</c:v>
                      </c:pt>
                      <c:pt idx="318">
                        <c:v>0.88272727272727247</c:v>
                      </c:pt>
                      <c:pt idx="319">
                        <c:v>0.88181818181818172</c:v>
                      </c:pt>
                      <c:pt idx="320">
                        <c:v>0.88181818181818172</c:v>
                      </c:pt>
                      <c:pt idx="321">
                        <c:v>0.88318181818181818</c:v>
                      </c:pt>
                      <c:pt idx="322">
                        <c:v>0.84434782608695658</c:v>
                      </c:pt>
                      <c:pt idx="323">
                        <c:v>0.84347826086956534</c:v>
                      </c:pt>
                      <c:pt idx="324">
                        <c:v>0.84045454545454557</c:v>
                      </c:pt>
                      <c:pt idx="325">
                        <c:v>0.8376190476190476</c:v>
                      </c:pt>
                      <c:pt idx="326">
                        <c:v>0.8376190476190476</c:v>
                      </c:pt>
                      <c:pt idx="327">
                        <c:v>0.84090909090909094</c:v>
                      </c:pt>
                      <c:pt idx="328">
                        <c:v>0.84045454545454534</c:v>
                      </c:pt>
                      <c:pt idx="329">
                        <c:v>0.84652173913043471</c:v>
                      </c:pt>
                      <c:pt idx="330">
                        <c:v>0.84652173913043471</c:v>
                      </c:pt>
                      <c:pt idx="331">
                        <c:v>0.84652173913043471</c:v>
                      </c:pt>
                      <c:pt idx="332">
                        <c:v>0.84652173913043471</c:v>
                      </c:pt>
                      <c:pt idx="333">
                        <c:v>0.85043478260869565</c:v>
                      </c:pt>
                      <c:pt idx="334">
                        <c:v>0.84999999999999987</c:v>
                      </c:pt>
                      <c:pt idx="335">
                        <c:v>0.84999999999999987</c:v>
                      </c:pt>
                      <c:pt idx="336">
                        <c:v>0.85086956521739121</c:v>
                      </c:pt>
                      <c:pt idx="337">
                        <c:v>0.81499999999999995</c:v>
                      </c:pt>
                      <c:pt idx="338">
                        <c:v>0.93095238095238086</c:v>
                      </c:pt>
                      <c:pt idx="339">
                        <c:v>0.9290476190476189</c:v>
                      </c:pt>
                      <c:pt idx="340">
                        <c:v>0.92590909090909079</c:v>
                      </c:pt>
                      <c:pt idx="341">
                        <c:v>0.92590909090909079</c:v>
                      </c:pt>
                      <c:pt idx="342">
                        <c:v>0.92857142857142838</c:v>
                      </c:pt>
                      <c:pt idx="343">
                        <c:v>0.93049999999999977</c:v>
                      </c:pt>
                      <c:pt idx="344">
                        <c:v>0.93149999999999977</c:v>
                      </c:pt>
                      <c:pt idx="345">
                        <c:v>0.93149999999999977</c:v>
                      </c:pt>
                      <c:pt idx="346">
                        <c:v>0.93149999999999977</c:v>
                      </c:pt>
                      <c:pt idx="347">
                        <c:v>0.97999999999999987</c:v>
                      </c:pt>
                      <c:pt idx="348">
                        <c:v>0.92999999999999994</c:v>
                      </c:pt>
                      <c:pt idx="349">
                        <c:v>0.92999999999999994</c:v>
                      </c:pt>
                      <c:pt idx="350">
                        <c:v>0.93049999999999977</c:v>
                      </c:pt>
                      <c:pt idx="351">
                        <c:v>0.93049999999999977</c:v>
                      </c:pt>
                      <c:pt idx="352">
                        <c:v>0.93099999999999983</c:v>
                      </c:pt>
                      <c:pt idx="353">
                        <c:v>0.93049999999999977</c:v>
                      </c:pt>
                      <c:pt idx="354">
                        <c:v>0.93099999999999983</c:v>
                      </c:pt>
                      <c:pt idx="355">
                        <c:v>0.92999999999999994</c:v>
                      </c:pt>
                      <c:pt idx="356">
                        <c:v>0.92999999999999994</c:v>
                      </c:pt>
                      <c:pt idx="357">
                        <c:v>0.92949999999999999</c:v>
                      </c:pt>
                      <c:pt idx="358">
                        <c:v>0.93049999999999977</c:v>
                      </c:pt>
                      <c:pt idx="359">
                        <c:v>0.93149999999999999</c:v>
                      </c:pt>
                      <c:pt idx="360">
                        <c:v>0.93149999999999999</c:v>
                      </c:pt>
                      <c:pt idx="361">
                        <c:v>0.93099999999999983</c:v>
                      </c:pt>
                      <c:pt idx="362">
                        <c:v>0.93249999999999988</c:v>
                      </c:pt>
                      <c:pt idx="363">
                        <c:v>0.93142857142857116</c:v>
                      </c:pt>
                      <c:pt idx="364">
                        <c:v>0.93142857142857116</c:v>
                      </c:pt>
                      <c:pt idx="365">
                        <c:v>0.93190476190476179</c:v>
                      </c:pt>
                      <c:pt idx="366">
                        <c:v>0.92999999999999994</c:v>
                      </c:pt>
                      <c:pt idx="367">
                        <c:v>0.92949999999999977</c:v>
                      </c:pt>
                      <c:pt idx="368">
                        <c:v>0.92999999999999994</c:v>
                      </c:pt>
                      <c:pt idx="369">
                        <c:v>0.92949999999999977</c:v>
                      </c:pt>
                      <c:pt idx="370">
                        <c:v>0.92949999999999977</c:v>
                      </c:pt>
                      <c:pt idx="371">
                        <c:v>0.92949999999999977</c:v>
                      </c:pt>
                      <c:pt idx="372">
                        <c:v>0.92949999999999977</c:v>
                      </c:pt>
                      <c:pt idx="373">
                        <c:v>0.93049999999999999</c:v>
                      </c:pt>
                      <c:pt idx="374">
                        <c:v>0.93049999999999999</c:v>
                      </c:pt>
                      <c:pt idx="375">
                        <c:v>0.93049999999999999</c:v>
                      </c:pt>
                      <c:pt idx="376">
                        <c:v>0.92999999999999994</c:v>
                      </c:pt>
                      <c:pt idx="377">
                        <c:v>0.92999999999999994</c:v>
                      </c:pt>
                      <c:pt idx="378">
                        <c:v>0.92949999999999977</c:v>
                      </c:pt>
                      <c:pt idx="379">
                        <c:v>0.88476190476190464</c:v>
                      </c:pt>
                      <c:pt idx="380">
                        <c:v>0.88523809523809505</c:v>
                      </c:pt>
                      <c:pt idx="381">
                        <c:v>0.88523809523809505</c:v>
                      </c:pt>
                      <c:pt idx="382">
                        <c:v>0.88523809523809505</c:v>
                      </c:pt>
                      <c:pt idx="383">
                        <c:v>0.88476190476190464</c:v>
                      </c:pt>
                      <c:pt idx="384">
                        <c:v>0.88428571428571412</c:v>
                      </c:pt>
                      <c:pt idx="385">
                        <c:v>0.88349999999999995</c:v>
                      </c:pt>
                      <c:pt idx="386">
                        <c:v>0.88428571428571412</c:v>
                      </c:pt>
                      <c:pt idx="387">
                        <c:v>0.8838095238095236</c:v>
                      </c:pt>
                      <c:pt idx="388">
                        <c:v>0.88428571428571412</c:v>
                      </c:pt>
                      <c:pt idx="389">
                        <c:v>0.88428571428571412</c:v>
                      </c:pt>
                      <c:pt idx="390">
                        <c:v>0.88428571428571412</c:v>
                      </c:pt>
                      <c:pt idx="391">
                        <c:v>0.88299999999999979</c:v>
                      </c:pt>
                      <c:pt idx="392">
                        <c:v>0.88299999999999979</c:v>
                      </c:pt>
                      <c:pt idx="393">
                        <c:v>0.8838095238095236</c:v>
                      </c:pt>
                      <c:pt idx="394">
                        <c:v>0.8838095238095236</c:v>
                      </c:pt>
                      <c:pt idx="395">
                        <c:v>0.88428571428571412</c:v>
                      </c:pt>
                      <c:pt idx="396">
                        <c:v>0.8838095238095236</c:v>
                      </c:pt>
                      <c:pt idx="397">
                        <c:v>0.88285714285714267</c:v>
                      </c:pt>
                      <c:pt idx="398">
                        <c:v>0.8838095238095236</c:v>
                      </c:pt>
                      <c:pt idx="399">
                        <c:v>0.88047619047619019</c:v>
                      </c:pt>
                      <c:pt idx="400">
                        <c:v>0.87999999999999989</c:v>
                      </c:pt>
                      <c:pt idx="401">
                        <c:v>0.87952380952380926</c:v>
                      </c:pt>
                      <c:pt idx="402">
                        <c:v>0.87999999999999989</c:v>
                      </c:pt>
                      <c:pt idx="403">
                        <c:v>0.88095238095238082</c:v>
                      </c:pt>
                      <c:pt idx="404">
                        <c:v>0.87999999999999989</c:v>
                      </c:pt>
                      <c:pt idx="405">
                        <c:v>0.87899999999999989</c:v>
                      </c:pt>
                      <c:pt idx="406">
                        <c:v>0.87849999999999984</c:v>
                      </c:pt>
                      <c:pt idx="407">
                        <c:v>0.87899999999999989</c:v>
                      </c:pt>
                      <c:pt idx="408">
                        <c:v>0.88409090909090904</c:v>
                      </c:pt>
                      <c:pt idx="409">
                        <c:v>0.88454545454545441</c:v>
                      </c:pt>
                      <c:pt idx="410">
                        <c:v>0.88739130434782598</c:v>
                      </c:pt>
                      <c:pt idx="411">
                        <c:v>0.88545454545454527</c:v>
                      </c:pt>
                      <c:pt idx="412">
                        <c:v>0.88545454545454527</c:v>
                      </c:pt>
                      <c:pt idx="413">
                        <c:v>0.8849999999999999</c:v>
                      </c:pt>
                      <c:pt idx="414">
                        <c:v>0.92809523809523797</c:v>
                      </c:pt>
                      <c:pt idx="415">
                        <c:v>0.92809523809523797</c:v>
                      </c:pt>
                      <c:pt idx="416">
                        <c:v>0.92809523809523797</c:v>
                      </c:pt>
                      <c:pt idx="417">
                        <c:v>0.92761904761904745</c:v>
                      </c:pt>
                      <c:pt idx="418">
                        <c:v>0.92761904761904745</c:v>
                      </c:pt>
                      <c:pt idx="419">
                        <c:v>0.9285714285714286</c:v>
                      </c:pt>
                      <c:pt idx="420">
                        <c:v>0.92904761904761879</c:v>
                      </c:pt>
                      <c:pt idx="421">
                        <c:v>0.92904761904761879</c:v>
                      </c:pt>
                      <c:pt idx="422">
                        <c:v>0.92952380952380931</c:v>
                      </c:pt>
                      <c:pt idx="423">
                        <c:v>0.9290476190476189</c:v>
                      </c:pt>
                      <c:pt idx="424">
                        <c:v>0.92904761904761912</c:v>
                      </c:pt>
                      <c:pt idx="425">
                        <c:v>0.92899999999999994</c:v>
                      </c:pt>
                      <c:pt idx="426">
                        <c:v>0.92849999999999999</c:v>
                      </c:pt>
                      <c:pt idx="427">
                        <c:v>0.92899999999999994</c:v>
                      </c:pt>
                      <c:pt idx="428">
                        <c:v>0.92900000000000005</c:v>
                      </c:pt>
                      <c:pt idx="429">
                        <c:v>0.92849999999999999</c:v>
                      </c:pt>
                      <c:pt idx="430">
                        <c:v>0.92949999999999999</c:v>
                      </c:pt>
                      <c:pt idx="431">
                        <c:v>0.92899999999999994</c:v>
                      </c:pt>
                      <c:pt idx="432">
                        <c:v>0.92849999999999988</c:v>
                      </c:pt>
                      <c:pt idx="433">
                        <c:v>0.92761904761904745</c:v>
                      </c:pt>
                      <c:pt idx="434">
                        <c:v>0.92714285714285694</c:v>
                      </c:pt>
                      <c:pt idx="435">
                        <c:v>0.92619047619047601</c:v>
                      </c:pt>
                      <c:pt idx="436">
                        <c:v>0.92809523809523786</c:v>
                      </c:pt>
                      <c:pt idx="437">
                        <c:v>0.92999999999999994</c:v>
                      </c:pt>
                      <c:pt idx="438">
                        <c:v>0.92999999999999994</c:v>
                      </c:pt>
                      <c:pt idx="439">
                        <c:v>0.92666666666666642</c:v>
                      </c:pt>
                      <c:pt idx="440">
                        <c:v>0.92666666666666642</c:v>
                      </c:pt>
                      <c:pt idx="441">
                        <c:v>0.92949999999999999</c:v>
                      </c:pt>
                      <c:pt idx="442">
                        <c:v>0.92949999999999977</c:v>
                      </c:pt>
                      <c:pt idx="443">
                        <c:v>0.92761904761904745</c:v>
                      </c:pt>
                      <c:pt idx="444">
                        <c:v>0.92809523809523797</c:v>
                      </c:pt>
                      <c:pt idx="445">
                        <c:v>0.92799999999999994</c:v>
                      </c:pt>
                      <c:pt idx="446">
                        <c:v>0.92949999999999999</c:v>
                      </c:pt>
                      <c:pt idx="447">
                        <c:v>0.92799999999999994</c:v>
                      </c:pt>
                      <c:pt idx="448">
                        <c:v>0.92899999999999994</c:v>
                      </c:pt>
                      <c:pt idx="449">
                        <c:v>0.92899999999999994</c:v>
                      </c:pt>
                      <c:pt idx="450">
                        <c:v>0.93</c:v>
                      </c:pt>
                      <c:pt idx="451">
                        <c:v>0.93</c:v>
                      </c:pt>
                      <c:pt idx="452">
                        <c:v>0.93052631578947365</c:v>
                      </c:pt>
                      <c:pt idx="453">
                        <c:v>0.92888888888888899</c:v>
                      </c:pt>
                      <c:pt idx="454">
                        <c:v>0.93105263157894746</c:v>
                      </c:pt>
                      <c:pt idx="455">
                        <c:v>0.93105263157894746</c:v>
                      </c:pt>
                      <c:pt idx="456">
                        <c:v>0.92949999999999977</c:v>
                      </c:pt>
                      <c:pt idx="457">
                        <c:v>0.92899999999999971</c:v>
                      </c:pt>
                      <c:pt idx="458">
                        <c:v>0.93049999999999977</c:v>
                      </c:pt>
                      <c:pt idx="459">
                        <c:v>0.92952380952380931</c:v>
                      </c:pt>
                      <c:pt idx="460">
                        <c:v>0.92952380952380931</c:v>
                      </c:pt>
                      <c:pt idx="461">
                        <c:v>0.93199999999999983</c:v>
                      </c:pt>
                      <c:pt idx="462">
                        <c:v>0.93149999999999999</c:v>
                      </c:pt>
                      <c:pt idx="463">
                        <c:v>0.93149999999999999</c:v>
                      </c:pt>
                      <c:pt idx="464">
                        <c:v>0.92947368421052612</c:v>
                      </c:pt>
                      <c:pt idx="465">
                        <c:v>0.92999999999999994</c:v>
                      </c:pt>
                      <c:pt idx="466">
                        <c:v>0.92999999999999994</c:v>
                      </c:pt>
                      <c:pt idx="467">
                        <c:v>0.92999999999999994</c:v>
                      </c:pt>
                      <c:pt idx="468">
                        <c:v>0.92947368421052612</c:v>
                      </c:pt>
                      <c:pt idx="469">
                        <c:v>0.92799999999999994</c:v>
                      </c:pt>
                      <c:pt idx="470">
                        <c:v>0.92699999999999994</c:v>
                      </c:pt>
                      <c:pt idx="471">
                        <c:v>0.92849999999999999</c:v>
                      </c:pt>
                      <c:pt idx="472">
                        <c:v>0.92949999999999999</c:v>
                      </c:pt>
                      <c:pt idx="473">
                        <c:v>0.9319047619047619</c:v>
                      </c:pt>
                      <c:pt idx="474">
                        <c:v>0.93238095238095242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F4-4826-BF45-B24EAABC4F6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ASSETS!$K$18</c15:sqref>
                        </c15:formulaRef>
                      </c:ext>
                    </c:extLst>
                    <c:strCache>
                      <c:ptCount val="1"/>
                      <c:pt idx="0">
                        <c:v> Structure 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ASSETS!$C$19:$C$493</c15:sqref>
                        </c15:formulaRef>
                      </c:ext>
                    </c:extLst>
                    <c:numCache>
                      <c:formatCode>_-* #,##0_-;\-* #,##0_-;_-* "-"??_-;_-@_-</c:formatCode>
                      <c:ptCount val="47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ASSETS!$K$19:$K$493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475"/>
                      <c:pt idx="0">
                        <c:v>1</c:v>
                      </c:pt>
                      <c:pt idx="1">
                        <c:v>1</c:v>
                      </c:pt>
                      <c:pt idx="2">
                        <c:v>0.3571428571428571</c:v>
                      </c:pt>
                      <c:pt idx="3">
                        <c:v>0.8318965517241379</c:v>
                      </c:pt>
                      <c:pt idx="4">
                        <c:v>0.6647887323943662</c:v>
                      </c:pt>
                      <c:pt idx="5">
                        <c:v>0.76829268292682917</c:v>
                      </c:pt>
                      <c:pt idx="6">
                        <c:v>0.65091184958832016</c:v>
                      </c:pt>
                      <c:pt idx="7">
                        <c:v>0.69512991881412933</c:v>
                      </c:pt>
                      <c:pt idx="8">
                        <c:v>0.51870255513586638</c:v>
                      </c:pt>
                      <c:pt idx="9">
                        <c:v>0.7182468549848916</c:v>
                      </c:pt>
                      <c:pt idx="10">
                        <c:v>0.67243844325066915</c:v>
                      </c:pt>
                      <c:pt idx="11">
                        <c:v>0.68330151375388359</c:v>
                      </c:pt>
                      <c:pt idx="12">
                        <c:v>0.65415711546977784</c:v>
                      </c:pt>
                      <c:pt idx="13">
                        <c:v>0.70995235102148169</c:v>
                      </c:pt>
                      <c:pt idx="14">
                        <c:v>0.69516399813760055</c:v>
                      </c:pt>
                      <c:pt idx="15">
                        <c:v>0.69449489768460682</c:v>
                      </c:pt>
                      <c:pt idx="16">
                        <c:v>0.7033717189901364</c:v>
                      </c:pt>
                      <c:pt idx="17">
                        <c:v>0.7023359065145578</c:v>
                      </c:pt>
                      <c:pt idx="18">
                        <c:v>0.71970411213149998</c:v>
                      </c:pt>
                      <c:pt idx="19">
                        <c:v>0.75308413666469942</c:v>
                      </c:pt>
                      <c:pt idx="20">
                        <c:v>0.79035106255438181</c:v>
                      </c:pt>
                      <c:pt idx="21">
                        <c:v>0.79047941865181703</c:v>
                      </c:pt>
                      <c:pt idx="22">
                        <c:v>0.79130740163806235</c:v>
                      </c:pt>
                      <c:pt idx="23">
                        <c:v>0.79206553572969263</c:v>
                      </c:pt>
                      <c:pt idx="24">
                        <c:v>0.79009213526954214</c:v>
                      </c:pt>
                      <c:pt idx="25">
                        <c:v>0.78645826154710918</c:v>
                      </c:pt>
                      <c:pt idx="26">
                        <c:v>0.75784927783743172</c:v>
                      </c:pt>
                      <c:pt idx="27">
                        <c:v>0.76442438730257367</c:v>
                      </c:pt>
                      <c:pt idx="28">
                        <c:v>0.761745633036368</c:v>
                      </c:pt>
                      <c:pt idx="29">
                        <c:v>0.76169216687957575</c:v>
                      </c:pt>
                      <c:pt idx="30">
                        <c:v>0.76114070684970392</c:v>
                      </c:pt>
                      <c:pt idx="31">
                        <c:v>0.8278595028561796</c:v>
                      </c:pt>
                      <c:pt idx="32">
                        <c:v>0.79648086089366732</c:v>
                      </c:pt>
                      <c:pt idx="33">
                        <c:v>0.79594643362219875</c:v>
                      </c:pt>
                      <c:pt idx="34">
                        <c:v>0.79378914574467707</c:v>
                      </c:pt>
                      <c:pt idx="35">
                        <c:v>0.79115544482492339</c:v>
                      </c:pt>
                      <c:pt idx="36">
                        <c:v>0.7905275074836573</c:v>
                      </c:pt>
                      <c:pt idx="37">
                        <c:v>0.78867151274734049</c:v>
                      </c:pt>
                      <c:pt idx="38">
                        <c:v>0.79212070975734861</c:v>
                      </c:pt>
                      <c:pt idx="39">
                        <c:v>0.84570722812680232</c:v>
                      </c:pt>
                      <c:pt idx="40">
                        <c:v>0.84075613465464571</c:v>
                      </c:pt>
                      <c:pt idx="41">
                        <c:v>0.84001145322199067</c:v>
                      </c:pt>
                      <c:pt idx="42">
                        <c:v>0.78402351846810348</c:v>
                      </c:pt>
                      <c:pt idx="43">
                        <c:v>0.76849812036702225</c:v>
                      </c:pt>
                      <c:pt idx="44">
                        <c:v>0.76533033280751395</c:v>
                      </c:pt>
                      <c:pt idx="45">
                        <c:v>0.80419085600298079</c:v>
                      </c:pt>
                      <c:pt idx="46">
                        <c:v>0.80262688587355346</c:v>
                      </c:pt>
                      <c:pt idx="47">
                        <c:v>0.8014517319425164</c:v>
                      </c:pt>
                      <c:pt idx="48">
                        <c:v>0.87292683074479016</c:v>
                      </c:pt>
                      <c:pt idx="49">
                        <c:v>0.87384779794777523</c:v>
                      </c:pt>
                      <c:pt idx="50">
                        <c:v>0.78802163117561363</c:v>
                      </c:pt>
                      <c:pt idx="51">
                        <c:v>0.77763163099409416</c:v>
                      </c:pt>
                      <c:pt idx="52">
                        <c:v>0.77814256636228396</c:v>
                      </c:pt>
                      <c:pt idx="53">
                        <c:v>0.77936036981914891</c:v>
                      </c:pt>
                      <c:pt idx="54">
                        <c:v>0.79848635019910519</c:v>
                      </c:pt>
                      <c:pt idx="55">
                        <c:v>0.79928267894678873</c:v>
                      </c:pt>
                      <c:pt idx="56">
                        <c:v>0.80068256775674085</c:v>
                      </c:pt>
                      <c:pt idx="57">
                        <c:v>0.80202488341680067</c:v>
                      </c:pt>
                      <c:pt idx="58">
                        <c:v>0.80244466210027121</c:v>
                      </c:pt>
                      <c:pt idx="59">
                        <c:v>0.82169696366224598</c:v>
                      </c:pt>
                      <c:pt idx="60">
                        <c:v>0.79770319849485594</c:v>
                      </c:pt>
                      <c:pt idx="61">
                        <c:v>0.79598802086786047</c:v>
                      </c:pt>
                      <c:pt idx="62">
                        <c:v>0.79664352934912475</c:v>
                      </c:pt>
                      <c:pt idx="63">
                        <c:v>0.7867709182304764</c:v>
                      </c:pt>
                      <c:pt idx="64">
                        <c:v>0.76907125383740171</c:v>
                      </c:pt>
                      <c:pt idx="65">
                        <c:v>0.79831335772084722</c:v>
                      </c:pt>
                      <c:pt idx="66">
                        <c:v>0.79744603074042641</c:v>
                      </c:pt>
                      <c:pt idx="67">
                        <c:v>0.79370326845435679</c:v>
                      </c:pt>
                      <c:pt idx="68">
                        <c:v>0.79322385335466694</c:v>
                      </c:pt>
                      <c:pt idx="69">
                        <c:v>0.78653532593935627</c:v>
                      </c:pt>
                      <c:pt idx="70">
                        <c:v>0.77044029158463545</c:v>
                      </c:pt>
                      <c:pt idx="71">
                        <c:v>0.77013290816359103</c:v>
                      </c:pt>
                      <c:pt idx="72">
                        <c:v>0.81186551028278475</c:v>
                      </c:pt>
                      <c:pt idx="73">
                        <c:v>0.83076092158229398</c:v>
                      </c:pt>
                      <c:pt idx="74">
                        <c:v>0.83031330872817466</c:v>
                      </c:pt>
                      <c:pt idx="75">
                        <c:v>0.81003981971411343</c:v>
                      </c:pt>
                      <c:pt idx="76">
                        <c:v>0.83561127072044739</c:v>
                      </c:pt>
                      <c:pt idx="77">
                        <c:v>0.83372090466034632</c:v>
                      </c:pt>
                      <c:pt idx="78">
                        <c:v>0.82405924614791637</c:v>
                      </c:pt>
                      <c:pt idx="79">
                        <c:v>0.79889345139091583</c:v>
                      </c:pt>
                      <c:pt idx="80">
                        <c:v>0.82529609032560403</c:v>
                      </c:pt>
                      <c:pt idx="81">
                        <c:v>0.82518165098402818</c:v>
                      </c:pt>
                      <c:pt idx="82">
                        <c:v>0.77320024187755332</c:v>
                      </c:pt>
                      <c:pt idx="83">
                        <c:v>0.79265030710745032</c:v>
                      </c:pt>
                      <c:pt idx="84">
                        <c:v>0.80275314313374735</c:v>
                      </c:pt>
                      <c:pt idx="85">
                        <c:v>0.82635318607164554</c:v>
                      </c:pt>
                      <c:pt idx="86">
                        <c:v>0.826121672653651</c:v>
                      </c:pt>
                      <c:pt idx="87">
                        <c:v>0.83444835211467405</c:v>
                      </c:pt>
                      <c:pt idx="88">
                        <c:v>0.82005227125046909</c:v>
                      </c:pt>
                      <c:pt idx="89">
                        <c:v>0.82730060809713968</c:v>
                      </c:pt>
                      <c:pt idx="90">
                        <c:v>0.82407872867645382</c:v>
                      </c:pt>
                      <c:pt idx="91">
                        <c:v>0.80333643674722</c:v>
                      </c:pt>
                      <c:pt idx="92">
                        <c:v>0.78964448661281572</c:v>
                      </c:pt>
                      <c:pt idx="93">
                        <c:v>0.78634182303278888</c:v>
                      </c:pt>
                      <c:pt idx="94">
                        <c:v>0.78832745221785616</c:v>
                      </c:pt>
                      <c:pt idx="95">
                        <c:v>0.78976394686276208</c:v>
                      </c:pt>
                      <c:pt idx="96">
                        <c:v>0.790171551620653</c:v>
                      </c:pt>
                      <c:pt idx="97">
                        <c:v>0.78497182227851192</c:v>
                      </c:pt>
                      <c:pt idx="98">
                        <c:v>0.80420370063895197</c:v>
                      </c:pt>
                      <c:pt idx="99">
                        <c:v>0.8047553861135488</c:v>
                      </c:pt>
                      <c:pt idx="100">
                        <c:v>0.77662739167257666</c:v>
                      </c:pt>
                      <c:pt idx="101">
                        <c:v>0.7574744051675173</c:v>
                      </c:pt>
                      <c:pt idx="102">
                        <c:v>0.86179283956639774</c:v>
                      </c:pt>
                      <c:pt idx="103">
                        <c:v>0.85384023146211208</c:v>
                      </c:pt>
                      <c:pt idx="104">
                        <c:v>0.85408381470911421</c:v>
                      </c:pt>
                      <c:pt idx="105">
                        <c:v>0.8715940935826183</c:v>
                      </c:pt>
                      <c:pt idx="106">
                        <c:v>0.87288041895177637</c:v>
                      </c:pt>
                      <c:pt idx="107">
                        <c:v>0.87275138101192318</c:v>
                      </c:pt>
                      <c:pt idx="108">
                        <c:v>0.84111797154245183</c:v>
                      </c:pt>
                      <c:pt idx="109">
                        <c:v>0.88674711271029305</c:v>
                      </c:pt>
                      <c:pt idx="110">
                        <c:v>0.88014340673598324</c:v>
                      </c:pt>
                      <c:pt idx="111">
                        <c:v>0.85993801942591697</c:v>
                      </c:pt>
                      <c:pt idx="112">
                        <c:v>0.8547606244977719</c:v>
                      </c:pt>
                      <c:pt idx="113">
                        <c:v>0.85379051601360556</c:v>
                      </c:pt>
                      <c:pt idx="114">
                        <c:v>0.82791563709588212</c:v>
                      </c:pt>
                      <c:pt idx="115">
                        <c:v>0.84630336815253981</c:v>
                      </c:pt>
                      <c:pt idx="116">
                        <c:v>0.8438366718746646</c:v>
                      </c:pt>
                      <c:pt idx="117">
                        <c:v>0.83879100712905841</c:v>
                      </c:pt>
                      <c:pt idx="118">
                        <c:v>0.8481182926384101</c:v>
                      </c:pt>
                      <c:pt idx="119">
                        <c:v>0.83688091820681954</c:v>
                      </c:pt>
                      <c:pt idx="120">
                        <c:v>0.83354116710596204</c:v>
                      </c:pt>
                      <c:pt idx="121">
                        <c:v>0.84861607661356719</c:v>
                      </c:pt>
                      <c:pt idx="122">
                        <c:v>0.84828282580503767</c:v>
                      </c:pt>
                      <c:pt idx="123">
                        <c:v>0.82819532806851326</c:v>
                      </c:pt>
                      <c:pt idx="124">
                        <c:v>0.8293725168152094</c:v>
                      </c:pt>
                      <c:pt idx="125">
                        <c:v>0.82892068426136845</c:v>
                      </c:pt>
                      <c:pt idx="126">
                        <c:v>0.78182751887393009</c:v>
                      </c:pt>
                      <c:pt idx="127">
                        <c:v>0.77636901158774607</c:v>
                      </c:pt>
                      <c:pt idx="128">
                        <c:v>0.7744843344600203</c:v>
                      </c:pt>
                      <c:pt idx="129">
                        <c:v>0.76620411297936353</c:v>
                      </c:pt>
                      <c:pt idx="130">
                        <c:v>0.79253656734953004</c:v>
                      </c:pt>
                      <c:pt idx="131">
                        <c:v>0.79790424015854677</c:v>
                      </c:pt>
                      <c:pt idx="132">
                        <c:v>0.78161006328226912</c:v>
                      </c:pt>
                      <c:pt idx="133">
                        <c:v>0.80052028014355558</c:v>
                      </c:pt>
                      <c:pt idx="134">
                        <c:v>0.80193140303281263</c:v>
                      </c:pt>
                      <c:pt idx="135">
                        <c:v>0.79864273859543122</c:v>
                      </c:pt>
                      <c:pt idx="136">
                        <c:v>0.79528059278340157</c:v>
                      </c:pt>
                      <c:pt idx="137">
                        <c:v>0.81822895974069709</c:v>
                      </c:pt>
                      <c:pt idx="138">
                        <c:v>0.81871016548049724</c:v>
                      </c:pt>
                      <c:pt idx="139">
                        <c:v>0.80427251594131421</c:v>
                      </c:pt>
                      <c:pt idx="140">
                        <c:v>0.82025234462880692</c:v>
                      </c:pt>
                      <c:pt idx="141">
                        <c:v>0.80685812588387718</c:v>
                      </c:pt>
                      <c:pt idx="142">
                        <c:v>0.81812785561004597</c:v>
                      </c:pt>
                      <c:pt idx="143">
                        <c:v>0.80574816182993936</c:v>
                      </c:pt>
                      <c:pt idx="144">
                        <c:v>0.78158092582328975</c:v>
                      </c:pt>
                      <c:pt idx="145">
                        <c:v>0.78138961817431729</c:v>
                      </c:pt>
                      <c:pt idx="146">
                        <c:v>0.78277132872079269</c:v>
                      </c:pt>
                      <c:pt idx="147">
                        <c:v>0.7860371930290051</c:v>
                      </c:pt>
                      <c:pt idx="148">
                        <c:v>0.71225115354726176</c:v>
                      </c:pt>
                      <c:pt idx="149">
                        <c:v>0.78753055042475284</c:v>
                      </c:pt>
                      <c:pt idx="150">
                        <c:v>0.79085746545187929</c:v>
                      </c:pt>
                      <c:pt idx="151">
                        <c:v>0.82069984677761254</c:v>
                      </c:pt>
                      <c:pt idx="152">
                        <c:v>0.79434156635235709</c:v>
                      </c:pt>
                      <c:pt idx="153">
                        <c:v>0.79427785122041372</c:v>
                      </c:pt>
                      <c:pt idx="154">
                        <c:v>0.80948462876404081</c:v>
                      </c:pt>
                      <c:pt idx="155">
                        <c:v>0.8297216869090086</c:v>
                      </c:pt>
                      <c:pt idx="156">
                        <c:v>0.84056953209962182</c:v>
                      </c:pt>
                      <c:pt idx="157">
                        <c:v>0.83723782405296343</c:v>
                      </c:pt>
                      <c:pt idx="158">
                        <c:v>0.82516466506700825</c:v>
                      </c:pt>
                      <c:pt idx="159">
                        <c:v>0.82647735931879573</c:v>
                      </c:pt>
                      <c:pt idx="160">
                        <c:v>0.825574352233021</c:v>
                      </c:pt>
                      <c:pt idx="161">
                        <c:v>0.81716924717952821</c:v>
                      </c:pt>
                      <c:pt idx="162">
                        <c:v>0.81599903926081974</c:v>
                      </c:pt>
                      <c:pt idx="163">
                        <c:v>0.81251950300952669</c:v>
                      </c:pt>
                      <c:pt idx="164">
                        <c:v>0.79449696951160065</c:v>
                      </c:pt>
                      <c:pt idx="165">
                        <c:v>0.79761283032373609</c:v>
                      </c:pt>
                      <c:pt idx="166">
                        <c:v>0.81663254217432635</c:v>
                      </c:pt>
                      <c:pt idx="167">
                        <c:v>0.81686040601184329</c:v>
                      </c:pt>
                      <c:pt idx="168">
                        <c:v>0.7964792401154619</c:v>
                      </c:pt>
                      <c:pt idx="169">
                        <c:v>0.79544090424345903</c:v>
                      </c:pt>
                      <c:pt idx="170">
                        <c:v>0.7676117487218026</c:v>
                      </c:pt>
                      <c:pt idx="171">
                        <c:v>0.77378236892973007</c:v>
                      </c:pt>
                      <c:pt idx="172">
                        <c:v>0.78796386101736171</c:v>
                      </c:pt>
                      <c:pt idx="173">
                        <c:v>0.67459345579997709</c:v>
                      </c:pt>
                      <c:pt idx="174">
                        <c:v>0.71055732898085078</c:v>
                      </c:pt>
                      <c:pt idx="175">
                        <c:v>0.71325334698306875</c:v>
                      </c:pt>
                      <c:pt idx="176">
                        <c:v>0.70373297845821214</c:v>
                      </c:pt>
                      <c:pt idx="177">
                        <c:v>0.7302740035897507</c:v>
                      </c:pt>
                      <c:pt idx="178">
                        <c:v>0.70030176281120649</c:v>
                      </c:pt>
                      <c:pt idx="179">
                        <c:v>0.73200842720643222</c:v>
                      </c:pt>
                      <c:pt idx="180">
                        <c:v>0.67596362973345658</c:v>
                      </c:pt>
                      <c:pt idx="181">
                        <c:v>0.73465906306437001</c:v>
                      </c:pt>
                      <c:pt idx="182">
                        <c:v>0.73766185197004575</c:v>
                      </c:pt>
                      <c:pt idx="183">
                        <c:v>0.73893605630007142</c:v>
                      </c:pt>
                      <c:pt idx="184">
                        <c:v>0.88641434942443975</c:v>
                      </c:pt>
                      <c:pt idx="185">
                        <c:v>0.87452870827109142</c:v>
                      </c:pt>
                      <c:pt idx="186">
                        <c:v>0.87434424013311152</c:v>
                      </c:pt>
                      <c:pt idx="187">
                        <c:v>0.87398029617850548</c:v>
                      </c:pt>
                      <c:pt idx="188">
                        <c:v>0.87111242489507124</c:v>
                      </c:pt>
                      <c:pt idx="189">
                        <c:v>0.87060804264894309</c:v>
                      </c:pt>
                      <c:pt idx="190">
                        <c:v>0.87060617950472186</c:v>
                      </c:pt>
                      <c:pt idx="191">
                        <c:v>0.8714484286266464</c:v>
                      </c:pt>
                      <c:pt idx="192">
                        <c:v>0.82809017102331339</c:v>
                      </c:pt>
                      <c:pt idx="193">
                        <c:v>0.8173514667237447</c:v>
                      </c:pt>
                      <c:pt idx="194">
                        <c:v>0.86540534092226984</c:v>
                      </c:pt>
                      <c:pt idx="195">
                        <c:v>0.86532675599432618</c:v>
                      </c:pt>
                      <c:pt idx="196">
                        <c:v>0.86523842454664368</c:v>
                      </c:pt>
                      <c:pt idx="197">
                        <c:v>0.86513463677449842</c:v>
                      </c:pt>
                      <c:pt idx="198">
                        <c:v>0.86683111366237353</c:v>
                      </c:pt>
                      <c:pt idx="199">
                        <c:v>0.86775416778651915</c:v>
                      </c:pt>
                      <c:pt idx="200">
                        <c:v>0.87173951517096115</c:v>
                      </c:pt>
                      <c:pt idx="201">
                        <c:v>0.88746239798528215</c:v>
                      </c:pt>
                      <c:pt idx="202">
                        <c:v>0.88589217292401168</c:v>
                      </c:pt>
                      <c:pt idx="203">
                        <c:v>0.88395469486474376</c:v>
                      </c:pt>
                      <c:pt idx="204">
                        <c:v>0.867587019968176</c:v>
                      </c:pt>
                      <c:pt idx="205">
                        <c:v>0.86827613861345132</c:v>
                      </c:pt>
                      <c:pt idx="206">
                        <c:v>0.868017592872244</c:v>
                      </c:pt>
                      <c:pt idx="207">
                        <c:v>0.8681810414936324</c:v>
                      </c:pt>
                      <c:pt idx="208">
                        <c:v>0.85074368662408528</c:v>
                      </c:pt>
                      <c:pt idx="209">
                        <c:v>0.8513113634383046</c:v>
                      </c:pt>
                      <c:pt idx="210">
                        <c:v>0.84592246396275417</c:v>
                      </c:pt>
                      <c:pt idx="211">
                        <c:v>0.84204467830335761</c:v>
                      </c:pt>
                      <c:pt idx="212">
                        <c:v>0.84051422166176282</c:v>
                      </c:pt>
                      <c:pt idx="213">
                        <c:v>0.84139784946236551</c:v>
                      </c:pt>
                      <c:pt idx="214">
                        <c:v>0.84224337121212123</c:v>
                      </c:pt>
                      <c:pt idx="215">
                        <c:v>0.84071948181365219</c:v>
                      </c:pt>
                      <c:pt idx="216">
                        <c:v>0.86127705824675527</c:v>
                      </c:pt>
                      <c:pt idx="217">
                        <c:v>0.83457158262788333</c:v>
                      </c:pt>
                      <c:pt idx="218">
                        <c:v>0.83008198054506754</c:v>
                      </c:pt>
                      <c:pt idx="219">
                        <c:v>0.82802583325552781</c:v>
                      </c:pt>
                      <c:pt idx="220">
                        <c:v>0.8267421449985527</c:v>
                      </c:pt>
                      <c:pt idx="221">
                        <c:v>0.82519733766555081</c:v>
                      </c:pt>
                      <c:pt idx="222">
                        <c:v>0.82543352495523703</c:v>
                      </c:pt>
                      <c:pt idx="223">
                        <c:v>0.87277077542577874</c:v>
                      </c:pt>
                      <c:pt idx="224">
                        <c:v>0.82781352460323365</c:v>
                      </c:pt>
                      <c:pt idx="225">
                        <c:v>0.75160597578788568</c:v>
                      </c:pt>
                      <c:pt idx="226">
                        <c:v>0.78313345489743957</c:v>
                      </c:pt>
                      <c:pt idx="227">
                        <c:v>0.78475788869645069</c:v>
                      </c:pt>
                      <c:pt idx="228">
                        <c:v>0.82935596036518344</c:v>
                      </c:pt>
                      <c:pt idx="229">
                        <c:v>0.83055540174936493</c:v>
                      </c:pt>
                      <c:pt idx="230">
                        <c:v>0.83146708117618662</c:v>
                      </c:pt>
                      <c:pt idx="231">
                        <c:v>0.83071765864020142</c:v>
                      </c:pt>
                      <c:pt idx="232">
                        <c:v>0.84428228064506439</c:v>
                      </c:pt>
                      <c:pt idx="233">
                        <c:v>0.83131707050584802</c:v>
                      </c:pt>
                      <c:pt idx="234">
                        <c:v>0.82202105725405727</c:v>
                      </c:pt>
                      <c:pt idx="235">
                        <c:v>0.80457261231069821</c:v>
                      </c:pt>
                      <c:pt idx="236">
                        <c:v>0.83665878913318736</c:v>
                      </c:pt>
                      <c:pt idx="237">
                        <c:v>0.85232096354538756</c:v>
                      </c:pt>
                      <c:pt idx="238">
                        <c:v>0.80010571550376142</c:v>
                      </c:pt>
                      <c:pt idx="239">
                        <c:v>0.7961619257904835</c:v>
                      </c:pt>
                      <c:pt idx="240">
                        <c:v>0.80518707571691794</c:v>
                      </c:pt>
                      <c:pt idx="241">
                        <c:v>0.79570350080095731</c:v>
                      </c:pt>
                      <c:pt idx="242">
                        <c:v>0.8080320890227437</c:v>
                      </c:pt>
                      <c:pt idx="243">
                        <c:v>0.8110320872903416</c:v>
                      </c:pt>
                      <c:pt idx="244">
                        <c:v>0.78356495455087505</c:v>
                      </c:pt>
                      <c:pt idx="245">
                        <c:v>0.78890353795924573</c:v>
                      </c:pt>
                      <c:pt idx="246">
                        <c:v>0.76743192605337829</c:v>
                      </c:pt>
                      <c:pt idx="247">
                        <c:v>0.771374193664084</c:v>
                      </c:pt>
                      <c:pt idx="248">
                        <c:v>0.77413878819310356</c:v>
                      </c:pt>
                      <c:pt idx="249">
                        <c:v>0.79491193863397447</c:v>
                      </c:pt>
                      <c:pt idx="250">
                        <c:v>0.76990459937673805</c:v>
                      </c:pt>
                      <c:pt idx="251">
                        <c:v>0.77805052529400398</c:v>
                      </c:pt>
                      <c:pt idx="252">
                        <c:v>0.77376693315355427</c:v>
                      </c:pt>
                      <c:pt idx="253">
                        <c:v>0.78519469344975601</c:v>
                      </c:pt>
                      <c:pt idx="254">
                        <c:v>0.78241322413486025</c:v>
                      </c:pt>
                      <c:pt idx="255">
                        <c:v>0.77027894541884412</c:v>
                      </c:pt>
                      <c:pt idx="256">
                        <c:v>0.76805121984196711</c:v>
                      </c:pt>
                      <c:pt idx="257">
                        <c:v>0.77017338015167314</c:v>
                      </c:pt>
                      <c:pt idx="258">
                        <c:v>0.7760942225362617</c:v>
                      </c:pt>
                      <c:pt idx="259">
                        <c:v>0.77636466244992941</c:v>
                      </c:pt>
                      <c:pt idx="260">
                        <c:v>0.77762634158082267</c:v>
                      </c:pt>
                      <c:pt idx="261">
                        <c:v>0.78031002873845823</c:v>
                      </c:pt>
                      <c:pt idx="262">
                        <c:v>0.82167473839054028</c:v>
                      </c:pt>
                      <c:pt idx="263">
                        <c:v>0.82207525661473035</c:v>
                      </c:pt>
                      <c:pt idx="264">
                        <c:v>0.82104986923528001</c:v>
                      </c:pt>
                      <c:pt idx="265">
                        <c:v>0.81562741067458056</c:v>
                      </c:pt>
                      <c:pt idx="266">
                        <c:v>0.82118781550675246</c:v>
                      </c:pt>
                      <c:pt idx="267">
                        <c:v>0.82267528223410569</c:v>
                      </c:pt>
                      <c:pt idx="268">
                        <c:v>0.81993854275458045</c:v>
                      </c:pt>
                      <c:pt idx="269">
                        <c:v>0.82012442826882259</c:v>
                      </c:pt>
                      <c:pt idx="270">
                        <c:v>0.82107190503416927</c:v>
                      </c:pt>
                      <c:pt idx="271">
                        <c:v>0.82024249974831376</c:v>
                      </c:pt>
                      <c:pt idx="272">
                        <c:v>0.87689104868916001</c:v>
                      </c:pt>
                      <c:pt idx="273">
                        <c:v>0.86050209632886798</c:v>
                      </c:pt>
                      <c:pt idx="274">
                        <c:v>0.78724019787301247</c:v>
                      </c:pt>
                      <c:pt idx="275">
                        <c:v>0.81578157815047059</c:v>
                      </c:pt>
                      <c:pt idx="276">
                        <c:v>0.85015120707778458</c:v>
                      </c:pt>
                      <c:pt idx="277">
                        <c:v>0.82605787458617641</c:v>
                      </c:pt>
                      <c:pt idx="278">
                        <c:v>0.85775622006392227</c:v>
                      </c:pt>
                      <c:pt idx="279">
                        <c:v>0.85765914714640212</c:v>
                      </c:pt>
                      <c:pt idx="280">
                        <c:v>0.85822327745401339</c:v>
                      </c:pt>
                      <c:pt idx="281">
                        <c:v>0.86338587848932669</c:v>
                      </c:pt>
                      <c:pt idx="282">
                        <c:v>0.84323757904245711</c:v>
                      </c:pt>
                      <c:pt idx="283">
                        <c:v>0.84303124569648702</c:v>
                      </c:pt>
                      <c:pt idx="284">
                        <c:v>0.83411664072594083</c:v>
                      </c:pt>
                      <c:pt idx="285">
                        <c:v>0.83922996000999428</c:v>
                      </c:pt>
                      <c:pt idx="286">
                        <c:v>0.84748265720825944</c:v>
                      </c:pt>
                      <c:pt idx="287">
                        <c:v>0.8474890360572932</c:v>
                      </c:pt>
                      <c:pt idx="288">
                        <c:v>0.84833544021111251</c:v>
                      </c:pt>
                      <c:pt idx="289">
                        <c:v>0.87230379187803753</c:v>
                      </c:pt>
                      <c:pt idx="290">
                        <c:v>0.87321998689312597</c:v>
                      </c:pt>
                      <c:pt idx="291">
                        <c:v>0.87205555160201609</c:v>
                      </c:pt>
                      <c:pt idx="292">
                        <c:v>0.87528236609320853</c:v>
                      </c:pt>
                      <c:pt idx="293">
                        <c:v>0.89151072694526778</c:v>
                      </c:pt>
                      <c:pt idx="294">
                        <c:v>0.87362091107673034</c:v>
                      </c:pt>
                      <c:pt idx="295">
                        <c:v>0.87217515026389025</c:v>
                      </c:pt>
                      <c:pt idx="296">
                        <c:v>0.87890377079935833</c:v>
                      </c:pt>
                      <c:pt idx="297">
                        <c:v>0.89409975096355687</c:v>
                      </c:pt>
                      <c:pt idx="298">
                        <c:v>0.89690436230949688</c:v>
                      </c:pt>
                      <c:pt idx="299">
                        <c:v>0.85803667360941238</c:v>
                      </c:pt>
                      <c:pt idx="300">
                        <c:v>0.86086709459059385</c:v>
                      </c:pt>
                      <c:pt idx="301">
                        <c:v>0.8615106176700682</c:v>
                      </c:pt>
                      <c:pt idx="302">
                        <c:v>0.86491780033816956</c:v>
                      </c:pt>
                      <c:pt idx="303">
                        <c:v>0.88424331842076087</c:v>
                      </c:pt>
                      <c:pt idx="304">
                        <c:v>0.88288026395562225</c:v>
                      </c:pt>
                      <c:pt idx="305">
                        <c:v>0.88446174583435766</c:v>
                      </c:pt>
                      <c:pt idx="306">
                        <c:v>0.88460617763183846</c:v>
                      </c:pt>
                      <c:pt idx="307">
                        <c:v>0.80049770761715144</c:v>
                      </c:pt>
                      <c:pt idx="308">
                        <c:v>0.79814672856614077</c:v>
                      </c:pt>
                      <c:pt idx="309">
                        <c:v>0.79759521815349366</c:v>
                      </c:pt>
                      <c:pt idx="310">
                        <c:v>0.80000496589100389</c:v>
                      </c:pt>
                      <c:pt idx="311">
                        <c:v>0.79813252991548767</c:v>
                      </c:pt>
                      <c:pt idx="312">
                        <c:v>0.79701065852880748</c:v>
                      </c:pt>
                      <c:pt idx="313">
                        <c:v>0.7969781600695901</c:v>
                      </c:pt>
                      <c:pt idx="314">
                        <c:v>0.7991236108829618</c:v>
                      </c:pt>
                      <c:pt idx="315">
                        <c:v>0.79768924153324827</c:v>
                      </c:pt>
                      <c:pt idx="316">
                        <c:v>0.79734531063541847</c:v>
                      </c:pt>
                      <c:pt idx="317">
                        <c:v>0.7976633573504921</c:v>
                      </c:pt>
                      <c:pt idx="318">
                        <c:v>0.79203041775784333</c:v>
                      </c:pt>
                      <c:pt idx="319">
                        <c:v>0.8206063045130263</c:v>
                      </c:pt>
                      <c:pt idx="320">
                        <c:v>0.79853518454084593</c:v>
                      </c:pt>
                      <c:pt idx="321">
                        <c:v>0.79463922450741176</c:v>
                      </c:pt>
                      <c:pt idx="322">
                        <c:v>0.79439614804607739</c:v>
                      </c:pt>
                      <c:pt idx="323">
                        <c:v>0.79450620446959219</c:v>
                      </c:pt>
                      <c:pt idx="324">
                        <c:v>0.79177181527335427</c:v>
                      </c:pt>
                      <c:pt idx="325">
                        <c:v>0.78830975481602383</c:v>
                      </c:pt>
                      <c:pt idx="326">
                        <c:v>0.78963145949409586</c:v>
                      </c:pt>
                      <c:pt idx="327">
                        <c:v>0.75256900027062457</c:v>
                      </c:pt>
                      <c:pt idx="328">
                        <c:v>0.72505385347632145</c:v>
                      </c:pt>
                      <c:pt idx="329">
                        <c:v>0.72506217483413504</c:v>
                      </c:pt>
                      <c:pt idx="330">
                        <c:v>0.7443963334632081</c:v>
                      </c:pt>
                      <c:pt idx="331">
                        <c:v>0.75202734562228146</c:v>
                      </c:pt>
                      <c:pt idx="332">
                        <c:v>0.7782411815201048</c:v>
                      </c:pt>
                      <c:pt idx="333">
                        <c:v>0.76047719230858768</c:v>
                      </c:pt>
                      <c:pt idx="334">
                        <c:v>0.76039074222213765</c:v>
                      </c:pt>
                      <c:pt idx="335">
                        <c:v>0.73305380217579774</c:v>
                      </c:pt>
                      <c:pt idx="336">
                        <c:v>0.71928243190557273</c:v>
                      </c:pt>
                      <c:pt idx="337">
                        <c:v>0.62578445910087199</c:v>
                      </c:pt>
                      <c:pt idx="338">
                        <c:v>0.88694116048376148</c:v>
                      </c:pt>
                      <c:pt idx="339">
                        <c:v>0.8850278850278851</c:v>
                      </c:pt>
                      <c:pt idx="340">
                        <c:v>0.82068027210884342</c:v>
                      </c:pt>
                      <c:pt idx="341">
                        <c:v>0.82226651901070513</c:v>
                      </c:pt>
                      <c:pt idx="342">
                        <c:v>0.88296296296296306</c:v>
                      </c:pt>
                      <c:pt idx="343">
                        <c:v>0.89515148661490129</c:v>
                      </c:pt>
                      <c:pt idx="344">
                        <c:v>0.89421626579698332</c:v>
                      </c:pt>
                      <c:pt idx="345">
                        <c:v>0.89297401609045457</c:v>
                      </c:pt>
                      <c:pt idx="346">
                        <c:v>0.8705089315807214</c:v>
                      </c:pt>
                      <c:pt idx="347">
                        <c:v>0.87422839506172834</c:v>
                      </c:pt>
                      <c:pt idx="348">
                        <c:v>0.87511980065171546</c:v>
                      </c:pt>
                      <c:pt idx="349">
                        <c:v>0.84234109897869514</c:v>
                      </c:pt>
                      <c:pt idx="350">
                        <c:v>0.78013013013013011</c:v>
                      </c:pt>
                      <c:pt idx="351">
                        <c:v>0.80994611912043102</c:v>
                      </c:pt>
                      <c:pt idx="352">
                        <c:v>0.8027126225841601</c:v>
                      </c:pt>
                      <c:pt idx="353">
                        <c:v>0.77729862131066796</c:v>
                      </c:pt>
                      <c:pt idx="354">
                        <c:v>0.77097678011355097</c:v>
                      </c:pt>
                      <c:pt idx="355">
                        <c:v>0.87279069767441853</c:v>
                      </c:pt>
                      <c:pt idx="356">
                        <c:v>0.87402340781273757</c:v>
                      </c:pt>
                      <c:pt idx="357">
                        <c:v>0.84789785681714547</c:v>
                      </c:pt>
                      <c:pt idx="358">
                        <c:v>0.84743053619552078</c:v>
                      </c:pt>
                      <c:pt idx="359">
                        <c:v>0.84126868392271237</c:v>
                      </c:pt>
                      <c:pt idx="360">
                        <c:v>0.84484948909141122</c:v>
                      </c:pt>
                      <c:pt idx="361">
                        <c:v>0.84749862561847178</c:v>
                      </c:pt>
                      <c:pt idx="362">
                        <c:v>0.84817188769522434</c:v>
                      </c:pt>
                      <c:pt idx="363">
                        <c:v>0.84704607046070457</c:v>
                      </c:pt>
                      <c:pt idx="364">
                        <c:v>0.84294249439880509</c:v>
                      </c:pt>
                      <c:pt idx="365">
                        <c:v>0.84904854368932037</c:v>
                      </c:pt>
                      <c:pt idx="366">
                        <c:v>0.80690554649156376</c:v>
                      </c:pt>
                      <c:pt idx="367">
                        <c:v>0.84458151086070132</c:v>
                      </c:pt>
                      <c:pt idx="368">
                        <c:v>0.74526455026455019</c:v>
                      </c:pt>
                      <c:pt idx="369">
                        <c:v>0.68850428769385386</c:v>
                      </c:pt>
                      <c:pt idx="370">
                        <c:v>0.71266926661722163</c:v>
                      </c:pt>
                      <c:pt idx="371">
                        <c:v>0.66178233840625811</c:v>
                      </c:pt>
                      <c:pt idx="372">
                        <c:v>0.65564958846252408</c:v>
                      </c:pt>
                      <c:pt idx="373">
                        <c:v>0.66932859399684042</c:v>
                      </c:pt>
                      <c:pt idx="374">
                        <c:v>0.66956964006259778</c:v>
                      </c:pt>
                      <c:pt idx="375">
                        <c:v>0.69430901040582826</c:v>
                      </c:pt>
                      <c:pt idx="376">
                        <c:v>0.69268694786611917</c:v>
                      </c:pt>
                      <c:pt idx="377">
                        <c:v>0.77169395320991063</c:v>
                      </c:pt>
                      <c:pt idx="378">
                        <c:v>0.74832983959168797</c:v>
                      </c:pt>
                      <c:pt idx="379">
                        <c:v>0.77737989493155368</c:v>
                      </c:pt>
                      <c:pt idx="380">
                        <c:v>0.68907548677730734</c:v>
                      </c:pt>
                      <c:pt idx="381">
                        <c:v>0.68864821191826686</c:v>
                      </c:pt>
                      <c:pt idx="382">
                        <c:v>0.72710431150303079</c:v>
                      </c:pt>
                      <c:pt idx="383">
                        <c:v>0.73380169371310622</c:v>
                      </c:pt>
                      <c:pt idx="384">
                        <c:v>0.76340504056408731</c:v>
                      </c:pt>
                      <c:pt idx="385">
                        <c:v>0.79582985753779112</c:v>
                      </c:pt>
                      <c:pt idx="386">
                        <c:v>0.77713591801010606</c:v>
                      </c:pt>
                      <c:pt idx="387">
                        <c:v>0.74915949156057016</c:v>
                      </c:pt>
                      <c:pt idx="388">
                        <c:v>0.7294439433591392</c:v>
                      </c:pt>
                      <c:pt idx="389">
                        <c:v>0.72831195842003049</c:v>
                      </c:pt>
                      <c:pt idx="390">
                        <c:v>0.71801787568444531</c:v>
                      </c:pt>
                      <c:pt idx="391">
                        <c:v>0.71854112019061578</c:v>
                      </c:pt>
                      <c:pt idx="392">
                        <c:v>0.71673227403122741</c:v>
                      </c:pt>
                      <c:pt idx="393">
                        <c:v>0.6776067053451198</c:v>
                      </c:pt>
                      <c:pt idx="394">
                        <c:v>0.71704052621283554</c:v>
                      </c:pt>
                      <c:pt idx="395">
                        <c:v>0.7171052773909391</c:v>
                      </c:pt>
                      <c:pt idx="396">
                        <c:v>0.77019224933867092</c:v>
                      </c:pt>
                      <c:pt idx="397">
                        <c:v>0.81430374206897083</c:v>
                      </c:pt>
                      <c:pt idx="398">
                        <c:v>0.81519171695839121</c:v>
                      </c:pt>
                      <c:pt idx="399">
                        <c:v>0.77924187644517351</c:v>
                      </c:pt>
                      <c:pt idx="400">
                        <c:v>0.7785259640780825</c:v>
                      </c:pt>
                      <c:pt idx="401">
                        <c:v>0.81562728285773711</c:v>
                      </c:pt>
                      <c:pt idx="402">
                        <c:v>0.81573759232127707</c:v>
                      </c:pt>
                      <c:pt idx="403">
                        <c:v>0.77466560768192128</c:v>
                      </c:pt>
                      <c:pt idx="404">
                        <c:v>0.77414364928323265</c:v>
                      </c:pt>
                      <c:pt idx="405">
                        <c:v>0.77447010089965906</c:v>
                      </c:pt>
                      <c:pt idx="406">
                        <c:v>0.81323021571237364</c:v>
                      </c:pt>
                      <c:pt idx="407">
                        <c:v>0.84597345528124002</c:v>
                      </c:pt>
                      <c:pt idx="408">
                        <c:v>0.8470870140762542</c:v>
                      </c:pt>
                      <c:pt idx="409">
                        <c:v>0.84618659027311838</c:v>
                      </c:pt>
                      <c:pt idx="410">
                        <c:v>0.84650847540113583</c:v>
                      </c:pt>
                      <c:pt idx="411">
                        <c:v>0.84706244276662523</c:v>
                      </c:pt>
                      <c:pt idx="412">
                        <c:v>0.84306969957649613</c:v>
                      </c:pt>
                      <c:pt idx="413">
                        <c:v>0.86298987209921718</c:v>
                      </c:pt>
                      <c:pt idx="414">
                        <c:v>0.87534065986008691</c:v>
                      </c:pt>
                      <c:pt idx="415">
                        <c:v>0.85739795619043846</c:v>
                      </c:pt>
                      <c:pt idx="416">
                        <c:v>0.85851680457372315</c:v>
                      </c:pt>
                      <c:pt idx="417">
                        <c:v>0.85962676200288946</c:v>
                      </c:pt>
                      <c:pt idx="418">
                        <c:v>0.85738311584796534</c:v>
                      </c:pt>
                      <c:pt idx="419">
                        <c:v>0.85668267802257947</c:v>
                      </c:pt>
                      <c:pt idx="420">
                        <c:v>0.8565936713265474</c:v>
                      </c:pt>
                      <c:pt idx="421">
                        <c:v>0.87231467019103703</c:v>
                      </c:pt>
                      <c:pt idx="422">
                        <c:v>0.87341354958480721</c:v>
                      </c:pt>
                      <c:pt idx="423">
                        <c:v>0.87651319268966332</c:v>
                      </c:pt>
                      <c:pt idx="424">
                        <c:v>0.87592864125122194</c:v>
                      </c:pt>
                      <c:pt idx="425">
                        <c:v>0.89491717295962236</c:v>
                      </c:pt>
                      <c:pt idx="426">
                        <c:v>0.8123032401668292</c:v>
                      </c:pt>
                      <c:pt idx="427">
                        <c:v>0.8201177675371224</c:v>
                      </c:pt>
                      <c:pt idx="428">
                        <c:v>0.83842867773399421</c:v>
                      </c:pt>
                      <c:pt idx="429">
                        <c:v>0.81922382008870931</c:v>
                      </c:pt>
                      <c:pt idx="430">
                        <c:v>0.84001143662492495</c:v>
                      </c:pt>
                      <c:pt idx="431">
                        <c:v>0.81806783710485287</c:v>
                      </c:pt>
                      <c:pt idx="432">
                        <c:v>0.79246094969487624</c:v>
                      </c:pt>
                      <c:pt idx="433">
                        <c:v>0.81949711186265473</c:v>
                      </c:pt>
                      <c:pt idx="434">
                        <c:v>0.82104531735174702</c:v>
                      </c:pt>
                      <c:pt idx="435">
                        <c:v>0.77483002358957054</c:v>
                      </c:pt>
                      <c:pt idx="436">
                        <c:v>0.84127071702769707</c:v>
                      </c:pt>
                      <c:pt idx="437">
                        <c:v>0.86554294636365903</c:v>
                      </c:pt>
                      <c:pt idx="438">
                        <c:v>0.86788077182092349</c:v>
                      </c:pt>
                      <c:pt idx="439">
                        <c:v>0.86797683935471148</c:v>
                      </c:pt>
                      <c:pt idx="440">
                        <c:v>0.86781084505696693</c:v>
                      </c:pt>
                      <c:pt idx="441">
                        <c:v>0.90158978952082403</c:v>
                      </c:pt>
                      <c:pt idx="442">
                        <c:v>0.90006069511883458</c:v>
                      </c:pt>
                      <c:pt idx="443">
                        <c:v>0.90139751552795033</c:v>
                      </c:pt>
                      <c:pt idx="444">
                        <c:v>0.90167958103229306</c:v>
                      </c:pt>
                      <c:pt idx="445">
                        <c:v>0.89861553540798822</c:v>
                      </c:pt>
                      <c:pt idx="446">
                        <c:v>0.9000937420106242</c:v>
                      </c:pt>
                      <c:pt idx="447">
                        <c:v>0.89880292139039752</c:v>
                      </c:pt>
                      <c:pt idx="448">
                        <c:v>0.89998361730013099</c:v>
                      </c:pt>
                      <c:pt idx="449">
                        <c:v>0.91251014307068135</c:v>
                      </c:pt>
                      <c:pt idx="450">
                        <c:v>0.91083399732205794</c:v>
                      </c:pt>
                      <c:pt idx="451">
                        <c:v>0.90989104588405689</c:v>
                      </c:pt>
                      <c:pt idx="452">
                        <c:v>0.89222222222222225</c:v>
                      </c:pt>
                      <c:pt idx="453">
                        <c:v>0.91011471532019483</c:v>
                      </c:pt>
                      <c:pt idx="454">
                        <c:v>0.91141916674503898</c:v>
                      </c:pt>
                      <c:pt idx="455">
                        <c:v>0.90609063184136251</c:v>
                      </c:pt>
                      <c:pt idx="456">
                        <c:v>0.87367303139407526</c:v>
                      </c:pt>
                      <c:pt idx="457">
                        <c:v>0.87312053026338743</c:v>
                      </c:pt>
                      <c:pt idx="458">
                        <c:v>0.88372269881413035</c:v>
                      </c:pt>
                      <c:pt idx="459">
                        <c:v>0.88418633475632424</c:v>
                      </c:pt>
                      <c:pt idx="460">
                        <c:v>0.87233024077340748</c:v>
                      </c:pt>
                      <c:pt idx="461">
                        <c:v>0.88256450544204168</c:v>
                      </c:pt>
                      <c:pt idx="462">
                        <c:v>0.8830089424450327</c:v>
                      </c:pt>
                      <c:pt idx="463">
                        <c:v>0.88313798788501641</c:v>
                      </c:pt>
                      <c:pt idx="464">
                        <c:v>0.88289086648698645</c:v>
                      </c:pt>
                      <c:pt idx="465">
                        <c:v>0.88124347122427404</c:v>
                      </c:pt>
                      <c:pt idx="466">
                        <c:v>0.87967094261369039</c:v>
                      </c:pt>
                      <c:pt idx="467">
                        <c:v>0.88037754339572349</c:v>
                      </c:pt>
                      <c:pt idx="468">
                        <c:v>0.84000540801913037</c:v>
                      </c:pt>
                      <c:pt idx="469">
                        <c:v>0.8374316895096946</c:v>
                      </c:pt>
                      <c:pt idx="470">
                        <c:v>0.8354525196474839</c:v>
                      </c:pt>
                      <c:pt idx="471">
                        <c:v>0.85641642813773955</c:v>
                      </c:pt>
                      <c:pt idx="472">
                        <c:v>0.83264391151715089</c:v>
                      </c:pt>
                      <c:pt idx="473">
                        <c:v>0.83403988217965142</c:v>
                      </c:pt>
                      <c:pt idx="474">
                        <c:v>0.82955615476801925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F4-4826-BF45-B24EAABC4F62}"/>
                  </c:ext>
                </c:extLst>
              </c15:ser>
            </c15:filteredLineSeries>
          </c:ext>
        </c:extLst>
      </c:lineChart>
      <c:catAx>
        <c:axId val="813800511"/>
        <c:scaling>
          <c:orientation val="minMax"/>
        </c:scaling>
        <c:delete val="0"/>
        <c:axPos val="b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3800991"/>
        <c:crosses val="autoZero"/>
        <c:auto val="1"/>
        <c:lblAlgn val="ctr"/>
        <c:lblOffset val="100"/>
        <c:noMultiLvlLbl val="0"/>
      </c:catAx>
      <c:valAx>
        <c:axId val="81380099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380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15</xdr:row>
      <xdr:rowOff>0</xdr:rowOff>
    </xdr:from>
    <xdr:to>
      <xdr:col>22</xdr:col>
      <xdr:colOff>523200</xdr:colOff>
      <xdr:row>60</xdr:row>
      <xdr:rowOff>85458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B3E6CF-3444-4CDD-A0CA-31E2A5C11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566042</xdr:colOff>
      <xdr:row>14</xdr:row>
      <xdr:rowOff>188320</xdr:rowOff>
    </xdr:from>
    <xdr:to>
      <xdr:col>31</xdr:col>
      <xdr:colOff>479642</xdr:colOff>
      <xdr:row>60</xdr:row>
      <xdr:rowOff>77835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E92141-5A49-4471-A4C7-5318E8542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68</xdr:row>
      <xdr:rowOff>0</xdr:rowOff>
    </xdr:from>
    <xdr:to>
      <xdr:col>22</xdr:col>
      <xdr:colOff>523200</xdr:colOff>
      <xdr:row>116</xdr:row>
      <xdr:rowOff>41914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4386E3-A4CC-40CB-901C-3A3021B72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566057</xdr:colOff>
      <xdr:row>68</xdr:row>
      <xdr:rowOff>10885</xdr:rowOff>
    </xdr:from>
    <xdr:to>
      <xdr:col>31</xdr:col>
      <xdr:colOff>479657</xdr:colOff>
      <xdr:row>116</xdr:row>
      <xdr:rowOff>52799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52D6073-5A3E-446E-B14B-83E10BA89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E642A-2077-4050-8204-E0DFF481E4FA}">
  <dimension ref="A1:E24"/>
  <sheetViews>
    <sheetView workbookViewId="0">
      <selection sqref="A1:XFD1"/>
    </sheetView>
  </sheetViews>
  <sheetFormatPr defaultRowHeight="10.199999999999999" x14ac:dyDescent="0.2"/>
  <cols>
    <col min="1" max="1" width="15.6640625" style="25" bestFit="1" customWidth="1"/>
    <col min="2" max="3" width="17" style="25" customWidth="1"/>
    <col min="4" max="4" width="23.21875" style="25" customWidth="1"/>
    <col min="5" max="5" width="77" style="25" bestFit="1" customWidth="1"/>
    <col min="6" max="16384" width="8.88671875" style="25"/>
  </cols>
  <sheetData>
    <row r="1" spans="1:5" s="31" customFormat="1" x14ac:dyDescent="0.2">
      <c r="A1" s="31" t="s">
        <v>244</v>
      </c>
      <c r="B1" s="31" t="s">
        <v>245</v>
      </c>
      <c r="C1" s="31" t="s">
        <v>246</v>
      </c>
      <c r="D1" s="31" t="s">
        <v>247</v>
      </c>
    </row>
    <row r="2" spans="1:5" x14ac:dyDescent="0.2">
      <c r="A2" s="25">
        <v>1</v>
      </c>
      <c r="B2" s="25" t="s">
        <v>248</v>
      </c>
      <c r="C2" s="25" t="s">
        <v>249</v>
      </c>
      <c r="D2" s="25" t="s">
        <v>250</v>
      </c>
    </row>
    <row r="3" spans="1:5" x14ac:dyDescent="0.2">
      <c r="A3" s="25">
        <v>2</v>
      </c>
      <c r="B3" s="25" t="s">
        <v>251</v>
      </c>
      <c r="C3" s="25" t="s">
        <v>252</v>
      </c>
      <c r="D3" s="25" t="s">
        <v>253</v>
      </c>
    </row>
    <row r="4" spans="1:5" x14ac:dyDescent="0.2">
      <c r="A4" s="25">
        <v>4</v>
      </c>
      <c r="B4" s="25" t="s">
        <v>254</v>
      </c>
      <c r="C4" s="25" t="s">
        <v>255</v>
      </c>
      <c r="D4" s="25" t="s">
        <v>256</v>
      </c>
    </row>
    <row r="5" spans="1:5" x14ac:dyDescent="0.2">
      <c r="A5" s="25">
        <v>5</v>
      </c>
      <c r="B5" s="25" t="s">
        <v>257</v>
      </c>
      <c r="C5" s="25" t="s">
        <v>255</v>
      </c>
      <c r="D5" s="25" t="s">
        <v>258</v>
      </c>
    </row>
    <row r="6" spans="1:5" x14ac:dyDescent="0.2">
      <c r="A6" s="25">
        <v>12</v>
      </c>
      <c r="B6" s="25" t="s">
        <v>259</v>
      </c>
      <c r="C6" s="25" t="s">
        <v>260</v>
      </c>
      <c r="D6" s="25" t="s">
        <v>261</v>
      </c>
    </row>
    <row r="7" spans="1:5" x14ac:dyDescent="0.2">
      <c r="A7" s="25">
        <v>18</v>
      </c>
      <c r="B7" s="25" t="s">
        <v>262</v>
      </c>
      <c r="C7" s="25" t="s">
        <v>263</v>
      </c>
      <c r="D7" s="25" t="s">
        <v>264</v>
      </c>
    </row>
    <row r="8" spans="1:5" x14ac:dyDescent="0.2">
      <c r="A8" s="25">
        <v>19</v>
      </c>
      <c r="B8" s="25" t="s">
        <v>265</v>
      </c>
      <c r="C8" s="25" t="s">
        <v>266</v>
      </c>
      <c r="D8" s="25" t="s">
        <v>267</v>
      </c>
    </row>
    <row r="9" spans="1:5" x14ac:dyDescent="0.2">
      <c r="A9" s="25">
        <v>20</v>
      </c>
      <c r="B9" s="25" t="s">
        <v>268</v>
      </c>
      <c r="C9" s="25" t="s">
        <v>269</v>
      </c>
      <c r="D9" s="25" t="s">
        <v>270</v>
      </c>
    </row>
    <row r="10" spans="1:5" x14ac:dyDescent="0.2">
      <c r="A10" s="25" t="s">
        <v>271</v>
      </c>
      <c r="B10" s="25" t="s">
        <v>272</v>
      </c>
      <c r="C10" s="25" t="s">
        <v>273</v>
      </c>
      <c r="D10" s="25" t="s">
        <v>274</v>
      </c>
    </row>
    <row r="15" spans="1:5" s="27" customFormat="1" x14ac:dyDescent="0.3">
      <c r="A15" s="26" t="s">
        <v>275</v>
      </c>
      <c r="B15" s="27" t="s">
        <v>276</v>
      </c>
      <c r="C15" s="27" t="s">
        <v>277</v>
      </c>
      <c r="D15" s="27" t="s">
        <v>278</v>
      </c>
      <c r="E15" s="27" t="s">
        <v>279</v>
      </c>
    </row>
    <row r="16" spans="1:5" x14ac:dyDescent="0.2">
      <c r="A16" s="28" t="s">
        <v>280</v>
      </c>
      <c r="B16" s="25" t="s">
        <v>281</v>
      </c>
      <c r="C16" s="25" t="s">
        <v>281</v>
      </c>
      <c r="D16" s="25" t="s">
        <v>281</v>
      </c>
      <c r="E16" s="25" t="s">
        <v>281</v>
      </c>
    </row>
    <row r="17" spans="1:5" x14ac:dyDescent="0.2">
      <c r="A17" s="28" t="s">
        <v>282</v>
      </c>
      <c r="B17" s="25" t="s">
        <v>283</v>
      </c>
      <c r="C17" s="25" t="s">
        <v>284</v>
      </c>
      <c r="D17" s="25" t="s">
        <v>285</v>
      </c>
      <c r="E17" s="25" t="s">
        <v>286</v>
      </c>
    </row>
    <row r="18" spans="1:5" x14ac:dyDescent="0.2">
      <c r="A18" s="28" t="s">
        <v>287</v>
      </c>
      <c r="B18" s="25" t="s">
        <v>288</v>
      </c>
      <c r="C18" s="25" t="s">
        <v>289</v>
      </c>
      <c r="D18" s="25" t="s">
        <v>290</v>
      </c>
      <c r="E18" s="25" t="s">
        <v>291</v>
      </c>
    </row>
    <row r="19" spans="1:5" x14ac:dyDescent="0.2">
      <c r="A19" s="28" t="s">
        <v>292</v>
      </c>
      <c r="B19" s="25" t="s">
        <v>293</v>
      </c>
      <c r="C19" s="25" t="s">
        <v>294</v>
      </c>
      <c r="D19" s="25" t="s">
        <v>293</v>
      </c>
      <c r="E19" s="25" t="s">
        <v>295</v>
      </c>
    </row>
    <row r="20" spans="1:5" x14ac:dyDescent="0.2">
      <c r="A20" s="29" t="s">
        <v>296</v>
      </c>
      <c r="B20" s="25" t="s">
        <v>297</v>
      </c>
      <c r="C20" s="25" t="s">
        <v>298</v>
      </c>
      <c r="D20" s="25" t="s">
        <v>299</v>
      </c>
      <c r="E20" s="25" t="s">
        <v>300</v>
      </c>
    </row>
    <row r="21" spans="1:5" x14ac:dyDescent="0.2">
      <c r="A21" s="30" t="s">
        <v>301</v>
      </c>
      <c r="B21" s="25" t="s">
        <v>302</v>
      </c>
      <c r="C21" s="25" t="s">
        <v>302</v>
      </c>
      <c r="D21" s="25" t="s">
        <v>302</v>
      </c>
      <c r="E21" s="25" t="s">
        <v>303</v>
      </c>
    </row>
    <row r="22" spans="1:5" x14ac:dyDescent="0.2">
      <c r="A22" s="28"/>
    </row>
    <row r="23" spans="1:5" x14ac:dyDescent="0.2">
      <c r="A23" s="28"/>
    </row>
    <row r="24" spans="1:5" x14ac:dyDescent="0.2">
      <c r="A24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B78A1-560F-4E87-85E1-B1102A35101F}">
  <dimension ref="B1:AK498"/>
  <sheetViews>
    <sheetView tabSelected="1" topLeftCell="M120" zoomScale="130" zoomScaleNormal="130" workbookViewId="0">
      <selection activeCell="S125" sqref="S125"/>
    </sheetView>
  </sheetViews>
  <sheetFormatPr defaultRowHeight="14.4" x14ac:dyDescent="0.3"/>
  <cols>
    <col min="2" max="2" width="12" customWidth="1"/>
    <col min="3" max="3" width="12" style="11" customWidth="1"/>
    <col min="4" max="7" width="13.6640625" style="10" customWidth="1"/>
    <col min="8" max="10" width="13.6640625" style="8" customWidth="1"/>
    <col min="11" max="11" width="13.6640625" style="10" customWidth="1"/>
    <col min="12" max="12" width="13.6640625" customWidth="1"/>
    <col min="13" max="13" width="13.6640625" style="10" customWidth="1"/>
    <col min="14" max="14" width="8.88671875" style="10"/>
    <col min="16" max="16" width="8.88671875" style="10"/>
  </cols>
  <sheetData>
    <row r="1" spans="2:24" x14ac:dyDescent="0.3">
      <c r="V1" t="s">
        <v>236</v>
      </c>
      <c r="W1" t="s">
        <v>237</v>
      </c>
      <c r="X1" t="s">
        <v>238</v>
      </c>
    </row>
    <row r="2" spans="2:24" ht="18" thickBot="1" x14ac:dyDescent="0.35">
      <c r="B2" s="9" t="s">
        <v>227</v>
      </c>
      <c r="V2" t="s">
        <v>239</v>
      </c>
      <c r="W2" s="24">
        <v>429717</v>
      </c>
      <c r="X2" s="24">
        <v>45589</v>
      </c>
    </row>
    <row r="3" spans="2:24" ht="15" thickTop="1" x14ac:dyDescent="0.3">
      <c r="B3" s="14" t="s">
        <v>220</v>
      </c>
      <c r="C3" s="15" t="s">
        <v>216</v>
      </c>
      <c r="D3" s="14" t="s">
        <v>221</v>
      </c>
      <c r="E3" s="14" t="s">
        <v>222</v>
      </c>
      <c r="F3" s="16" t="s">
        <v>223</v>
      </c>
      <c r="G3" s="16" t="s">
        <v>224</v>
      </c>
      <c r="H3" s="16" t="s">
        <v>225</v>
      </c>
      <c r="I3" s="16" t="s">
        <v>226</v>
      </c>
      <c r="J3" s="10"/>
      <c r="K3"/>
      <c r="L3" s="10"/>
      <c r="N3"/>
      <c r="O3" s="10"/>
      <c r="P3"/>
      <c r="V3" t="s">
        <v>240</v>
      </c>
      <c r="W3" s="24">
        <v>28120</v>
      </c>
      <c r="X3" s="24">
        <v>3389</v>
      </c>
    </row>
    <row r="4" spans="2:24" x14ac:dyDescent="0.3">
      <c r="B4" s="7" t="s">
        <v>15</v>
      </c>
      <c r="C4" s="12" t="s">
        <v>16</v>
      </c>
      <c r="D4" s="21">
        <f>AVERAGEIFS('New credit'!J:J, 'New credit'!$D:$D, $C4)</f>
        <v>0.71858327075819839</v>
      </c>
      <c r="E4" s="22">
        <f>AVERAGEIFS('New credit'!K:K, 'New credit'!$D:$D, $C4)</f>
        <v>0.77489697595414619</v>
      </c>
      <c r="F4" s="22">
        <f>AVERAGEIFS('New credit'!L:L, 'New credit'!$D:$D, $C4)</f>
        <v>0.64949198327890778</v>
      </c>
      <c r="G4" s="21">
        <f>AVERAGEIFS('New credit'!G:G, 'New credit'!$D:$D, $C4)</f>
        <v>0.10000000000000085</v>
      </c>
      <c r="H4" s="22">
        <f>AVERAGEIFS('New credit'!H:H, 'New credit'!$D:$D, $C4)</f>
        <v>0.40000000000000341</v>
      </c>
      <c r="I4" s="22">
        <f>AVERAGEIFS('New credit'!I:I, 'New credit'!$D:$D, $C4)</f>
        <v>5.0000000000000426E-2</v>
      </c>
      <c r="J4" s="10"/>
      <c r="K4"/>
      <c r="L4" s="10"/>
      <c r="N4"/>
      <c r="O4" s="10"/>
      <c r="P4"/>
      <c r="V4" t="s">
        <v>241</v>
      </c>
      <c r="W4" s="24">
        <v>5356</v>
      </c>
      <c r="X4">
        <v>520</v>
      </c>
    </row>
    <row r="5" spans="2:24" x14ac:dyDescent="0.3">
      <c r="B5" s="7" t="s">
        <v>15</v>
      </c>
      <c r="C5" s="12" t="s">
        <v>162</v>
      </c>
      <c r="D5" s="22">
        <f>AVERAGEIFS('New credit'!J:J, 'New credit'!$D:$D, $C5)</f>
        <v>0.45843528494087088</v>
      </c>
      <c r="E5" s="21">
        <f>AVERAGEIFS('New credit'!K:K, 'New credit'!$D:$D, $C5)</f>
        <v>0.86196948528526052</v>
      </c>
      <c r="F5" s="22">
        <f>AVERAGEIFS('New credit'!L:L, 'New credit'!$D:$D, $C5)</f>
        <v>0.69893075451979236</v>
      </c>
      <c r="G5" s="22">
        <f>AVERAGEIFS('New credit'!G:G, 'New credit'!$D:$D, $C5)</f>
        <v>0.85920467836257319</v>
      </c>
      <c r="H5" s="21">
        <f>AVERAGEIFS('New credit'!H:H, 'New credit'!$D:$D, $C5)</f>
        <v>0.57305263157894937</v>
      </c>
      <c r="I5" s="22">
        <f>AVERAGEIFS('New credit'!I:I, 'New credit'!$D:$D, $C5)</f>
        <v>5.0982456140351309E-2</v>
      </c>
      <c r="J5" s="10"/>
      <c r="K5"/>
      <c r="L5" s="10"/>
      <c r="N5"/>
      <c r="O5" s="10"/>
      <c r="P5"/>
      <c r="V5" t="s">
        <v>242</v>
      </c>
      <c r="W5">
        <v>15.28</v>
      </c>
      <c r="X5">
        <v>13.45</v>
      </c>
    </row>
    <row r="6" spans="2:24" x14ac:dyDescent="0.3">
      <c r="B6" s="7" t="s">
        <v>15</v>
      </c>
      <c r="C6" s="12" t="s">
        <v>161</v>
      </c>
      <c r="D6" s="22">
        <f>AVERAGEIFS('New credit'!J:J, 'New credit'!$D:$D, $C6)</f>
        <v>0.57264238528895384</v>
      </c>
      <c r="E6" s="22">
        <f>AVERAGEIFS('New credit'!K:K, 'New credit'!$D:$D, $C6)</f>
        <v>0.83770461211208802</v>
      </c>
      <c r="F6" s="21">
        <f>AVERAGEIFS('New credit'!L:L, 'New credit'!$D:$D, $C6)</f>
        <v>0.74240107042269843</v>
      </c>
      <c r="G6" s="22">
        <f>AVERAGEIFS('New credit'!G:G, 'New credit'!$D:$D, $C6)</f>
        <v>0.60844444444444634</v>
      </c>
      <c r="H6" s="22">
        <f>AVERAGEIFS('New credit'!H:H, 'New credit'!$D:$D, $C6)</f>
        <v>0.54568421052631821</v>
      </c>
      <c r="I6" s="21">
        <f>AVERAGEIFS('New credit'!I:I, 'New credit'!$D:$D, $C6)</f>
        <v>5.7719298245614538E-2</v>
      </c>
      <c r="J6" s="10"/>
      <c r="K6"/>
      <c r="L6" s="10"/>
      <c r="N6"/>
      <c r="O6" s="10"/>
      <c r="P6"/>
      <c r="V6" t="s">
        <v>243</v>
      </c>
      <c r="W6">
        <v>15.28</v>
      </c>
      <c r="X6">
        <v>13.45</v>
      </c>
    </row>
    <row r="7" spans="2:24" x14ac:dyDescent="0.3">
      <c r="B7" s="7" t="s">
        <v>163</v>
      </c>
      <c r="C7" s="12" t="s">
        <v>16</v>
      </c>
      <c r="D7" s="21">
        <f>AVERAGEIFS('Limit raise'!J:J, 'Limit raise'!$D:$D, $C7)</f>
        <v>0.66660529357597242</v>
      </c>
      <c r="E7" s="22">
        <f>AVERAGEIFS('Limit raise'!K:K, 'Limit raise'!$D:$D, $C7)</f>
        <v>0.8045403912011645</v>
      </c>
      <c r="F7" s="22">
        <f>AVERAGEIFS('Limit raise'!L:L, 'Limit raise'!$D:$D, $C7)</f>
        <v>0.66650518247843504</v>
      </c>
      <c r="G7" s="21">
        <f>AVERAGEIFS('Limit raise'!G:G, 'Limit raise'!$D:$D, $C7)</f>
        <v>0.10000000000000085</v>
      </c>
      <c r="H7" s="22">
        <f>AVERAGEIFS('Limit raise'!H:H, 'Limit raise'!$D:$D, $C7)</f>
        <v>0.40000000000000341</v>
      </c>
      <c r="I7" s="22">
        <f>AVERAGEIFS('Limit raise'!I:I, 'Limit raise'!$D:$D, $C7)</f>
        <v>5.0000000000000426E-2</v>
      </c>
      <c r="J7" s="10"/>
      <c r="K7"/>
      <c r="L7" s="10"/>
      <c r="N7"/>
      <c r="O7" s="10"/>
      <c r="P7"/>
    </row>
    <row r="8" spans="2:24" x14ac:dyDescent="0.3">
      <c r="B8" s="7" t="s">
        <v>163</v>
      </c>
      <c r="C8" s="12" t="s">
        <v>162</v>
      </c>
      <c r="D8" s="22">
        <f>AVERAGEIFS('Limit raise'!J:J, 'Limit raise'!$D:$D, $C8)</f>
        <v>0.35849075496558908</v>
      </c>
      <c r="E8" s="21">
        <f>AVERAGEIFS('Limit raise'!K:K, 'Limit raise'!$D:$D, $C8)</f>
        <v>0.91644677421318843</v>
      </c>
      <c r="F8" s="22">
        <f>AVERAGEIFS('Limit raise'!L:L, 'Limit raise'!$D:$D, $C8)</f>
        <v>0.69221367518582888</v>
      </c>
      <c r="G8" s="22">
        <f>AVERAGEIFS('Limit raise'!G:G, 'Limit raise'!$D:$D, $C8)</f>
        <v>0.89887719298244984</v>
      </c>
      <c r="H8" s="21">
        <f>AVERAGEIFS('Limit raise'!H:H, 'Limit raise'!$D:$D, $C8)</f>
        <v>0.71452631578947934</v>
      </c>
      <c r="I8" s="22">
        <f>AVERAGEIFS('Limit raise'!I:I, 'Limit raise'!$D:$D, $C8)</f>
        <v>0.12663157894736857</v>
      </c>
      <c r="J8" s="10"/>
      <c r="K8"/>
      <c r="L8" s="10"/>
      <c r="N8"/>
      <c r="O8" s="10"/>
      <c r="P8"/>
    </row>
    <row r="9" spans="2:24" x14ac:dyDescent="0.3">
      <c r="B9" s="7" t="s">
        <v>163</v>
      </c>
      <c r="C9" s="12" t="s">
        <v>161</v>
      </c>
      <c r="D9" s="22">
        <f>AVERAGEIFS('Limit raise'!J:J, 'Limit raise'!$D:$D, $C9)</f>
        <v>0.50705219292310433</v>
      </c>
      <c r="E9" s="22">
        <f>AVERAGEIFS('Limit raise'!K:K, 'Limit raise'!$D:$D, $C9)</f>
        <v>0.89118568560030575</v>
      </c>
      <c r="F9" s="21">
        <f>AVERAGEIFS('Limit raise'!L:L, 'Limit raise'!$D:$D, $C9)</f>
        <v>0.81175471798437282</v>
      </c>
      <c r="G9" s="22">
        <f>AVERAGEIFS('Limit raise'!G:G, 'Limit raise'!$D:$D, $C9)</f>
        <v>0.73681871345029593</v>
      </c>
      <c r="H9" s="22">
        <f>AVERAGEIFS('Limit raise'!H:H, 'Limit raise'!$D:$D, $C9)</f>
        <v>0.65684210526316433</v>
      </c>
      <c r="I9" s="21">
        <f>AVERAGEIFS('Limit raise'!I:I, 'Limit raise'!$D:$D, $C9)</f>
        <v>5.0982456140351316E-2</v>
      </c>
      <c r="J9" s="10"/>
      <c r="K9"/>
      <c r="L9" s="10"/>
      <c r="N9"/>
      <c r="O9" s="10"/>
      <c r="P9"/>
    </row>
    <row r="10" spans="2:24" x14ac:dyDescent="0.3">
      <c r="H10"/>
      <c r="I10"/>
      <c r="J10"/>
    </row>
    <row r="11" spans="2:24" x14ac:dyDescent="0.3">
      <c r="H11"/>
      <c r="I11"/>
      <c r="J11"/>
    </row>
    <row r="12" spans="2:24" x14ac:dyDescent="0.3">
      <c r="H12"/>
      <c r="I12"/>
      <c r="J12"/>
    </row>
    <row r="13" spans="2:24" x14ac:dyDescent="0.3">
      <c r="H13"/>
      <c r="I13"/>
      <c r="J13"/>
    </row>
    <row r="14" spans="2:24" ht="17.399999999999999" x14ac:dyDescent="0.3">
      <c r="B14" s="9" t="s">
        <v>228</v>
      </c>
      <c r="H14"/>
      <c r="I14"/>
      <c r="J14"/>
    </row>
    <row r="15" spans="2:24" ht="15" thickBot="1" x14ac:dyDescent="0.35">
      <c r="H15"/>
      <c r="I15"/>
      <c r="J15"/>
      <c r="O15" t="s">
        <v>235</v>
      </c>
    </row>
    <row r="16" spans="2:24" ht="15.6" thickTop="1" thickBot="1" x14ac:dyDescent="0.35">
      <c r="D16" s="14" t="s">
        <v>16</v>
      </c>
      <c r="E16" s="14" t="s">
        <v>162</v>
      </c>
      <c r="F16" s="14" t="s">
        <v>161</v>
      </c>
      <c r="G16" s="14"/>
      <c r="H16" s="14" t="s">
        <v>230</v>
      </c>
      <c r="I16" s="14" t="s">
        <v>16</v>
      </c>
      <c r="J16" s="14" t="s">
        <v>162</v>
      </c>
      <c r="K16" s="14" t="s">
        <v>161</v>
      </c>
      <c r="L16" s="14"/>
      <c r="M16" s="14" t="s">
        <v>230</v>
      </c>
      <c r="N16" s="20"/>
      <c r="P16"/>
    </row>
    <row r="17" spans="3:16" ht="15" thickTop="1" x14ac:dyDescent="0.3">
      <c r="C17" s="11" t="s">
        <v>229</v>
      </c>
      <c r="D17" s="14" t="s">
        <v>9</v>
      </c>
      <c r="E17" s="14" t="s">
        <v>10</v>
      </c>
      <c r="F17" s="14" t="s">
        <v>11</v>
      </c>
      <c r="G17" s="2" t="s">
        <v>13</v>
      </c>
      <c r="H17" s="19" t="s">
        <v>231</v>
      </c>
      <c r="I17" s="14" t="s">
        <v>9</v>
      </c>
      <c r="J17" s="14" t="s">
        <v>10</v>
      </c>
      <c r="K17" s="14" t="s">
        <v>11</v>
      </c>
      <c r="L17" s="2" t="s">
        <v>13</v>
      </c>
      <c r="M17" s="19" t="s">
        <v>231</v>
      </c>
      <c r="N17" s="19"/>
      <c r="P17"/>
    </row>
    <row r="18" spans="3:16" x14ac:dyDescent="0.3">
      <c r="D18" s="20" t="s">
        <v>217</v>
      </c>
      <c r="E18" s="20" t="s">
        <v>218</v>
      </c>
      <c r="F18" s="20" t="s">
        <v>219</v>
      </c>
      <c r="G18" s="20" t="s">
        <v>233</v>
      </c>
      <c r="H18" s="20" t="s">
        <v>234</v>
      </c>
      <c r="I18" s="20" t="s">
        <v>217</v>
      </c>
      <c r="J18" s="20" t="s">
        <v>218</v>
      </c>
      <c r="K18" s="20" t="s">
        <v>219</v>
      </c>
      <c r="L18" s="20" t="s">
        <v>233</v>
      </c>
      <c r="M18" s="20" t="s">
        <v>234</v>
      </c>
      <c r="N18" s="19"/>
      <c r="P18"/>
    </row>
    <row r="19" spans="3:16" s="13" customFormat="1" ht="7.2" customHeight="1" x14ac:dyDescent="0.3">
      <c r="C19" s="17">
        <v>1</v>
      </c>
      <c r="D19" s="18" cm="1">
        <f t="array" ref="D19">INDEX('New credit'!$A:$O,
MATCH(1,('New credit'!$A:$A=$C19)*('New credit'!$D:$D=D$16), 0),
MATCH(D$17,'New credit'!$1:$1,0))</f>
        <v>0.7931034482758621</v>
      </c>
      <c r="E19" s="18" cm="1">
        <f t="array" ref="E19">INDEX('New credit'!$A:$O,
MATCH(1,('New credit'!$A:$A=$C19)*('New credit'!$D:$D=E$16), 0),
MATCH(E$17,'New credit'!$1:$1,0))</f>
        <v>0.89333333333333342</v>
      </c>
      <c r="F19" s="18" cm="1">
        <f t="array" ref="F19">INDEX('New credit'!$A:$O,
MATCH(1,('New credit'!$A:$A=$C19)*('New credit'!$D:$D=F$16), 0),
MATCH(F$17,'New credit'!$1:$1,0))</f>
        <v>0.62648630485914658</v>
      </c>
      <c r="G19" s="18">
        <f>INDEX('New credit'!$A:$O,
MATCH($C19, 'New credit'!$A:$A, 0),
MATCH(G$17, 'New credit'!$1:$1, 0))</f>
        <v>1</v>
      </c>
      <c r="H19" s="18">
        <v>0.15</v>
      </c>
      <c r="I19" s="18" cm="1">
        <f t="array" ref="I19">INDEX('Limit raise'!$A:$O,
MATCH(1,('Limit raise'!$A:$A=$C19)*('Limit raise'!$D:$D=I$16), 0),
MATCH(I$17,'Limit raise'!$1:$1,0))</f>
        <v>1</v>
      </c>
      <c r="J19" s="18" cm="1">
        <f t="array" ref="J19">INDEX('Limit raise'!$A:$O,
MATCH(1,('Limit raise'!$A:$A=$C19)*('Limit raise'!$D:$D=J$16), 0),
MATCH(J$17,'Limit raise'!$1:$1,0))</f>
        <v>0.93142857142857149</v>
      </c>
      <c r="K19" s="18" cm="1">
        <f t="array" ref="K19">INDEX('Limit raise'!$A:$O,
MATCH(1,('Limit raise'!$A:$A=$C19)*('Limit raise'!$D:$D=K$16), 0),
MATCH(K$17,'Limit raise'!$1:$1,0))</f>
        <v>1</v>
      </c>
      <c r="L19" s="18">
        <f>INDEX('Limit raise'!$A:$O,
MATCH($C19, 'Limit raise'!$A:$A, 0),
MATCH(L$17,'Limit raise'!$1:$1,0))</f>
        <v>1</v>
      </c>
      <c r="M19" s="18">
        <v>0.15</v>
      </c>
      <c r="N19" s="18"/>
    </row>
    <row r="20" spans="3:16" s="13" customFormat="1" ht="7.2" customHeight="1" x14ac:dyDescent="0.3">
      <c r="C20" s="17">
        <v>2</v>
      </c>
      <c r="D20" s="18" cm="1">
        <f t="array" ref="D20">INDEX('New credit'!$A:$O,
MATCH(1,('New credit'!$A:$A=$C20)*('New credit'!$D:$D=D$16), 0),
MATCH(D$17,'New credit'!$1:$1,0))</f>
        <v>0.83333333333333337</v>
      </c>
      <c r="E20" s="18" cm="1">
        <f t="array" ref="E20">INDEX('New credit'!$A:$O,
MATCH(1,('New credit'!$A:$A=$C20)*('New credit'!$D:$D=E$16), 0),
MATCH(E$17,'New credit'!$1:$1,0))</f>
        <v>0.90384615384615397</v>
      </c>
      <c r="F20" s="18" cm="1">
        <f t="array" ref="F20">INDEX('New credit'!$A:$O,
MATCH(1,('New credit'!$A:$A=$C20)*('New credit'!$D:$D=F$16), 0),
MATCH(F$17,'New credit'!$1:$1,0))</f>
        <v>0.61966780000860411</v>
      </c>
      <c r="G20" s="18">
        <f>INDEX('New credit'!$A:$O,
MATCH($C20, 'New credit'!$A:$A, 0),
MATCH(G$17, 'New credit'!$1:$1, 0))</f>
        <v>7.5834592469833206E-2</v>
      </c>
      <c r="H20" s="18">
        <v>0.15</v>
      </c>
      <c r="I20" s="18" cm="1">
        <f t="array" ref="I20">INDEX('Limit raise'!$A:$O,
MATCH(1,('Limit raise'!$A:$A=$C20)*('Limit raise'!$D:$D=I$16), 0),
MATCH(I$17,'Limit raise'!$1:$1,0))</f>
        <v>0.76923076923076927</v>
      </c>
      <c r="J20" s="18" cm="1">
        <f t="array" ref="J20">INDEX('Limit raise'!$A:$O,
MATCH(1,('Limit raise'!$A:$A=$C20)*('Limit raise'!$D:$D=J$16), 0),
MATCH(J$17,'Limit raise'!$1:$1,0))</f>
        <v>0.95714285714285718</v>
      </c>
      <c r="K20" s="18" cm="1">
        <f t="array" ref="K20">INDEX('Limit raise'!$A:$O,
MATCH(1,('Limit raise'!$A:$A=$C20)*('Limit raise'!$D:$D=K$16), 0),
MATCH(K$17,'Limit raise'!$1:$1,0))</f>
        <v>1</v>
      </c>
      <c r="L20" s="18">
        <f>INDEX('Limit raise'!$A:$O,
MATCH($C20, 'Limit raise'!$A:$A, 0),
MATCH(L$17,'Limit raise'!$1:$1,0))</f>
        <v>1</v>
      </c>
      <c r="M20" s="18">
        <v>0.15</v>
      </c>
      <c r="N20" s="18"/>
    </row>
    <row r="21" spans="3:16" s="13" customFormat="1" ht="7.2" customHeight="1" x14ac:dyDescent="0.3">
      <c r="C21" s="17">
        <v>3</v>
      </c>
      <c r="D21" s="18" cm="1">
        <f t="array" ref="D21">INDEX('New credit'!$A:$O,
MATCH(1,('New credit'!$A:$A=$C21)*('New credit'!$D:$D=D$16), 0),
MATCH(D$17,'New credit'!$1:$1,0))</f>
        <v>0.78787878787878785</v>
      </c>
      <c r="E21" s="18" cm="1">
        <f t="array" ref="E21">INDEX('New credit'!$A:$O,
MATCH(1,('New credit'!$A:$A=$C21)*('New credit'!$D:$D=E$16), 0),
MATCH(E$17,'New credit'!$1:$1,0))</f>
        <v>0.91461538461538461</v>
      </c>
      <c r="F21" s="18" cm="1">
        <f t="array" ref="F21">INDEX('New credit'!$A:$O,
MATCH(1,('New credit'!$A:$A=$C21)*('New credit'!$D:$D=F$16), 0),
MATCH(F$17,'New credit'!$1:$1,0))</f>
        <v>0.67339137957176209</v>
      </c>
      <c r="G21" s="18">
        <f>INDEX('New credit'!$A:$O,
MATCH($C21, 'New credit'!$A:$A, 0),
MATCH(G$17, 'New credit'!$1:$1, 0))</f>
        <v>1</v>
      </c>
      <c r="H21" s="18">
        <v>0.15</v>
      </c>
      <c r="I21" s="18" cm="1">
        <f t="array" ref="I21">INDEX('Limit raise'!$A:$O,
MATCH(1,('Limit raise'!$A:$A=$C21)*('Limit raise'!$D:$D=I$16), 0),
MATCH(I$17,'Limit raise'!$1:$1,0))</f>
        <v>0.8</v>
      </c>
      <c r="J21" s="18" cm="1">
        <f t="array" ref="J21">INDEX('Limit raise'!$A:$O,
MATCH(1,('Limit raise'!$A:$A=$C21)*('Limit raise'!$D:$D=J$16), 0),
MATCH(J$17,'Limit raise'!$1:$1,0))</f>
        <v>0.96374999999999988</v>
      </c>
      <c r="K21" s="18" cm="1">
        <f t="array" ref="K21">INDEX('Limit raise'!$A:$O,
MATCH(1,('Limit raise'!$A:$A=$C21)*('Limit raise'!$D:$D=K$16), 0),
MATCH(K$17,'Limit raise'!$1:$1,0))</f>
        <v>0.3571428571428571</v>
      </c>
      <c r="L21" s="18">
        <f>INDEX('Limit raise'!$A:$O,
MATCH($C21, 'Limit raise'!$A:$A, 0),
MATCH(L$17,'Limit raise'!$1:$1,0))</f>
        <v>7.2796843074874801E-2</v>
      </c>
      <c r="M21" s="18">
        <v>0.15</v>
      </c>
      <c r="N21" s="18"/>
    </row>
    <row r="22" spans="3:16" s="13" customFormat="1" ht="7.2" customHeight="1" x14ac:dyDescent="0.3">
      <c r="C22" s="17">
        <v>4</v>
      </c>
      <c r="D22" s="18" cm="1">
        <f t="array" ref="D22">INDEX('New credit'!$A:$O,
MATCH(1,('New credit'!$A:$A=$C22)*('New credit'!$D:$D=D$16), 0),
MATCH(D$17,'New credit'!$1:$1,0))</f>
        <v>0.74358974358974361</v>
      </c>
      <c r="E22" s="18" cm="1">
        <f t="array" ref="E22">INDEX('New credit'!$A:$O,
MATCH(1,('New credit'!$A:$A=$C22)*('New credit'!$D:$D=E$16), 0),
MATCH(E$17,'New credit'!$1:$1,0))</f>
        <v>0.91384615384615386</v>
      </c>
      <c r="F22" s="18" cm="1">
        <f t="array" ref="F22">INDEX('New credit'!$A:$O,
MATCH(1,('New credit'!$A:$A=$C22)*('New credit'!$D:$D=F$16), 0),
MATCH(F$17,'New credit'!$1:$1,0))</f>
        <v>0.75632295059425425</v>
      </c>
      <c r="G22" s="18">
        <f>INDEX('New credit'!$A:$O,
MATCH($C22, 'New credit'!$A:$A, 0),
MATCH(G$17, 'New credit'!$1:$1, 0))</f>
        <v>1</v>
      </c>
      <c r="H22" s="18">
        <v>0.15</v>
      </c>
      <c r="I22" s="18" cm="1">
        <f t="array" ref="I22">INDEX('Limit raise'!$A:$O,
MATCH(1,('Limit raise'!$A:$A=$C22)*('Limit raise'!$D:$D=I$16), 0),
MATCH(I$17,'Limit raise'!$1:$1,0))</f>
        <v>0.84615384615384615</v>
      </c>
      <c r="J22" s="18" cm="1">
        <f t="array" ref="J22">INDEX('Limit raise'!$A:$O,
MATCH(1,('Limit raise'!$A:$A=$C22)*('Limit raise'!$D:$D=J$16), 0),
MATCH(J$17,'Limit raise'!$1:$1,0))</f>
        <v>0.97375000000000012</v>
      </c>
      <c r="K22" s="18" cm="1">
        <f t="array" ref="K22">INDEX('Limit raise'!$A:$O,
MATCH(1,('Limit raise'!$A:$A=$C22)*('Limit raise'!$D:$D=K$16), 0),
MATCH(K$17,'Limit raise'!$1:$1,0))</f>
        <v>0.8318965517241379</v>
      </c>
      <c r="L22" s="18">
        <f>INDEX('Limit raise'!$A:$O,
MATCH($C22, 'Limit raise'!$A:$A, 0),
MATCH(L$17,'Limit raise'!$1:$1,0))</f>
        <v>1</v>
      </c>
      <c r="M22" s="18">
        <v>0.15</v>
      </c>
      <c r="N22" s="18"/>
    </row>
    <row r="23" spans="3:16" s="13" customFormat="1" ht="7.2" customHeight="1" x14ac:dyDescent="0.3">
      <c r="C23" s="17">
        <v>5</v>
      </c>
      <c r="D23" s="18" cm="1">
        <f t="array" ref="D23">INDEX('New credit'!$A:$O,
MATCH(1,('New credit'!$A:$A=$C23)*('New credit'!$D:$D=D$16), 0),
MATCH(D$17,'New credit'!$1:$1,0))</f>
        <v>0.78</v>
      </c>
      <c r="E23" s="18" cm="1">
        <f t="array" ref="E23">INDEX('New credit'!$A:$O,
MATCH(1,('New credit'!$A:$A=$C23)*('New credit'!$D:$D=E$16), 0),
MATCH(E$17,'New credit'!$1:$1,0))</f>
        <v>0.91153846153846163</v>
      </c>
      <c r="F23" s="18" cm="1">
        <f t="array" ref="F23">INDEX('New credit'!$A:$O,
MATCH(1,('New credit'!$A:$A=$C23)*('New credit'!$D:$D=F$16), 0),
MATCH(F$17,'New credit'!$1:$1,0))</f>
        <v>0.83007178059112108</v>
      </c>
      <c r="G23" s="18">
        <f>INDEX('New credit'!$A:$O,
MATCH($C23, 'New credit'!$A:$A, 0),
MATCH(G$17, 'New credit'!$1:$1, 0))</f>
        <v>1</v>
      </c>
      <c r="H23" s="18">
        <v>0.15</v>
      </c>
      <c r="I23" s="18" cm="1">
        <f t="array" ref="I23">INDEX('Limit raise'!$A:$O,
MATCH(1,('Limit raise'!$A:$A=$C23)*('Limit raise'!$D:$D=I$16), 0),
MATCH(I$17,'Limit raise'!$1:$1,0))</f>
        <v>0.8571428571428571</v>
      </c>
      <c r="J23" s="18" cm="1">
        <f t="array" ref="J23">INDEX('Limit raise'!$A:$O,
MATCH(1,('Limit raise'!$A:$A=$C23)*('Limit raise'!$D:$D=J$16), 0),
MATCH(J$17,'Limit raise'!$1:$1,0))</f>
        <v>0.98</v>
      </c>
      <c r="K23" s="18" cm="1">
        <f t="array" ref="K23">INDEX('Limit raise'!$A:$O,
MATCH(1,('Limit raise'!$A:$A=$C23)*('Limit raise'!$D:$D=K$16), 0),
MATCH(K$17,'Limit raise'!$1:$1,0))</f>
        <v>0.6647887323943662</v>
      </c>
      <c r="L23" s="18">
        <f>INDEX('Limit raise'!$A:$O,
MATCH($C23, 'Limit raise'!$A:$A, 0),
MATCH(L$17,'Limit raise'!$1:$1,0))</f>
        <v>1</v>
      </c>
      <c r="M23" s="18">
        <v>0.15</v>
      </c>
      <c r="N23" s="18"/>
    </row>
    <row r="24" spans="3:16" s="13" customFormat="1" ht="7.2" customHeight="1" x14ac:dyDescent="0.3">
      <c r="C24" s="17">
        <v>6</v>
      </c>
      <c r="D24" s="18" cm="1">
        <f t="array" ref="D24">INDEX('New credit'!$A:$O,
MATCH(1,('New credit'!$A:$A=$C24)*('New credit'!$D:$D=D$16), 0),
MATCH(D$17,'New credit'!$1:$1,0))</f>
        <v>0.76363636363636367</v>
      </c>
      <c r="E24" s="18" cm="1">
        <f t="array" ref="E24">INDEX('New credit'!$A:$O,
MATCH(1,('New credit'!$A:$A=$C24)*('New credit'!$D:$D=E$16), 0),
MATCH(E$17,'New credit'!$1:$1,0))</f>
        <v>0.91062500000000013</v>
      </c>
      <c r="F24" s="18" cm="1">
        <f t="array" ref="F24">INDEX('New credit'!$A:$O,
MATCH(1,('New credit'!$A:$A=$C24)*('New credit'!$D:$D=F$16), 0),
MATCH(F$17,'New credit'!$1:$1,0))</f>
        <v>0.79701591853759812</v>
      </c>
      <c r="G24" s="18">
        <f>INDEX('New credit'!$A:$O,
MATCH($C24, 'New credit'!$A:$A, 0),
MATCH(G$17, 'New credit'!$1:$1, 0))</f>
        <v>8.386645630693576E-2</v>
      </c>
      <c r="H24" s="18">
        <v>0.15</v>
      </c>
      <c r="I24" s="18" cm="1">
        <f t="array" ref="I24">INDEX('Limit raise'!$A:$O,
MATCH(1,('Limit raise'!$A:$A=$C24)*('Limit raise'!$D:$D=I$16), 0),
MATCH(I$17,'Limit raise'!$1:$1,0))</f>
        <v>0.875</v>
      </c>
      <c r="J24" s="18" cm="1">
        <f t="array" ref="J24">INDEX('Limit raise'!$A:$O,
MATCH(1,('Limit raise'!$A:$A=$C24)*('Limit raise'!$D:$D=J$16), 0),
MATCH(J$17,'Limit raise'!$1:$1,0))</f>
        <v>0.97000000000000008</v>
      </c>
      <c r="K24" s="18" cm="1">
        <f t="array" ref="K24">INDEX('Limit raise'!$A:$O,
MATCH(1,('Limit raise'!$A:$A=$C24)*('Limit raise'!$D:$D=K$16), 0),
MATCH(K$17,'Limit raise'!$1:$1,0))</f>
        <v>0.76829268292682917</v>
      </c>
      <c r="L24" s="18">
        <f>INDEX('Limit raise'!$A:$O,
MATCH($C24, 'Limit raise'!$A:$A, 0),
MATCH(L$17,'Limit raise'!$1:$1,0))</f>
        <v>1</v>
      </c>
      <c r="M24" s="18">
        <v>0.15</v>
      </c>
      <c r="N24" s="18"/>
    </row>
    <row r="25" spans="3:16" s="13" customFormat="1" ht="7.2" customHeight="1" x14ac:dyDescent="0.3">
      <c r="C25" s="17">
        <v>7</v>
      </c>
      <c r="D25" s="18" cm="1">
        <f t="array" ref="D25">INDEX('New credit'!$A:$O,
MATCH(1,('New credit'!$A:$A=$C25)*('New credit'!$D:$D=D$16), 0),
MATCH(D$17,'New credit'!$1:$1,0))</f>
        <v>0.73770491803278693</v>
      </c>
      <c r="E25" s="18" cm="1">
        <f t="array" ref="E25">INDEX('New credit'!$A:$O,
MATCH(1,('New credit'!$A:$A=$C25)*('New credit'!$D:$D=E$16), 0),
MATCH(E$17,'New credit'!$1:$1,0))</f>
        <v>0.916190476190476</v>
      </c>
      <c r="F25" s="18" cm="1">
        <f t="array" ref="F25">INDEX('New credit'!$A:$O,
MATCH(1,('New credit'!$A:$A=$C25)*('New credit'!$D:$D=F$16), 0),
MATCH(F$17,'New credit'!$1:$1,0))</f>
        <v>0.79961604062340885</v>
      </c>
      <c r="G25" s="18">
        <f>INDEX('New credit'!$A:$O,
MATCH($C25, 'New credit'!$A:$A, 0),
MATCH(G$17, 'New credit'!$1:$1, 0))</f>
        <v>1</v>
      </c>
      <c r="H25" s="18">
        <v>0.15</v>
      </c>
      <c r="I25" s="18" cm="1">
        <f t="array" ref="I25">INDEX('Limit raise'!$A:$O,
MATCH(1,('Limit raise'!$A:$A=$C25)*('Limit raise'!$D:$D=I$16), 0),
MATCH(I$17,'Limit raise'!$1:$1,0))</f>
        <v>0.87878787878787878</v>
      </c>
      <c r="J25" s="18" cm="1">
        <f t="array" ref="J25">INDEX('Limit raise'!$A:$O,
MATCH(1,('Limit raise'!$A:$A=$C25)*('Limit raise'!$D:$D=J$16), 0),
MATCH(J$17,'Limit raise'!$1:$1,0))</f>
        <v>0.88769230769230778</v>
      </c>
      <c r="K25" s="18" cm="1">
        <f t="array" ref="K25">INDEX('Limit raise'!$A:$O,
MATCH(1,('Limit raise'!$A:$A=$C25)*('Limit raise'!$D:$D=K$16), 0),
MATCH(K$17,'Limit raise'!$1:$1,0))</f>
        <v>0.65091184958832016</v>
      </c>
      <c r="L25" s="18">
        <f>INDEX('Limit raise'!$A:$O,
MATCH($C25, 'Limit raise'!$A:$A, 0),
MATCH(L$17,'Limit raise'!$1:$1,0))</f>
        <v>5.2925159318655567E-2</v>
      </c>
      <c r="M25" s="18">
        <v>0.15</v>
      </c>
      <c r="N25" s="18"/>
    </row>
    <row r="26" spans="3:16" s="13" customFormat="1" ht="7.2" customHeight="1" x14ac:dyDescent="0.3">
      <c r="C26" s="17">
        <v>8</v>
      </c>
      <c r="D26" s="18" cm="1">
        <f t="array" ref="D26">INDEX('New credit'!$A:$O,
MATCH(1,('New credit'!$A:$A=$C26)*('New credit'!$D:$D=D$16), 0),
MATCH(D$17,'New credit'!$1:$1,0))</f>
        <v>0.78947368421052633</v>
      </c>
      <c r="E26" s="18" cm="1">
        <f t="array" ref="E26">INDEX('New credit'!$A:$O,
MATCH(1,('New credit'!$A:$A=$C26)*('New credit'!$D:$D=E$16), 0),
MATCH(E$17,'New credit'!$1:$1,0))</f>
        <v>0.80833333333333324</v>
      </c>
      <c r="F26" s="18" cm="1">
        <f t="array" ref="F26">INDEX('New credit'!$A:$O,
MATCH(1,('New credit'!$A:$A=$C26)*('New credit'!$D:$D=F$16), 0),
MATCH(F$17,'New credit'!$1:$1,0))</f>
        <v>0.70023615215432866</v>
      </c>
      <c r="G26" s="18">
        <f>INDEX('New credit'!$A:$O,
MATCH($C26, 'New credit'!$A:$A, 0),
MATCH(G$17, 'New credit'!$1:$1, 0))</f>
        <v>9.375886436411171E-2</v>
      </c>
      <c r="H26" s="18">
        <v>0.15</v>
      </c>
      <c r="I26" s="18" cm="1">
        <f t="array" ref="I26">INDEX('Limit raise'!$A:$O,
MATCH(1,('Limit raise'!$A:$A=$C26)*('Limit raise'!$D:$D=I$16), 0),
MATCH(I$17,'Limit raise'!$1:$1,0))</f>
        <v>0.83333333333333337</v>
      </c>
      <c r="J26" s="18" cm="1">
        <f t="array" ref="J26">INDEX('Limit raise'!$A:$O,
MATCH(1,('Limit raise'!$A:$A=$C26)*('Limit raise'!$D:$D=J$16), 0),
MATCH(J$17,'Limit raise'!$1:$1,0))</f>
        <v>0.8961538461538463</v>
      </c>
      <c r="K26" s="18" cm="1">
        <f t="array" ref="K26">INDEX('Limit raise'!$A:$O,
MATCH(1,('Limit raise'!$A:$A=$C26)*('Limit raise'!$D:$D=K$16), 0),
MATCH(K$17,'Limit raise'!$1:$1,0))</f>
        <v>0.69512991881412933</v>
      </c>
      <c r="L26" s="18">
        <f>INDEX('Limit raise'!$A:$O,
MATCH($C26, 'Limit raise'!$A:$A, 0),
MATCH(L$17,'Limit raise'!$1:$1,0))</f>
        <v>9.193652061042823E-2</v>
      </c>
      <c r="M26" s="18">
        <v>0.15</v>
      </c>
      <c r="N26" s="18"/>
    </row>
    <row r="27" spans="3:16" s="13" customFormat="1" ht="7.2" customHeight="1" x14ac:dyDescent="0.3">
      <c r="C27" s="17">
        <v>9</v>
      </c>
      <c r="D27" s="18" cm="1">
        <f t="array" ref="D27">INDEX('New credit'!$A:$O,
MATCH(1,('New credit'!$A:$A=$C27)*('New credit'!$D:$D=D$16), 0),
MATCH(D$17,'New credit'!$1:$1,0))</f>
        <v>0.8035714285714286</v>
      </c>
      <c r="E27" s="18" cm="1">
        <f t="array" ref="E27">INDEX('New credit'!$A:$O,
MATCH(1,('New credit'!$A:$A=$C27)*('New credit'!$D:$D=E$16), 0),
MATCH(E$17,'New credit'!$1:$1,0))</f>
        <v>0.85769230769230753</v>
      </c>
      <c r="F27" s="18" cm="1">
        <f t="array" ref="F27">INDEX('New credit'!$A:$O,
MATCH(1,('New credit'!$A:$A=$C27)*('New credit'!$D:$D=F$16), 0),
MATCH(F$17,'New credit'!$1:$1,0))</f>
        <v>0.76026256280931237</v>
      </c>
      <c r="G27" s="18">
        <f>INDEX('New credit'!$A:$O,
MATCH($C27, 'New credit'!$A:$A, 0),
MATCH(G$17, 'New credit'!$1:$1, 0))</f>
        <v>0.17484675524944629</v>
      </c>
      <c r="H27" s="18">
        <v>0.15</v>
      </c>
      <c r="I27" s="18" cm="1">
        <f t="array" ref="I27">INDEX('Limit raise'!$A:$O,
MATCH(1,('Limit raise'!$A:$A=$C27)*('Limit raise'!$D:$D=I$16), 0),
MATCH(I$17,'Limit raise'!$1:$1,0))</f>
        <v>0.8</v>
      </c>
      <c r="J27" s="18" cm="1">
        <f t="array" ref="J27">INDEX('Limit raise'!$A:$O,
MATCH(1,('Limit raise'!$A:$A=$C27)*('Limit raise'!$D:$D=J$16), 0),
MATCH(J$17,'Limit raise'!$1:$1,0))</f>
        <v>0.84266666666666667</v>
      </c>
      <c r="K27" s="18" cm="1">
        <f t="array" ref="K27">INDEX('Limit raise'!$A:$O,
MATCH(1,('Limit raise'!$A:$A=$C27)*('Limit raise'!$D:$D=K$16), 0),
MATCH(K$17,'Limit raise'!$1:$1,0))</f>
        <v>0.51870255513586638</v>
      </c>
      <c r="L27" s="18">
        <f>INDEX('Limit raise'!$A:$O,
MATCH($C27, 'Limit raise'!$A:$A, 0),
MATCH(L$17,'Limit raise'!$1:$1,0))</f>
        <v>0.13823650851250441</v>
      </c>
      <c r="M27" s="18">
        <v>0.15</v>
      </c>
      <c r="N27" s="18"/>
    </row>
    <row r="28" spans="3:16" s="13" customFormat="1" ht="7.2" customHeight="1" x14ac:dyDescent="0.3">
      <c r="C28" s="17">
        <v>10</v>
      </c>
      <c r="D28" s="18" cm="1">
        <f t="array" ref="D28">INDEX('New credit'!$A:$O,
MATCH(1,('New credit'!$A:$A=$C28)*('New credit'!$D:$D=D$16), 0),
MATCH(D$17,'New credit'!$1:$1,0))</f>
        <v>0.81818181818181823</v>
      </c>
      <c r="E28" s="18" cm="1">
        <f t="array" ref="E28">INDEX('New credit'!$A:$O,
MATCH(1,('New credit'!$A:$A=$C28)*('New credit'!$D:$D=E$16), 0),
MATCH(E$17,'New credit'!$1:$1,0))</f>
        <v>0.86241379310344812</v>
      </c>
      <c r="F28" s="18" cm="1">
        <f t="array" ref="F28">INDEX('New credit'!$A:$O,
MATCH(1,('New credit'!$A:$A=$C28)*('New credit'!$D:$D=F$16), 0),
MATCH(F$17,'New credit'!$1:$1,0))</f>
        <v>0.76494363564693535</v>
      </c>
      <c r="G28" s="18">
        <f>INDEX('New credit'!$A:$O,
MATCH($C28, 'New credit'!$A:$A, 0),
MATCH(G$17, 'New credit'!$1:$1, 0))</f>
        <v>7.2918543482594772E-2</v>
      </c>
      <c r="H28" s="18">
        <v>0.15</v>
      </c>
      <c r="I28" s="18" cm="1">
        <f t="array" ref="I28">INDEX('Limit raise'!$A:$O,
MATCH(1,('Limit raise'!$A:$A=$C28)*('Limit raise'!$D:$D=I$16), 0),
MATCH(I$17,'Limit raise'!$1:$1,0))</f>
        <v>0.8</v>
      </c>
      <c r="J28" s="18" cm="1">
        <f t="array" ref="J28">INDEX('Limit raise'!$A:$O,
MATCH(1,('Limit raise'!$A:$A=$C28)*('Limit raise'!$D:$D=J$16), 0),
MATCH(J$17,'Limit raise'!$1:$1,0))</f>
        <v>0.97142857142857142</v>
      </c>
      <c r="K28" s="18" cm="1">
        <f t="array" ref="K28">INDEX('Limit raise'!$A:$O,
MATCH(1,('Limit raise'!$A:$A=$C28)*('Limit raise'!$D:$D=K$16), 0),
MATCH(K$17,'Limit raise'!$1:$1,0))</f>
        <v>0.7182468549848916</v>
      </c>
      <c r="L28" s="18">
        <f>INDEX('Limit raise'!$A:$O,
MATCH($C28, 'Limit raise'!$A:$A, 0),
MATCH(L$17,'Limit raise'!$1:$1,0))</f>
        <v>1</v>
      </c>
      <c r="M28" s="18">
        <v>0.15</v>
      </c>
      <c r="N28" s="18"/>
    </row>
    <row r="29" spans="3:16" s="13" customFormat="1" ht="7.2" customHeight="1" x14ac:dyDescent="0.3">
      <c r="C29" s="17">
        <v>11</v>
      </c>
      <c r="D29" s="18" cm="1">
        <f t="array" ref="D29">INDEX('New credit'!$A:$O,
MATCH(1,('New credit'!$A:$A=$C29)*('New credit'!$D:$D=D$16), 0),
MATCH(D$17,'New credit'!$1:$1,0))</f>
        <v>0.8214285714285714</v>
      </c>
      <c r="E29" s="18" cm="1">
        <f t="array" ref="E29">INDEX('New credit'!$A:$O,
MATCH(1,('New credit'!$A:$A=$C29)*('New credit'!$D:$D=E$16), 0),
MATCH(E$17,'New credit'!$1:$1,0))</f>
        <v>0.86517241379310317</v>
      </c>
      <c r="F29" s="18" cm="1">
        <f t="array" ref="F29">INDEX('New credit'!$A:$O,
MATCH(1,('New credit'!$A:$A=$C29)*('New credit'!$D:$D=F$16), 0),
MATCH(F$17,'New credit'!$1:$1,0))</f>
        <v>0.64914904534774498</v>
      </c>
      <c r="G29" s="18">
        <f>INDEX('New credit'!$A:$O,
MATCH($C29, 'New credit'!$A:$A, 0),
MATCH(G$17, 'New credit'!$1:$1, 0))</f>
        <v>0.11230528050989</v>
      </c>
      <c r="H29" s="18">
        <v>0.15</v>
      </c>
      <c r="I29" s="18" cm="1">
        <f t="array" ref="I29">INDEX('Limit raise'!$A:$O,
MATCH(1,('Limit raise'!$A:$A=$C29)*('Limit raise'!$D:$D=I$16), 0),
MATCH(I$17,'Limit raise'!$1:$1,0))</f>
        <v>0.77777777777777779</v>
      </c>
      <c r="J29" s="18" cm="1">
        <f t="array" ref="J29">INDEX('Limit raise'!$A:$O,
MATCH(1,('Limit raise'!$A:$A=$C29)*('Limit raise'!$D:$D=J$16), 0),
MATCH(J$17,'Limit raise'!$1:$1,0))</f>
        <v>0.96562500000000007</v>
      </c>
      <c r="K29" s="18" cm="1">
        <f t="array" ref="K29">INDEX('Limit raise'!$A:$O,
MATCH(1,('Limit raise'!$A:$A=$C29)*('Limit raise'!$D:$D=K$16), 0),
MATCH(K$17,'Limit raise'!$1:$1,0))</f>
        <v>0.67243844325066915</v>
      </c>
      <c r="L29" s="18">
        <f>INDEX('Limit raise'!$A:$O,
MATCH($C29, 'Limit raise'!$A:$A, 0),
MATCH(L$17,'Limit raise'!$1:$1,0))</f>
        <v>3.3579259577835252E-2</v>
      </c>
      <c r="M29" s="18">
        <v>0.15</v>
      </c>
      <c r="N29" s="18"/>
    </row>
    <row r="30" spans="3:16" s="13" customFormat="1" ht="7.2" customHeight="1" x14ac:dyDescent="0.3">
      <c r="C30" s="17">
        <v>12</v>
      </c>
      <c r="D30" s="18" cm="1">
        <f t="array" ref="D30">INDEX('New credit'!$A:$O,
MATCH(1,('New credit'!$A:$A=$C30)*('New credit'!$D:$D=D$16), 0),
MATCH(D$17,'New credit'!$1:$1,0))</f>
        <v>0.79245283018867929</v>
      </c>
      <c r="E30" s="18" cm="1">
        <f t="array" ref="E30">INDEX('New credit'!$A:$O,
MATCH(1,('New credit'!$A:$A=$C30)*('New credit'!$D:$D=E$16), 0),
MATCH(E$17,'New credit'!$1:$1,0))</f>
        <v>0.89296296296296296</v>
      </c>
      <c r="F30" s="18" cm="1">
        <f t="array" ref="F30">INDEX('New credit'!$A:$O,
MATCH(1,('New credit'!$A:$A=$C30)*('New credit'!$D:$D=F$16), 0),
MATCH(F$17,'New credit'!$1:$1,0))</f>
        <v>0.70483801152192127</v>
      </c>
      <c r="G30" s="18">
        <f>INDEX('New credit'!$A:$O,
MATCH($C30, 'New credit'!$A:$A, 0),
MATCH(G$17, 'New credit'!$1:$1, 0))</f>
        <v>1</v>
      </c>
      <c r="H30" s="18">
        <v>0.15</v>
      </c>
      <c r="I30" s="18" cm="1">
        <f t="array" ref="I30">INDEX('Limit raise'!$A:$O,
MATCH(1,('Limit raise'!$A:$A=$C30)*('Limit raise'!$D:$D=I$16), 0),
MATCH(I$17,'Limit raise'!$1:$1,0))</f>
        <v>0.80851063829787229</v>
      </c>
      <c r="J30" s="18" cm="1">
        <f t="array" ref="J30">INDEX('Limit raise'!$A:$O,
MATCH(1,('Limit raise'!$A:$A=$C30)*('Limit raise'!$D:$D=J$16), 0),
MATCH(J$17,'Limit raise'!$1:$1,0))</f>
        <v>0.97133333333333338</v>
      </c>
      <c r="K30" s="18" cm="1">
        <f t="array" ref="K30">INDEX('Limit raise'!$A:$O,
MATCH(1,('Limit raise'!$A:$A=$C30)*('Limit raise'!$D:$D=K$16), 0),
MATCH(K$17,'Limit raise'!$1:$1,0))</f>
        <v>0.68330151375388359</v>
      </c>
      <c r="L30" s="18">
        <f>INDEX('Limit raise'!$A:$O,
MATCH($C30, 'Limit raise'!$A:$A, 0),
MATCH(L$17,'Limit raise'!$1:$1,0))</f>
        <v>5.3835211445127248E-2</v>
      </c>
      <c r="M30" s="18">
        <v>0.15</v>
      </c>
      <c r="N30" s="18"/>
    </row>
    <row r="31" spans="3:16" s="13" customFormat="1" ht="7.2" customHeight="1" x14ac:dyDescent="0.3">
      <c r="C31" s="17">
        <v>13</v>
      </c>
      <c r="D31" s="18" cm="1">
        <f t="array" ref="D31">INDEX('New credit'!$A:$O,
MATCH(1,('New credit'!$A:$A=$C31)*('New credit'!$D:$D=D$16), 0),
MATCH(D$17,'New credit'!$1:$1,0))</f>
        <v>0.75806451612903225</v>
      </c>
      <c r="E31" s="18" cm="1">
        <f t="array" ref="E31">INDEX('New credit'!$A:$O,
MATCH(1,('New credit'!$A:$A=$C31)*('New credit'!$D:$D=E$16), 0),
MATCH(E$17,'New credit'!$1:$1,0))</f>
        <v>0.92680000000000007</v>
      </c>
      <c r="F31" s="18" cm="1">
        <f t="array" ref="F31">INDEX('New credit'!$A:$O,
MATCH(1,('New credit'!$A:$A=$C31)*('New credit'!$D:$D=F$16), 0),
MATCH(F$17,'New credit'!$1:$1,0))</f>
        <v>0.73487869229477021</v>
      </c>
      <c r="G31" s="18">
        <f>INDEX('New credit'!$A:$O,
MATCH($C31, 'New credit'!$A:$A, 0),
MATCH(G$17, 'New credit'!$1:$1, 0))</f>
        <v>6.6453537242951263E-2</v>
      </c>
      <c r="H31" s="18">
        <v>0.15</v>
      </c>
      <c r="I31" s="18" cm="1">
        <f t="array" ref="I31">INDEX('Limit raise'!$A:$O,
MATCH(1,('Limit raise'!$A:$A=$C31)*('Limit raise'!$D:$D=I$16), 0),
MATCH(I$17,'Limit raise'!$1:$1,0))</f>
        <v>0.80851063829787229</v>
      </c>
      <c r="J31" s="18" cm="1">
        <f t="array" ref="J31">INDEX('Limit raise'!$A:$O,
MATCH(1,('Limit raise'!$A:$A=$C31)*('Limit raise'!$D:$D=J$16), 0),
MATCH(J$17,'Limit raise'!$1:$1,0))</f>
        <v>0.91312500000000008</v>
      </c>
      <c r="K31" s="18" cm="1">
        <f t="array" ref="K31">INDEX('Limit raise'!$A:$O,
MATCH(1,('Limit raise'!$A:$A=$C31)*('Limit raise'!$D:$D=K$16), 0),
MATCH(K$17,'Limit raise'!$1:$1,0))</f>
        <v>0.65415711546977784</v>
      </c>
      <c r="L31" s="18">
        <f>INDEX('Limit raise'!$A:$O,
MATCH($C31, 'Limit raise'!$A:$A, 0),
MATCH(L$17,'Limit raise'!$1:$1,0))</f>
        <v>7.1311311464680144E-2</v>
      </c>
      <c r="M31" s="18">
        <v>0.15</v>
      </c>
      <c r="N31" s="18"/>
    </row>
    <row r="32" spans="3:16" s="13" customFormat="1" ht="7.2" customHeight="1" x14ac:dyDescent="0.3">
      <c r="C32" s="17">
        <v>14</v>
      </c>
      <c r="D32" s="18" cm="1">
        <f t="array" ref="D32">INDEX('New credit'!$A:$O,
MATCH(1,('New credit'!$A:$A=$C32)*('New credit'!$D:$D=D$16), 0),
MATCH(D$17,'New credit'!$1:$1,0))</f>
        <v>0.76190476190476186</v>
      </c>
      <c r="E32" s="18" cm="1">
        <f t="array" ref="E32">INDEX('New credit'!$A:$O,
MATCH(1,('New credit'!$A:$A=$C32)*('New credit'!$D:$D=E$16), 0),
MATCH(E$17,'New credit'!$1:$1,0))</f>
        <v>0.92119999999999991</v>
      </c>
      <c r="F32" s="18" cm="1">
        <f t="array" ref="F32">INDEX('New credit'!$A:$O,
MATCH(1,('New credit'!$A:$A=$C32)*('New credit'!$D:$D=F$16), 0),
MATCH(F$17,'New credit'!$1:$1,0))</f>
        <v>0.72608880036483125</v>
      </c>
      <c r="G32" s="18">
        <f>INDEX('New credit'!$A:$O,
MATCH($C32, 'New credit'!$A:$A, 0),
MATCH(G$17, 'New credit'!$1:$1, 0))</f>
        <v>8.3313359516260219E-2</v>
      </c>
      <c r="H32" s="18">
        <v>0.15</v>
      </c>
      <c r="I32" s="18" cm="1">
        <f t="array" ref="I32">INDEX('Limit raise'!$A:$O,
MATCH(1,('Limit raise'!$A:$A=$C32)*('Limit raise'!$D:$D=I$16), 0),
MATCH(I$17,'Limit raise'!$1:$1,0))</f>
        <v>0.80851063829787229</v>
      </c>
      <c r="J32" s="18" cm="1">
        <f t="array" ref="J32">INDEX('Limit raise'!$A:$O,
MATCH(1,('Limit raise'!$A:$A=$C32)*('Limit raise'!$D:$D=J$16), 0),
MATCH(J$17,'Limit raise'!$1:$1,0))</f>
        <v>0.91764705882352937</v>
      </c>
      <c r="K32" s="18" cm="1">
        <f t="array" ref="K32">INDEX('Limit raise'!$A:$O,
MATCH(1,('Limit raise'!$A:$A=$C32)*('Limit raise'!$D:$D=K$16), 0),
MATCH(K$17,'Limit raise'!$1:$1,0))</f>
        <v>0.70995235102148169</v>
      </c>
      <c r="L32" s="18">
        <f>INDEX('Limit raise'!$A:$O,
MATCH($C32, 'Limit raise'!$A:$A, 0),
MATCH(L$17,'Limit raise'!$1:$1,0))</f>
        <v>8.2218596398275848E-2</v>
      </c>
      <c r="M32" s="18">
        <v>0.15</v>
      </c>
      <c r="N32" s="18"/>
    </row>
    <row r="33" spans="3:14" s="13" customFormat="1" ht="7.2" customHeight="1" x14ac:dyDescent="0.3">
      <c r="C33" s="17">
        <v>15</v>
      </c>
      <c r="D33" s="18" cm="1">
        <f t="array" ref="D33">INDEX('New credit'!$A:$O,
MATCH(1,('New credit'!$A:$A=$C33)*('New credit'!$D:$D=D$16), 0),
MATCH(D$17,'New credit'!$1:$1,0))</f>
        <v>0.74242424242424243</v>
      </c>
      <c r="E33" s="18" cm="1">
        <f t="array" ref="E33">INDEX('New credit'!$A:$O,
MATCH(1,('New credit'!$A:$A=$C33)*('New credit'!$D:$D=E$16), 0),
MATCH(E$17,'New credit'!$1:$1,0))</f>
        <v>0.86314285714285699</v>
      </c>
      <c r="F33" s="18" cm="1">
        <f t="array" ref="F33">INDEX('New credit'!$A:$O,
MATCH(1,('New credit'!$A:$A=$C33)*('New credit'!$D:$D=F$16), 0),
MATCH(F$17,'New credit'!$1:$1,0))</f>
        <v>0.72376619553915944</v>
      </c>
      <c r="G33" s="18">
        <f>INDEX('New credit'!$A:$O,
MATCH($C33, 'New credit'!$A:$A, 0),
MATCH(G$17, 'New credit'!$1:$1, 0))</f>
        <v>1</v>
      </c>
      <c r="H33" s="18">
        <v>0.15</v>
      </c>
      <c r="I33" s="18" cm="1">
        <f t="array" ref="I33">INDEX('Limit raise'!$A:$O,
MATCH(1,('Limit raise'!$A:$A=$C33)*('Limit raise'!$D:$D=I$16), 0),
MATCH(I$17,'Limit raise'!$1:$1,0))</f>
        <v>0.78723404255319152</v>
      </c>
      <c r="J33" s="18" cm="1">
        <f t="array" ref="J33">INDEX('Limit raise'!$A:$O,
MATCH(1,('Limit raise'!$A:$A=$C33)*('Limit raise'!$D:$D=J$16), 0),
MATCH(J$17,'Limit raise'!$1:$1,0))</f>
        <v>0.92176470588235282</v>
      </c>
      <c r="K33" s="18" cm="1">
        <f t="array" ref="K33">INDEX('Limit raise'!$A:$O,
MATCH(1,('Limit raise'!$A:$A=$C33)*('Limit raise'!$D:$D=K$16), 0),
MATCH(K$17,'Limit raise'!$1:$1,0))</f>
        <v>0.69516399813760055</v>
      </c>
      <c r="L33" s="18">
        <f>INDEX('Limit raise'!$A:$O,
MATCH($C33, 'Limit raise'!$A:$A, 0),
MATCH(L$17,'Limit raise'!$1:$1,0))</f>
        <v>9.4454159949271144E-2</v>
      </c>
      <c r="M33" s="18">
        <v>0.15</v>
      </c>
      <c r="N33" s="18"/>
    </row>
    <row r="34" spans="3:14" s="13" customFormat="1" ht="7.2" customHeight="1" x14ac:dyDescent="0.3">
      <c r="C34" s="17">
        <v>16</v>
      </c>
      <c r="D34" s="18" cm="1">
        <f t="array" ref="D34">INDEX('New credit'!$A:$O,
MATCH(1,('New credit'!$A:$A=$C34)*('New credit'!$D:$D=D$16), 0),
MATCH(D$17,'New credit'!$1:$1,0))</f>
        <v>0.72727272727272729</v>
      </c>
      <c r="E34" s="18" cm="1">
        <f t="array" ref="E34">INDEX('New credit'!$A:$O,
MATCH(1,('New credit'!$A:$A=$C34)*('New credit'!$D:$D=E$16), 0),
MATCH(E$17,'New credit'!$1:$1,0))</f>
        <v>0.86806451612903202</v>
      </c>
      <c r="F34" s="18" cm="1">
        <f t="array" ref="F34">INDEX('New credit'!$A:$O,
MATCH(1,('New credit'!$A:$A=$C34)*('New credit'!$D:$D=F$16), 0),
MATCH(F$17,'New credit'!$1:$1,0))</f>
        <v>0.71630546687056951</v>
      </c>
      <c r="G34" s="18">
        <f>INDEX('New credit'!$A:$O,
MATCH($C34, 'New credit'!$A:$A, 0),
MATCH(G$17, 'New credit'!$1:$1, 0))</f>
        <v>1</v>
      </c>
      <c r="H34" s="18">
        <v>0.15</v>
      </c>
      <c r="I34" s="18" cm="1">
        <f t="array" ref="I34">INDEX('Limit raise'!$A:$O,
MATCH(1,('Limit raise'!$A:$A=$C34)*('Limit raise'!$D:$D=I$16), 0),
MATCH(I$17,'Limit raise'!$1:$1,0))</f>
        <v>0.82978723404255317</v>
      </c>
      <c r="J34" s="18" cm="1">
        <f t="array" ref="J34">INDEX('Limit raise'!$A:$O,
MATCH(1,('Limit raise'!$A:$A=$C34)*('Limit raise'!$D:$D=J$16), 0),
MATCH(J$17,'Limit raise'!$1:$1,0))</f>
        <v>0.92666666666666664</v>
      </c>
      <c r="K34" s="18" cm="1">
        <f t="array" ref="K34">INDEX('Limit raise'!$A:$O,
MATCH(1,('Limit raise'!$A:$A=$C34)*('Limit raise'!$D:$D=K$16), 0),
MATCH(K$17,'Limit raise'!$1:$1,0))</f>
        <v>0.69449489768460682</v>
      </c>
      <c r="L34" s="18">
        <f>INDEX('Limit raise'!$A:$O,
MATCH($C34, 'Limit raise'!$A:$A, 0),
MATCH(L$17,'Limit raise'!$1:$1,0))</f>
        <v>0.1028607278457052</v>
      </c>
      <c r="M34" s="18">
        <v>0.15</v>
      </c>
      <c r="N34" s="18"/>
    </row>
    <row r="35" spans="3:14" s="13" customFormat="1" ht="7.2" customHeight="1" x14ac:dyDescent="0.3">
      <c r="C35" s="17">
        <v>17</v>
      </c>
      <c r="D35" s="18" cm="1">
        <f t="array" ref="D35">INDEX('New credit'!$A:$O,
MATCH(1,('New credit'!$A:$A=$C35)*('New credit'!$D:$D=D$16), 0),
MATCH(D$17,'New credit'!$1:$1,0))</f>
        <v>0.69696969696969702</v>
      </c>
      <c r="E35" s="18" cm="1">
        <f t="array" ref="E35">INDEX('New credit'!$A:$O,
MATCH(1,('New credit'!$A:$A=$C35)*('New credit'!$D:$D=E$16), 0),
MATCH(E$17,'New credit'!$1:$1,0))</f>
        <v>0.87166666666666659</v>
      </c>
      <c r="F35" s="18" cm="1">
        <f t="array" ref="F35">INDEX('New credit'!$A:$O,
MATCH(1,('New credit'!$A:$A=$C35)*('New credit'!$D:$D=F$16), 0),
MATCH(F$17,'New credit'!$1:$1,0))</f>
        <v>0.64766338039127447</v>
      </c>
      <c r="G35" s="18">
        <f>INDEX('New credit'!$A:$O,
MATCH($C35, 'New credit'!$A:$A, 0),
MATCH(G$17, 'New credit'!$1:$1, 0))</f>
        <v>0.1012194455273091</v>
      </c>
      <c r="H35" s="18">
        <v>0.15</v>
      </c>
      <c r="I35" s="18" cm="1">
        <f t="array" ref="I35">INDEX('Limit raise'!$A:$O,
MATCH(1,('Limit raise'!$A:$A=$C35)*('Limit raise'!$D:$D=I$16), 0),
MATCH(I$17,'Limit raise'!$1:$1,0))</f>
        <v>0.78723404255319152</v>
      </c>
      <c r="J35" s="18" cm="1">
        <f t="array" ref="J35">INDEX('Limit raise'!$A:$O,
MATCH(1,('Limit raise'!$A:$A=$C35)*('Limit raise'!$D:$D=J$16), 0),
MATCH(J$17,'Limit raise'!$1:$1,0))</f>
        <v>0.9277777777777777</v>
      </c>
      <c r="K35" s="18" cm="1">
        <f t="array" ref="K35">INDEX('Limit raise'!$A:$O,
MATCH(1,('Limit raise'!$A:$A=$C35)*('Limit raise'!$D:$D=K$16), 0),
MATCH(K$17,'Limit raise'!$1:$1,0))</f>
        <v>0.7033717189901364</v>
      </c>
      <c r="L35" s="18">
        <f>INDEX('Limit raise'!$A:$O,
MATCH($C35, 'Limit raise'!$A:$A, 0),
MATCH(L$17,'Limit raise'!$1:$1,0))</f>
        <v>0.11098516629180161</v>
      </c>
      <c r="M35" s="18">
        <v>0.15</v>
      </c>
      <c r="N35" s="18"/>
    </row>
    <row r="36" spans="3:14" s="13" customFormat="1" ht="7.2" customHeight="1" x14ac:dyDescent="0.3">
      <c r="C36" s="17">
        <v>18</v>
      </c>
      <c r="D36" s="18" cm="1">
        <f t="array" ref="D36">INDEX('New credit'!$A:$O,
MATCH(1,('New credit'!$A:$A=$C36)*('New credit'!$D:$D=D$16), 0),
MATCH(D$17,'New credit'!$1:$1,0))</f>
        <v>0.75384615384615383</v>
      </c>
      <c r="E36" s="18" cm="1">
        <f t="array" ref="E36">INDEX('New credit'!$A:$O,
MATCH(1,('New credit'!$A:$A=$C36)*('New credit'!$D:$D=E$16), 0),
MATCH(E$17,'New credit'!$1:$1,0))</f>
        <v>0.86392857142857127</v>
      </c>
      <c r="F36" s="18" cm="1">
        <f t="array" ref="F36">INDEX('New credit'!$A:$O,
MATCH(1,('New credit'!$A:$A=$C36)*('New credit'!$D:$D=F$16), 0),
MATCH(F$17,'New credit'!$1:$1,0))</f>
        <v>0.59907245679541943</v>
      </c>
      <c r="G36" s="18">
        <f>INDEX('New credit'!$A:$O,
MATCH($C36, 'New credit'!$A:$A, 0),
MATCH(G$17, 'New credit'!$1:$1, 0))</f>
        <v>0.1210016056775365</v>
      </c>
      <c r="H36" s="18">
        <v>0.15</v>
      </c>
      <c r="I36" s="18" cm="1">
        <f t="array" ref="I36">INDEX('Limit raise'!$A:$O,
MATCH(1,('Limit raise'!$A:$A=$C36)*('Limit raise'!$D:$D=I$16), 0),
MATCH(I$17,'Limit raise'!$1:$1,0))</f>
        <v>0.78723404255319152</v>
      </c>
      <c r="J36" s="18" cm="1">
        <f t="array" ref="J36">INDEX('Limit raise'!$A:$O,
MATCH(1,('Limit raise'!$A:$A=$C36)*('Limit raise'!$D:$D=J$16), 0),
MATCH(J$17,'Limit raise'!$1:$1,0))</f>
        <v>0.92833333333333334</v>
      </c>
      <c r="K36" s="18" cm="1">
        <f t="array" ref="K36">INDEX('Limit raise'!$A:$O,
MATCH(1,('Limit raise'!$A:$A=$C36)*('Limit raise'!$D:$D=K$16), 0),
MATCH(K$17,'Limit raise'!$1:$1,0))</f>
        <v>0.7023359065145578</v>
      </c>
      <c r="L36" s="18">
        <f>INDEX('Limit raise'!$A:$O,
MATCH($C36, 'Limit raise'!$A:$A, 0),
MATCH(L$17,'Limit raise'!$1:$1,0))</f>
        <v>0.10588907738044839</v>
      </c>
      <c r="M36" s="18">
        <v>0.15</v>
      </c>
      <c r="N36" s="18"/>
    </row>
    <row r="37" spans="3:14" s="13" customFormat="1" ht="7.2" customHeight="1" x14ac:dyDescent="0.3">
      <c r="C37" s="17">
        <v>19</v>
      </c>
      <c r="D37" s="18" cm="1">
        <f t="array" ref="D37">INDEX('New credit'!$A:$O,
MATCH(1,('New credit'!$A:$A=$C37)*('New credit'!$D:$D=D$16), 0),
MATCH(D$17,'New credit'!$1:$1,0))</f>
        <v>0.74603174603174605</v>
      </c>
      <c r="E37" s="18" cm="1">
        <f t="array" ref="E37">INDEX('New credit'!$A:$O,
MATCH(1,('New credit'!$A:$A=$C37)*('New credit'!$D:$D=E$16), 0),
MATCH(E$17,'New credit'!$1:$1,0))</f>
        <v>0.85999999999999988</v>
      </c>
      <c r="F37" s="18" cm="1">
        <f t="array" ref="F37">INDEX('New credit'!$A:$O,
MATCH(1,('New credit'!$A:$A=$C37)*('New credit'!$D:$D=F$16), 0),
MATCH(F$17,'New credit'!$1:$1,0))</f>
        <v>0.63964323771621301</v>
      </c>
      <c r="G37" s="18">
        <f>INDEX('New credit'!$A:$O,
MATCH($C37, 'New credit'!$A:$A, 0),
MATCH(G$17, 'New credit'!$1:$1, 0))</f>
        <v>0.1418522820050851</v>
      </c>
      <c r="H37" s="18">
        <v>0.15</v>
      </c>
      <c r="I37" s="18" cm="1">
        <f t="array" ref="I37">INDEX('Limit raise'!$A:$O,
MATCH(1,('Limit raise'!$A:$A=$C37)*('Limit raise'!$D:$D=I$16), 0),
MATCH(I$17,'Limit raise'!$1:$1,0))</f>
        <v>0.78723404255319152</v>
      </c>
      <c r="J37" s="18" cm="1">
        <f t="array" ref="J37">INDEX('Limit raise'!$A:$O,
MATCH(1,('Limit raise'!$A:$A=$C37)*('Limit raise'!$D:$D=J$16), 0),
MATCH(J$17,'Limit raise'!$1:$1,0))</f>
        <v>0.92736842105263162</v>
      </c>
      <c r="K37" s="18" cm="1">
        <f t="array" ref="K37">INDEX('Limit raise'!$A:$O,
MATCH(1,('Limit raise'!$A:$A=$C37)*('Limit raise'!$D:$D=K$16), 0),
MATCH(K$17,'Limit raise'!$1:$1,0))</f>
        <v>0.71970411213149998</v>
      </c>
      <c r="L37" s="18">
        <f>INDEX('Limit raise'!$A:$O,
MATCH($C37, 'Limit raise'!$A:$A, 0),
MATCH(L$17,'Limit raise'!$1:$1,0))</f>
        <v>0.10760280143907409</v>
      </c>
      <c r="M37" s="18">
        <v>0.15</v>
      </c>
      <c r="N37" s="18"/>
    </row>
    <row r="38" spans="3:14" s="13" customFormat="1" ht="7.2" customHeight="1" x14ac:dyDescent="0.3">
      <c r="C38" s="17">
        <v>20</v>
      </c>
      <c r="D38" s="18" cm="1">
        <f t="array" ref="D38">INDEX('New credit'!$A:$O,
MATCH(1,('New credit'!$A:$A=$C38)*('New credit'!$D:$D=D$16), 0),
MATCH(D$17,'New credit'!$1:$1,0))</f>
        <v>0.75409836065573765</v>
      </c>
      <c r="E38" s="18" cm="1">
        <f t="array" ref="E38">INDEX('New credit'!$A:$O,
MATCH(1,('New credit'!$A:$A=$C38)*('New credit'!$D:$D=E$16), 0),
MATCH(E$17,'New credit'!$1:$1,0))</f>
        <v>0.88791666666666647</v>
      </c>
      <c r="F38" s="18" cm="1">
        <f t="array" ref="F38">INDEX('New credit'!$A:$O,
MATCH(1,('New credit'!$A:$A=$C38)*('New credit'!$D:$D=F$16), 0),
MATCH(F$17,'New credit'!$1:$1,0))</f>
        <v>0.70963105355242728</v>
      </c>
      <c r="G38" s="18">
        <f>INDEX('New credit'!$A:$O,
MATCH($C38, 'New credit'!$A:$A, 0),
MATCH(G$17, 'New credit'!$1:$1, 0))</f>
        <v>0.18282068239840291</v>
      </c>
      <c r="H38" s="18">
        <v>0.15</v>
      </c>
      <c r="I38" s="18" cm="1">
        <f t="array" ref="I38">INDEX('Limit raise'!$A:$O,
MATCH(1,('Limit raise'!$A:$A=$C38)*('Limit raise'!$D:$D=I$16), 0),
MATCH(I$17,'Limit raise'!$1:$1,0))</f>
        <v>0.77551020408163263</v>
      </c>
      <c r="J38" s="18" cm="1">
        <f t="array" ref="J38">INDEX('Limit raise'!$A:$O,
MATCH(1,('Limit raise'!$A:$A=$C38)*('Limit raise'!$D:$D=J$16), 0),
MATCH(J$17,'Limit raise'!$1:$1,0))</f>
        <v>0.98333333333333361</v>
      </c>
      <c r="K38" s="18" cm="1">
        <f t="array" ref="K38">INDEX('Limit raise'!$A:$O,
MATCH(1,('Limit raise'!$A:$A=$C38)*('Limit raise'!$D:$D=K$16), 0),
MATCH(K$17,'Limit raise'!$1:$1,0))</f>
        <v>0.75308413666469942</v>
      </c>
      <c r="L38" s="18">
        <f>INDEX('Limit raise'!$A:$O,
MATCH($C38, 'Limit raise'!$A:$A, 0),
MATCH(L$17,'Limit raise'!$1:$1,0))</f>
        <v>1</v>
      </c>
      <c r="M38" s="18">
        <v>0.15</v>
      </c>
      <c r="N38" s="18"/>
    </row>
    <row r="39" spans="3:14" s="13" customFormat="1" ht="7.2" customHeight="1" x14ac:dyDescent="0.3">
      <c r="C39" s="17">
        <v>21</v>
      </c>
      <c r="D39" s="18" cm="1">
        <f t="array" ref="D39">INDEX('New credit'!$A:$O,
MATCH(1,('New credit'!$A:$A=$C39)*('New credit'!$D:$D=D$16), 0),
MATCH(D$17,'New credit'!$1:$1,0))</f>
        <v>0.78688524590163933</v>
      </c>
      <c r="E39" s="18" cm="1">
        <f t="array" ref="E39">INDEX('New credit'!$A:$O,
MATCH(1,('New credit'!$A:$A=$C39)*('New credit'!$D:$D=E$16), 0),
MATCH(E$17,'New credit'!$1:$1,0))</f>
        <v>0.89038461538461522</v>
      </c>
      <c r="F39" s="18" cm="1">
        <f t="array" ref="F39">INDEX('New credit'!$A:$O,
MATCH(1,('New credit'!$A:$A=$C39)*('New credit'!$D:$D=F$16), 0),
MATCH(F$17,'New credit'!$1:$1,0))</f>
        <v>0.73254685135616782</v>
      </c>
      <c r="G39" s="18">
        <f>INDEX('New credit'!$A:$O,
MATCH($C39, 'New credit'!$A:$A, 0),
MATCH(G$17, 'New credit'!$1:$1, 0))</f>
        <v>9.369159540166061E-2</v>
      </c>
      <c r="H39" s="18">
        <v>0.15</v>
      </c>
      <c r="I39" s="18" cm="1">
        <f t="array" ref="I39">INDEX('Limit raise'!$A:$O,
MATCH(1,('Limit raise'!$A:$A=$C39)*('Limit raise'!$D:$D=I$16), 0),
MATCH(I$17,'Limit raise'!$1:$1,0))</f>
        <v>0.79591836734693877</v>
      </c>
      <c r="J39" s="18" cm="1">
        <f t="array" ref="J39">INDEX('Limit raise'!$A:$O,
MATCH(1,('Limit raise'!$A:$A=$C39)*('Limit raise'!$D:$D=J$16), 0),
MATCH(J$17,'Limit raise'!$1:$1,0))</f>
        <v>0.98466666666666691</v>
      </c>
      <c r="K39" s="18" cm="1">
        <f t="array" ref="K39">INDEX('Limit raise'!$A:$O,
MATCH(1,('Limit raise'!$A:$A=$C39)*('Limit raise'!$D:$D=K$16), 0),
MATCH(K$17,'Limit raise'!$1:$1,0))</f>
        <v>0.79035106255438181</v>
      </c>
      <c r="L39" s="18">
        <f>INDEX('Limit raise'!$A:$O,
MATCH($C39, 'Limit raise'!$A:$A, 0),
MATCH(L$17,'Limit raise'!$1:$1,0))</f>
        <v>2.0146139964668779E-2</v>
      </c>
      <c r="M39" s="18">
        <v>0.15</v>
      </c>
      <c r="N39" s="18"/>
    </row>
    <row r="40" spans="3:14" s="13" customFormat="1" ht="7.2" customHeight="1" x14ac:dyDescent="0.3">
      <c r="C40" s="17">
        <v>22</v>
      </c>
      <c r="D40" s="18" cm="1">
        <f t="array" ref="D40">INDEX('New credit'!$A:$O,
MATCH(1,('New credit'!$A:$A=$C40)*('New credit'!$D:$D=D$16), 0),
MATCH(D$17,'New credit'!$1:$1,0))</f>
        <v>0.734375</v>
      </c>
      <c r="E40" s="18" cm="1">
        <f t="array" ref="E40">INDEX('New credit'!$A:$O,
MATCH(1,('New credit'!$A:$A=$C40)*('New credit'!$D:$D=E$16), 0),
MATCH(E$17,'New credit'!$1:$1,0))</f>
        <v>0.866206896551724</v>
      </c>
      <c r="F40" s="18" cm="1">
        <f t="array" ref="F40">INDEX('New credit'!$A:$O,
MATCH(1,('New credit'!$A:$A=$C40)*('New credit'!$D:$D=F$16), 0),
MATCH(F$17,'New credit'!$1:$1,0))</f>
        <v>0.66070044523479154</v>
      </c>
      <c r="G40" s="18">
        <f>INDEX('New credit'!$A:$O,
MATCH($C40, 'New credit'!$A:$A, 0),
MATCH(G$17, 'New credit'!$1:$1, 0))</f>
        <v>0.13229805012053941</v>
      </c>
      <c r="H40" s="18">
        <v>0.15</v>
      </c>
      <c r="I40" s="18" cm="1">
        <f t="array" ref="I40">INDEX('Limit raise'!$A:$O,
MATCH(1,('Limit raise'!$A:$A=$C40)*('Limit raise'!$D:$D=I$16), 0),
MATCH(I$17,'Limit raise'!$1:$1,0))</f>
        <v>0.76</v>
      </c>
      <c r="J40" s="18" cm="1">
        <f t="array" ref="J40">INDEX('Limit raise'!$A:$O,
MATCH(1,('Limit raise'!$A:$A=$C40)*('Limit raise'!$D:$D=J$16), 0),
MATCH(J$17,'Limit raise'!$1:$1,0))</f>
        <v>0.98466666666666691</v>
      </c>
      <c r="K40" s="18" cm="1">
        <f t="array" ref="K40">INDEX('Limit raise'!$A:$O,
MATCH(1,('Limit raise'!$A:$A=$C40)*('Limit raise'!$D:$D=K$16), 0),
MATCH(K$17,'Limit raise'!$1:$1,0))</f>
        <v>0.79047941865181703</v>
      </c>
      <c r="L40" s="18">
        <f>INDEX('Limit raise'!$A:$O,
MATCH($C40, 'Limit raise'!$A:$A, 0),
MATCH(L$17,'Limit raise'!$1:$1,0))</f>
        <v>2.9682552189093971E-2</v>
      </c>
      <c r="M40" s="18">
        <v>0.15</v>
      </c>
      <c r="N40" s="18"/>
    </row>
    <row r="41" spans="3:14" s="13" customFormat="1" ht="7.2" customHeight="1" x14ac:dyDescent="0.3">
      <c r="C41" s="17">
        <v>23</v>
      </c>
      <c r="D41" s="18" cm="1">
        <f t="array" ref="D41">INDEX('New credit'!$A:$O,
MATCH(1,('New credit'!$A:$A=$C41)*('New credit'!$D:$D=D$16), 0),
MATCH(D$17,'New credit'!$1:$1,0))</f>
        <v>0.69841269841269837</v>
      </c>
      <c r="E41" s="18" cm="1">
        <f t="array" ref="E41">INDEX('New credit'!$A:$O,
MATCH(1,('New credit'!$A:$A=$C41)*('New credit'!$D:$D=E$16), 0),
MATCH(E$17,'New credit'!$1:$1,0))</f>
        <v>0.89892857142857152</v>
      </c>
      <c r="F41" s="18" cm="1">
        <f t="array" ref="F41">INDEX('New credit'!$A:$O,
MATCH(1,('New credit'!$A:$A=$C41)*('New credit'!$D:$D=F$16), 0),
MATCH(F$17,'New credit'!$1:$1,0))</f>
        <v>0.75128324897000553</v>
      </c>
      <c r="G41" s="18">
        <f>INDEX('New credit'!$A:$O,
MATCH($C41, 'New credit'!$A:$A, 0),
MATCH(G$17, 'New credit'!$1:$1, 0))</f>
        <v>0.1706736873450001</v>
      </c>
      <c r="H41" s="18">
        <v>0.15</v>
      </c>
      <c r="I41" s="18" cm="1">
        <f t="array" ref="I41">INDEX('Limit raise'!$A:$O,
MATCH(1,('Limit raise'!$A:$A=$C41)*('Limit raise'!$D:$D=I$16), 0),
MATCH(I$17,'Limit raise'!$1:$1,0))</f>
        <v>0.78</v>
      </c>
      <c r="J41" s="18" cm="1">
        <f t="array" ref="J41">INDEX('Limit raise'!$A:$O,
MATCH(1,('Limit raise'!$A:$A=$C41)*('Limit raise'!$D:$D=J$16), 0),
MATCH(J$17,'Limit raise'!$1:$1,0))</f>
        <v>0.98533333333333351</v>
      </c>
      <c r="K41" s="18" cm="1">
        <f t="array" ref="K41">INDEX('Limit raise'!$A:$O,
MATCH(1,('Limit raise'!$A:$A=$C41)*('Limit raise'!$D:$D=K$16), 0),
MATCH(K$17,'Limit raise'!$1:$1,0))</f>
        <v>0.79130740163806235</v>
      </c>
      <c r="L41" s="18">
        <f>INDEX('Limit raise'!$A:$O,
MATCH($C41, 'Limit raise'!$A:$A, 0),
MATCH(L$17,'Limit raise'!$1:$1,0))</f>
        <v>3.4003378246744292E-2</v>
      </c>
      <c r="M41" s="18">
        <v>0.15</v>
      </c>
      <c r="N41" s="18"/>
    </row>
    <row r="42" spans="3:14" s="13" customFormat="1" ht="7.2" customHeight="1" x14ac:dyDescent="0.3">
      <c r="C42" s="17">
        <v>24</v>
      </c>
      <c r="D42" s="18" cm="1">
        <f t="array" ref="D42">INDEX('New credit'!$A:$O,
MATCH(1,('New credit'!$A:$A=$C42)*('New credit'!$D:$D=D$16), 0),
MATCH(D$17,'New credit'!$1:$1,0))</f>
        <v>0.75</v>
      </c>
      <c r="E42" s="18" cm="1">
        <f t="array" ref="E42">INDEX('New credit'!$A:$O,
MATCH(1,('New credit'!$A:$A=$C42)*('New credit'!$D:$D=E$16), 0),
MATCH(E$17,'New credit'!$1:$1,0))</f>
        <v>0.85999999999999988</v>
      </c>
      <c r="F42" s="18" cm="1">
        <f t="array" ref="F42">INDEX('New credit'!$A:$O,
MATCH(1,('New credit'!$A:$A=$C42)*('New credit'!$D:$D=F$16), 0),
MATCH(F$17,'New credit'!$1:$1,0))</f>
        <v>0.64125624318619523</v>
      </c>
      <c r="G42" s="18">
        <f>INDEX('New credit'!$A:$O,
MATCH($C42, 'New credit'!$A:$A, 0),
MATCH(G$17, 'New credit'!$1:$1, 0))</f>
        <v>0.143243179061745</v>
      </c>
      <c r="H42" s="18">
        <v>0.15</v>
      </c>
      <c r="I42" s="18" cm="1">
        <f t="array" ref="I42">INDEX('Limit raise'!$A:$O,
MATCH(1,('Limit raise'!$A:$A=$C42)*('Limit raise'!$D:$D=I$16), 0),
MATCH(I$17,'Limit raise'!$1:$1,0))</f>
        <v>0.75</v>
      </c>
      <c r="J42" s="18" cm="1">
        <f t="array" ref="J42">INDEX('Limit raise'!$A:$O,
MATCH(1,('Limit raise'!$A:$A=$C42)*('Limit raise'!$D:$D=J$16), 0),
MATCH(J$17,'Limit raise'!$1:$1,0))</f>
        <v>0.98466666666666691</v>
      </c>
      <c r="K42" s="18" cm="1">
        <f t="array" ref="K42">INDEX('Limit raise'!$A:$O,
MATCH(1,('Limit raise'!$A:$A=$C42)*('Limit raise'!$D:$D=K$16), 0),
MATCH(K$17,'Limit raise'!$1:$1,0))</f>
        <v>0.79206553572969263</v>
      </c>
      <c r="L42" s="18">
        <f>INDEX('Limit raise'!$A:$O,
MATCH($C42, 'Limit raise'!$A:$A, 0),
MATCH(L$17,'Limit raise'!$1:$1,0))</f>
        <v>4.3951330867887523E-2</v>
      </c>
      <c r="M42" s="18">
        <v>0.15</v>
      </c>
      <c r="N42" s="18"/>
    </row>
    <row r="43" spans="3:14" s="13" customFormat="1" ht="7.2" customHeight="1" x14ac:dyDescent="0.3">
      <c r="C43" s="17">
        <v>25</v>
      </c>
      <c r="D43" s="18" cm="1">
        <f t="array" ref="D43">INDEX('New credit'!$A:$O,
MATCH(1,('New credit'!$A:$A=$C43)*('New credit'!$D:$D=D$16), 0),
MATCH(D$17,'New credit'!$1:$1,0))</f>
        <v>0.76271186440677963</v>
      </c>
      <c r="E43" s="18" cm="1">
        <f t="array" ref="E43">INDEX('New credit'!$A:$O,
MATCH(1,('New credit'!$A:$A=$C43)*('New credit'!$D:$D=E$16), 0),
MATCH(E$17,'New credit'!$1:$1,0))</f>
        <v>0.8524242424242422</v>
      </c>
      <c r="F43" s="18" cm="1">
        <f t="array" ref="F43">INDEX('New credit'!$A:$O,
MATCH(1,('New credit'!$A:$A=$C43)*('New credit'!$D:$D=F$16), 0),
MATCH(F$17,'New credit'!$1:$1,0))</f>
        <v>0.7317146318677179</v>
      </c>
      <c r="G43" s="18">
        <f>INDEX('New credit'!$A:$O,
MATCH($C43, 'New credit'!$A:$A, 0),
MATCH(G$17, 'New credit'!$1:$1, 0))</f>
        <v>0.29310427146489693</v>
      </c>
      <c r="H43" s="18">
        <v>0.15</v>
      </c>
      <c r="I43" s="18" cm="1">
        <f t="array" ref="I43">INDEX('Limit raise'!$A:$O,
MATCH(1,('Limit raise'!$A:$A=$C43)*('Limit raise'!$D:$D=I$16), 0),
MATCH(I$17,'Limit raise'!$1:$1,0))</f>
        <v>0.75</v>
      </c>
      <c r="J43" s="18" cm="1">
        <f t="array" ref="J43">INDEX('Limit raise'!$A:$O,
MATCH(1,('Limit raise'!$A:$A=$C43)*('Limit raise'!$D:$D=J$16), 0),
MATCH(J$17,'Limit raise'!$1:$1,0))</f>
        <v>0.98466666666666691</v>
      </c>
      <c r="K43" s="18" cm="1">
        <f t="array" ref="K43">INDEX('Limit raise'!$A:$O,
MATCH(1,('Limit raise'!$A:$A=$C43)*('Limit raise'!$D:$D=K$16), 0),
MATCH(K$17,'Limit raise'!$1:$1,0))</f>
        <v>0.79009213526954214</v>
      </c>
      <c r="L43" s="18">
        <f>INDEX('Limit raise'!$A:$O,
MATCH($C43, 'Limit raise'!$A:$A, 0),
MATCH(L$17,'Limit raise'!$1:$1,0))</f>
        <v>5.3083788332053718E-2</v>
      </c>
      <c r="M43" s="18">
        <v>0.15</v>
      </c>
      <c r="N43" s="18"/>
    </row>
    <row r="44" spans="3:14" s="13" customFormat="1" ht="7.2" customHeight="1" x14ac:dyDescent="0.3">
      <c r="C44" s="17">
        <v>26</v>
      </c>
      <c r="D44" s="18" cm="1">
        <f t="array" ref="D44">INDEX('New credit'!$A:$O,
MATCH(1,('New credit'!$A:$A=$C44)*('New credit'!$D:$D=D$16), 0),
MATCH(D$17,'New credit'!$1:$1,0))</f>
        <v>0.8</v>
      </c>
      <c r="E44" s="18" cm="1">
        <f t="array" ref="E44">INDEX('New credit'!$A:$O,
MATCH(1,('New credit'!$A:$A=$C44)*('New credit'!$D:$D=E$16), 0),
MATCH(E$17,'New credit'!$1:$1,0))</f>
        <v>0.84142857142857164</v>
      </c>
      <c r="F44" s="18" cm="1">
        <f t="array" ref="F44">INDEX('New credit'!$A:$O,
MATCH(1,('New credit'!$A:$A=$C44)*('New credit'!$D:$D=F$16), 0),
MATCH(F$17,'New credit'!$1:$1,0))</f>
        <v>0.82696263410263071</v>
      </c>
      <c r="G44" s="18">
        <f>INDEX('New credit'!$A:$O,
MATCH($C44, 'New credit'!$A:$A, 0),
MATCH(G$17, 'New credit'!$1:$1, 0))</f>
        <v>1</v>
      </c>
      <c r="H44" s="18">
        <v>0.15</v>
      </c>
      <c r="I44" s="18" cm="1">
        <f t="array" ref="I44">INDEX('Limit raise'!$A:$O,
MATCH(1,('Limit raise'!$A:$A=$C44)*('Limit raise'!$D:$D=I$16), 0),
MATCH(I$17,'Limit raise'!$1:$1,0))</f>
        <v>0.74509803921568629</v>
      </c>
      <c r="J44" s="18" cm="1">
        <f t="array" ref="J44">INDEX('Limit raise'!$A:$O,
MATCH(1,('Limit raise'!$A:$A=$C44)*('Limit raise'!$D:$D=J$16), 0),
MATCH(J$17,'Limit raise'!$1:$1,0))</f>
        <v>0.98533333333333351</v>
      </c>
      <c r="K44" s="18" cm="1">
        <f t="array" ref="K44">INDEX('Limit raise'!$A:$O,
MATCH(1,('Limit raise'!$A:$A=$C44)*('Limit raise'!$D:$D=K$16), 0),
MATCH(K$17,'Limit raise'!$1:$1,0))</f>
        <v>0.78645826154710918</v>
      </c>
      <c r="L44" s="18">
        <f>INDEX('Limit raise'!$A:$O,
MATCH($C44, 'Limit raise'!$A:$A, 0),
MATCH(L$17,'Limit raise'!$1:$1,0))</f>
        <v>6.1283315932522758E-2</v>
      </c>
      <c r="M44" s="18">
        <v>0.15</v>
      </c>
      <c r="N44" s="18"/>
    </row>
    <row r="45" spans="3:14" s="13" customFormat="1" ht="7.2" customHeight="1" x14ac:dyDescent="0.3">
      <c r="C45" s="17">
        <v>27</v>
      </c>
      <c r="D45" s="18" cm="1">
        <f t="array" ref="D45">INDEX('New credit'!$A:$O,
MATCH(1,('New credit'!$A:$A=$C45)*('New credit'!$D:$D=D$16), 0),
MATCH(D$17,'New credit'!$1:$1,0))</f>
        <v>0.76190476190476186</v>
      </c>
      <c r="E45" s="18" cm="1">
        <f t="array" ref="E45">INDEX('New credit'!$A:$O,
MATCH(1,('New credit'!$A:$A=$C45)*('New credit'!$D:$D=E$16), 0),
MATCH(E$17,'New credit'!$1:$1,0))</f>
        <v>0.84870967741935466</v>
      </c>
      <c r="F45" s="18" cm="1">
        <f t="array" ref="F45">INDEX('New credit'!$A:$O,
MATCH(1,('New credit'!$A:$A=$C45)*('New credit'!$D:$D=F$16), 0),
MATCH(F$17,'New credit'!$1:$1,0))</f>
        <v>0.73565012098812421</v>
      </c>
      <c r="G45" s="18">
        <f>INDEX('New credit'!$A:$O,
MATCH($C45, 'New credit'!$A:$A, 0),
MATCH(G$17, 'New credit'!$1:$1, 0))</f>
        <v>0.1162233810887723</v>
      </c>
      <c r="H45" s="18">
        <v>0.15</v>
      </c>
      <c r="I45" s="18" cm="1">
        <f t="array" ref="I45">INDEX('Limit raise'!$A:$O,
MATCH(1,('Limit raise'!$A:$A=$C45)*('Limit raise'!$D:$D=I$16), 0),
MATCH(I$17,'Limit raise'!$1:$1,0))</f>
        <v>0.73076923076923073</v>
      </c>
      <c r="J45" s="18" cm="1">
        <f t="array" ref="J45">INDEX('Limit raise'!$A:$O,
MATCH(1,('Limit raise'!$A:$A=$C45)*('Limit raise'!$D:$D=J$16), 0),
MATCH(J$17,'Limit raise'!$1:$1,0))</f>
        <v>0.98533333333333351</v>
      </c>
      <c r="K45" s="18" cm="1">
        <f t="array" ref="K45">INDEX('Limit raise'!$A:$O,
MATCH(1,('Limit raise'!$A:$A=$C45)*('Limit raise'!$D:$D=K$16), 0),
MATCH(K$17,'Limit raise'!$1:$1,0))</f>
        <v>0.75784927783743172</v>
      </c>
      <c r="L45" s="18">
        <f>INDEX('Limit raise'!$A:$O,
MATCH($C45, 'Limit raise'!$A:$A, 0),
MATCH(L$17,'Limit raise'!$1:$1,0))</f>
        <v>7.4728944812063672E-2</v>
      </c>
      <c r="M45" s="18">
        <v>0.15</v>
      </c>
      <c r="N45" s="18"/>
    </row>
    <row r="46" spans="3:14" s="13" customFormat="1" ht="7.2" customHeight="1" x14ac:dyDescent="0.3">
      <c r="C46" s="17">
        <v>28</v>
      </c>
      <c r="D46" s="18" cm="1">
        <f t="array" ref="D46">INDEX('New credit'!$A:$O,
MATCH(1,('New credit'!$A:$A=$C46)*('New credit'!$D:$D=D$16), 0),
MATCH(D$17,'New credit'!$1:$1,0))</f>
        <v>0.76666666666666672</v>
      </c>
      <c r="E46" s="18" cm="1">
        <f t="array" ref="E46">INDEX('New credit'!$A:$O,
MATCH(1,('New credit'!$A:$A=$C46)*('New credit'!$D:$D=E$16), 0),
MATCH(E$17,'New credit'!$1:$1,0))</f>
        <v>0.88130434782608691</v>
      </c>
      <c r="F46" s="18" cm="1">
        <f t="array" ref="F46">INDEX('New credit'!$A:$O,
MATCH(1,('New credit'!$A:$A=$C46)*('New credit'!$D:$D=F$16), 0),
MATCH(F$17,'New credit'!$1:$1,0))</f>
        <v>0.8563889721821738</v>
      </c>
      <c r="G46" s="18">
        <f>INDEX('New credit'!$A:$O,
MATCH($C46, 'New credit'!$A:$A, 0),
MATCH(G$17, 'New credit'!$1:$1, 0))</f>
        <v>0.20461269967764029</v>
      </c>
      <c r="H46" s="18">
        <v>0.15</v>
      </c>
      <c r="I46" s="18" cm="1">
        <f t="array" ref="I46">INDEX('Limit raise'!$A:$O,
MATCH(1,('Limit raise'!$A:$A=$C46)*('Limit raise'!$D:$D=I$16), 0),
MATCH(I$17,'Limit raise'!$1:$1,0))</f>
        <v>0.69811320754716977</v>
      </c>
      <c r="J46" s="18" cm="1">
        <f t="array" ref="J46">INDEX('Limit raise'!$A:$O,
MATCH(1,('Limit raise'!$A:$A=$C46)*('Limit raise'!$D:$D=J$16), 0),
MATCH(J$17,'Limit raise'!$1:$1,0))</f>
        <v>0.9826666666666668</v>
      </c>
      <c r="K46" s="18" cm="1">
        <f t="array" ref="K46">INDEX('Limit raise'!$A:$O,
MATCH(1,('Limit raise'!$A:$A=$C46)*('Limit raise'!$D:$D=K$16), 0),
MATCH(K$17,'Limit raise'!$1:$1,0))</f>
        <v>0.76442438730257367</v>
      </c>
      <c r="L46" s="18">
        <f>INDEX('Limit raise'!$A:$O,
MATCH($C46, 'Limit raise'!$A:$A, 0),
MATCH(L$17,'Limit raise'!$1:$1,0))</f>
        <v>8.0572111748854841E-2</v>
      </c>
      <c r="M46" s="18">
        <v>0.15</v>
      </c>
      <c r="N46" s="18"/>
    </row>
    <row r="47" spans="3:14" s="13" customFormat="1" ht="7.2" customHeight="1" x14ac:dyDescent="0.3">
      <c r="C47" s="17">
        <v>29</v>
      </c>
      <c r="D47" s="18" cm="1">
        <f t="array" ref="D47">INDEX('New credit'!$A:$O,
MATCH(1,('New credit'!$A:$A=$C47)*('New credit'!$D:$D=D$16), 0),
MATCH(D$17,'New credit'!$1:$1,0))</f>
        <v>0.734375</v>
      </c>
      <c r="E47" s="18" cm="1">
        <f t="array" ref="E47">INDEX('New credit'!$A:$O,
MATCH(1,('New credit'!$A:$A=$C47)*('New credit'!$D:$D=E$16), 0),
MATCH(E$17,'New credit'!$1:$1,0))</f>
        <v>0.86033333333333306</v>
      </c>
      <c r="F47" s="18" cm="1">
        <f t="array" ref="F47">INDEX('New credit'!$A:$O,
MATCH(1,('New credit'!$A:$A=$C47)*('New credit'!$D:$D=F$16), 0),
MATCH(F$17,'New credit'!$1:$1,0))</f>
        <v>0.75362286816010637</v>
      </c>
      <c r="G47" s="18">
        <f>INDEX('New credit'!$A:$O,
MATCH($C47, 'New credit'!$A:$A, 0),
MATCH(G$17, 'New credit'!$1:$1, 0))</f>
        <v>0.167280042660339</v>
      </c>
      <c r="H47" s="18">
        <v>0.15</v>
      </c>
      <c r="I47" s="18" cm="1">
        <f t="array" ref="I47">INDEX('Limit raise'!$A:$O,
MATCH(1,('Limit raise'!$A:$A=$C47)*('Limit raise'!$D:$D=I$16), 0),
MATCH(I$17,'Limit raise'!$1:$1,0))</f>
        <v>0.67924528301886788</v>
      </c>
      <c r="J47" s="18" cm="1">
        <f t="array" ref="J47">INDEX('Limit raise'!$A:$O,
MATCH(1,('Limit raise'!$A:$A=$C47)*('Limit raise'!$D:$D=J$16), 0),
MATCH(J$17,'Limit raise'!$1:$1,0))</f>
        <v>0.98187500000000005</v>
      </c>
      <c r="K47" s="18" cm="1">
        <f t="array" ref="K47">INDEX('Limit raise'!$A:$O,
MATCH(1,('Limit raise'!$A:$A=$C47)*('Limit raise'!$D:$D=K$16), 0),
MATCH(K$17,'Limit raise'!$1:$1,0))</f>
        <v>0.761745633036368</v>
      </c>
      <c r="L47" s="18">
        <f>INDEX('Limit raise'!$A:$O,
MATCH($C47, 'Limit raise'!$A:$A, 0),
MATCH(L$17,'Limit raise'!$1:$1,0))</f>
        <v>9.3247358320082088E-2</v>
      </c>
      <c r="M47" s="18">
        <v>0.15</v>
      </c>
      <c r="N47" s="18"/>
    </row>
    <row r="48" spans="3:14" s="13" customFormat="1" ht="7.2" customHeight="1" x14ac:dyDescent="0.3">
      <c r="C48" s="17">
        <v>30</v>
      </c>
      <c r="D48" s="18" cm="1">
        <f t="array" ref="D48">INDEX('New credit'!$A:$O,
MATCH(1,('New credit'!$A:$A=$C48)*('New credit'!$D:$D=D$16), 0),
MATCH(D$17,'New credit'!$1:$1,0))</f>
        <v>0.69565217391304346</v>
      </c>
      <c r="E48" s="18" cm="1">
        <f t="array" ref="E48">INDEX('New credit'!$A:$O,
MATCH(1,('New credit'!$A:$A=$C48)*('New credit'!$D:$D=E$16), 0),
MATCH(E$17,'New credit'!$1:$1,0))</f>
        <v>0.85499999999999976</v>
      </c>
      <c r="F48" s="18" cm="1">
        <f t="array" ref="F48">INDEX('New credit'!$A:$O,
MATCH(1,('New credit'!$A:$A=$C48)*('New credit'!$D:$D=F$16), 0),
MATCH(F$17,'New credit'!$1:$1,0))</f>
        <v>0.75736738105431578</v>
      </c>
      <c r="G48" s="18">
        <f>INDEX('New credit'!$A:$O,
MATCH($C48, 'New credit'!$A:$A, 0),
MATCH(G$17, 'New credit'!$1:$1, 0))</f>
        <v>1</v>
      </c>
      <c r="H48" s="18">
        <v>0.15</v>
      </c>
      <c r="I48" s="18" cm="1">
        <f t="array" ref="I48">INDEX('Limit raise'!$A:$O,
MATCH(1,('Limit raise'!$A:$A=$C48)*('Limit raise'!$D:$D=I$16), 0),
MATCH(I$17,'Limit raise'!$1:$1,0))</f>
        <v>0.67924528301886788</v>
      </c>
      <c r="J48" s="18" cm="1">
        <f t="array" ref="J48">INDEX('Limit raise'!$A:$O,
MATCH(1,('Limit raise'!$A:$A=$C48)*('Limit raise'!$D:$D=J$16), 0),
MATCH(J$17,'Limit raise'!$1:$1,0))</f>
        <v>0.98125000000000018</v>
      </c>
      <c r="K48" s="18" cm="1">
        <f t="array" ref="K48">INDEX('Limit raise'!$A:$O,
MATCH(1,('Limit raise'!$A:$A=$C48)*('Limit raise'!$D:$D=K$16), 0),
MATCH(K$17,'Limit raise'!$1:$1,0))</f>
        <v>0.76169216687957575</v>
      </c>
      <c r="L48" s="18">
        <f>INDEX('Limit raise'!$A:$O,
MATCH($C48, 'Limit raise'!$A:$A, 0),
MATCH(L$17,'Limit raise'!$1:$1,0))</f>
        <v>9.9623214392308257E-2</v>
      </c>
      <c r="M48" s="18">
        <v>0.15</v>
      </c>
      <c r="N48" s="18"/>
    </row>
    <row r="49" spans="3:14" s="13" customFormat="1" ht="7.2" customHeight="1" x14ac:dyDescent="0.3">
      <c r="C49" s="17">
        <v>31</v>
      </c>
      <c r="D49" s="18" cm="1">
        <f t="array" ref="D49">INDEX('New credit'!$A:$O,
MATCH(1,('New credit'!$A:$A=$C49)*('New credit'!$D:$D=D$16), 0),
MATCH(D$17,'New credit'!$1:$1,0))</f>
        <v>0.70149253731343286</v>
      </c>
      <c r="E49" s="18" cm="1">
        <f t="array" ref="E49">INDEX('New credit'!$A:$O,
MATCH(1,('New credit'!$A:$A=$C49)*('New credit'!$D:$D=E$16), 0),
MATCH(E$17,'New credit'!$1:$1,0))</f>
        <v>0.8330303030303029</v>
      </c>
      <c r="F49" s="18" cm="1">
        <f t="array" ref="F49">INDEX('New credit'!$A:$O,
MATCH(1,('New credit'!$A:$A=$C49)*('New credit'!$D:$D=F$16), 0),
MATCH(F$17,'New credit'!$1:$1,0))</f>
        <v>0.69755571988706944</v>
      </c>
      <c r="G49" s="18">
        <f>INDEX('New credit'!$A:$O,
MATCH($C49, 'New credit'!$A:$A, 0),
MATCH(G$17, 'New credit'!$1:$1, 0))</f>
        <v>9.3370446753272912E-2</v>
      </c>
      <c r="H49" s="18">
        <v>0.15</v>
      </c>
      <c r="I49" s="18" cm="1">
        <f t="array" ref="I49">INDEX('Limit raise'!$A:$O,
MATCH(1,('Limit raise'!$A:$A=$C49)*('Limit raise'!$D:$D=I$16), 0),
MATCH(I$17,'Limit raise'!$1:$1,0))</f>
        <v>0.68518518518518523</v>
      </c>
      <c r="J49" s="18" cm="1">
        <f t="array" ref="J49">INDEX('Limit raise'!$A:$O,
MATCH(1,('Limit raise'!$A:$A=$C49)*('Limit raise'!$D:$D=J$16), 0),
MATCH(J$17,'Limit raise'!$1:$1,0))</f>
        <v>0.9764705882352942</v>
      </c>
      <c r="K49" s="18" cm="1">
        <f t="array" ref="K49">INDEX('Limit raise'!$A:$O,
MATCH(1,('Limit raise'!$A:$A=$C49)*('Limit raise'!$D:$D=K$16), 0),
MATCH(K$17,'Limit raise'!$1:$1,0))</f>
        <v>0.76114070684970392</v>
      </c>
      <c r="L49" s="18">
        <f>INDEX('Limit raise'!$A:$O,
MATCH($C49, 'Limit raise'!$A:$A, 0),
MATCH(L$17,'Limit raise'!$1:$1,0))</f>
        <v>0.1147392350153508</v>
      </c>
      <c r="M49" s="18">
        <v>0.15</v>
      </c>
      <c r="N49" s="18"/>
    </row>
    <row r="50" spans="3:14" s="13" customFormat="1" ht="7.2" customHeight="1" x14ac:dyDescent="0.3">
      <c r="C50" s="17">
        <v>32</v>
      </c>
      <c r="D50" s="18" cm="1">
        <f t="array" ref="D50">INDEX('New credit'!$A:$O,
MATCH(1,('New credit'!$A:$A=$C50)*('New credit'!$D:$D=D$16), 0),
MATCH(D$17,'New credit'!$1:$1,0))</f>
        <v>0.70588235294117652</v>
      </c>
      <c r="E50" s="18" cm="1">
        <f t="array" ref="E50">INDEX('New credit'!$A:$O,
MATCH(1,('New credit'!$A:$A=$C50)*('New credit'!$D:$D=E$16), 0),
MATCH(E$17,'New credit'!$1:$1,0))</f>
        <v>0.86483870967741905</v>
      </c>
      <c r="F50" s="18" cm="1">
        <f t="array" ref="F50">INDEX('New credit'!$A:$O,
MATCH(1,('New credit'!$A:$A=$C50)*('New credit'!$D:$D=F$16), 0),
MATCH(F$17,'New credit'!$1:$1,0))</f>
        <v>0.737184478200273</v>
      </c>
      <c r="G50" s="18">
        <f>INDEX('New credit'!$A:$O,
MATCH($C50, 'New credit'!$A:$A, 0),
MATCH(G$17, 'New credit'!$1:$1, 0))</f>
        <v>0.1134490431037104</v>
      </c>
      <c r="H50" s="18">
        <v>0.15</v>
      </c>
      <c r="I50" s="18" cm="1">
        <f t="array" ref="I50">INDEX('Limit raise'!$A:$O,
MATCH(1,('Limit raise'!$A:$A=$C50)*('Limit raise'!$D:$D=I$16), 0),
MATCH(I$17,'Limit raise'!$1:$1,0))</f>
        <v>0.70175438596491224</v>
      </c>
      <c r="J50" s="18" cm="1">
        <f t="array" ref="J50">INDEX('Limit raise'!$A:$O,
MATCH(1,('Limit raise'!$A:$A=$C50)*('Limit raise'!$D:$D=J$16), 0),
MATCH(J$17,'Limit raise'!$1:$1,0))</f>
        <v>0.97882352941176454</v>
      </c>
      <c r="K50" s="18" cm="1">
        <f t="array" ref="K50">INDEX('Limit raise'!$A:$O,
MATCH(1,('Limit raise'!$A:$A=$C50)*('Limit raise'!$D:$D=K$16), 0),
MATCH(K$17,'Limit raise'!$1:$1,0))</f>
        <v>0.8278595028561796</v>
      </c>
      <c r="L50" s="18">
        <f>INDEX('Limit raise'!$A:$O,
MATCH($C50, 'Limit raise'!$A:$A, 0),
MATCH(L$17,'Limit raise'!$1:$1,0))</f>
        <v>0.13136803576968059</v>
      </c>
      <c r="M50" s="18">
        <v>0.15</v>
      </c>
      <c r="N50" s="18"/>
    </row>
    <row r="51" spans="3:14" s="13" customFormat="1" ht="7.2" customHeight="1" x14ac:dyDescent="0.3">
      <c r="C51" s="17">
        <v>33</v>
      </c>
      <c r="D51" s="18" cm="1">
        <f t="array" ref="D51">INDEX('New credit'!$A:$O,
MATCH(1,('New credit'!$A:$A=$C51)*('New credit'!$D:$D=D$16), 0),
MATCH(D$17,'New credit'!$1:$1,0))</f>
        <v>0.75</v>
      </c>
      <c r="E51" s="18" cm="1">
        <f t="array" ref="E51">INDEX('New credit'!$A:$O,
MATCH(1,('New credit'!$A:$A=$C51)*('New credit'!$D:$D=E$16), 0),
MATCH(E$17,'New credit'!$1:$1,0))</f>
        <v>0.86666666666666636</v>
      </c>
      <c r="F51" s="18" cm="1">
        <f t="array" ref="F51">INDEX('New credit'!$A:$O,
MATCH(1,('New credit'!$A:$A=$C51)*('New credit'!$D:$D=F$16), 0),
MATCH(F$17,'New credit'!$1:$1,0))</f>
        <v>0.77031547629746167</v>
      </c>
      <c r="G51" s="18">
        <f>INDEX('New credit'!$A:$O,
MATCH($C51, 'New credit'!$A:$A, 0),
MATCH(G$17, 'New credit'!$1:$1, 0))</f>
        <v>0.1555818942973039</v>
      </c>
      <c r="H51" s="18">
        <v>0.15</v>
      </c>
      <c r="I51" s="18" cm="1">
        <f t="array" ref="I51">INDEX('Limit raise'!$A:$O,
MATCH(1,('Limit raise'!$A:$A=$C51)*('Limit raise'!$D:$D=I$16), 0),
MATCH(I$17,'Limit raise'!$1:$1,0))</f>
        <v>0.68421052631578949</v>
      </c>
      <c r="J51" s="18" cm="1">
        <f t="array" ref="J51">INDEX('Limit raise'!$A:$O,
MATCH(1,('Limit raise'!$A:$A=$C51)*('Limit raise'!$D:$D=J$16), 0),
MATCH(J$17,'Limit raise'!$1:$1,0))</f>
        <v>0.97941176470588232</v>
      </c>
      <c r="K51" s="18" cm="1">
        <f t="array" ref="K51">INDEX('Limit raise'!$A:$O,
MATCH(1,('Limit raise'!$A:$A=$C51)*('Limit raise'!$D:$D=K$16), 0),
MATCH(K$17,'Limit raise'!$1:$1,0))</f>
        <v>0.79648086089366732</v>
      </c>
      <c r="L51" s="18">
        <f>INDEX('Limit raise'!$A:$O,
MATCH($C51, 'Limit raise'!$A:$A, 0),
MATCH(L$17,'Limit raise'!$1:$1,0))</f>
        <v>0.1327144611414981</v>
      </c>
      <c r="M51" s="18">
        <v>0.15</v>
      </c>
      <c r="N51" s="18"/>
    </row>
    <row r="52" spans="3:14" s="13" customFormat="1" ht="7.2" customHeight="1" x14ac:dyDescent="0.3">
      <c r="C52" s="17">
        <v>34</v>
      </c>
      <c r="D52" s="18" cm="1">
        <f t="array" ref="D52">INDEX('New credit'!$A:$O,
MATCH(1,('New credit'!$A:$A=$C52)*('New credit'!$D:$D=D$16), 0),
MATCH(D$17,'New credit'!$1:$1,0))</f>
        <v>0.75409836065573765</v>
      </c>
      <c r="E52" s="18" cm="1">
        <f t="array" ref="E52">INDEX('New credit'!$A:$O,
MATCH(1,('New credit'!$A:$A=$C52)*('New credit'!$D:$D=E$16), 0),
MATCH(E$17,'New credit'!$1:$1,0))</f>
        <v>0.86529411764705855</v>
      </c>
      <c r="F52" s="18" cm="1">
        <f t="array" ref="F52">INDEX('New credit'!$A:$O,
MATCH(1,('New credit'!$A:$A=$C52)*('New credit'!$D:$D=F$16), 0),
MATCH(F$17,'New credit'!$1:$1,0))</f>
        <v>0.73704122171007758</v>
      </c>
      <c r="G52" s="18">
        <f>INDEX('New credit'!$A:$O,
MATCH($C52, 'New credit'!$A:$A, 0),
MATCH(G$17, 'New credit'!$1:$1, 0))</f>
        <v>0.129060699043648</v>
      </c>
      <c r="H52" s="18">
        <v>0.15</v>
      </c>
      <c r="I52" s="18" cm="1">
        <f t="array" ref="I52">INDEX('Limit raise'!$A:$O,
MATCH(1,('Limit raise'!$A:$A=$C52)*('Limit raise'!$D:$D=I$16), 0),
MATCH(I$17,'Limit raise'!$1:$1,0))</f>
        <v>0.66666666666666663</v>
      </c>
      <c r="J52" s="18" cm="1">
        <f t="array" ref="J52">INDEX('Limit raise'!$A:$O,
MATCH(1,('Limit raise'!$A:$A=$C52)*('Limit raise'!$D:$D=J$16), 0),
MATCH(J$17,'Limit raise'!$1:$1,0))</f>
        <v>0.97941176470588232</v>
      </c>
      <c r="K52" s="18" cm="1">
        <f t="array" ref="K52">INDEX('Limit raise'!$A:$O,
MATCH(1,('Limit raise'!$A:$A=$C52)*('Limit raise'!$D:$D=K$16), 0),
MATCH(K$17,'Limit raise'!$1:$1,0))</f>
        <v>0.79594643362219875</v>
      </c>
      <c r="L52" s="18">
        <f>INDEX('Limit raise'!$A:$O,
MATCH($C52, 'Limit raise'!$A:$A, 0),
MATCH(L$17,'Limit raise'!$1:$1,0))</f>
        <v>0.1313439977458484</v>
      </c>
      <c r="M52" s="18">
        <v>0.15</v>
      </c>
      <c r="N52" s="18"/>
    </row>
    <row r="53" spans="3:14" s="13" customFormat="1" ht="7.2" customHeight="1" x14ac:dyDescent="0.3">
      <c r="C53" s="17">
        <v>35</v>
      </c>
      <c r="D53" s="18" cm="1">
        <f t="array" ref="D53">INDEX('New credit'!$A:$O,
MATCH(1,('New credit'!$A:$A=$C53)*('New credit'!$D:$D=D$16), 0),
MATCH(D$17,'New credit'!$1:$1,0))</f>
        <v>0.75409836065573765</v>
      </c>
      <c r="E53" s="18" cm="1">
        <f t="array" ref="E53">INDEX('New credit'!$A:$O,
MATCH(1,('New credit'!$A:$A=$C53)*('New credit'!$D:$D=E$16), 0),
MATCH(E$17,'New credit'!$1:$1,0))</f>
        <v>0.85923076923076913</v>
      </c>
      <c r="F53" s="18" cm="1">
        <f t="array" ref="F53">INDEX('New credit'!$A:$O,
MATCH(1,('New credit'!$A:$A=$C53)*('New credit'!$D:$D=F$16), 0),
MATCH(F$17,'New credit'!$1:$1,0))</f>
        <v>0.72556788628761537</v>
      </c>
      <c r="G53" s="18">
        <f>INDEX('New credit'!$A:$O,
MATCH($C53, 'New credit'!$A:$A, 0),
MATCH(G$17, 'New credit'!$1:$1, 0))</f>
        <v>0.16376669107901901</v>
      </c>
      <c r="H53" s="18">
        <v>0.15</v>
      </c>
      <c r="I53" s="18" cm="1">
        <f t="array" ref="I53">INDEX('Limit raise'!$A:$O,
MATCH(1,('Limit raise'!$A:$A=$C53)*('Limit raise'!$D:$D=I$16), 0),
MATCH(I$17,'Limit raise'!$1:$1,0))</f>
        <v>0.66666666666666663</v>
      </c>
      <c r="J53" s="18" cm="1">
        <f t="array" ref="J53">INDEX('Limit raise'!$A:$O,
MATCH(1,('Limit raise'!$A:$A=$C53)*('Limit raise'!$D:$D=J$16), 0),
MATCH(J$17,'Limit raise'!$1:$1,0))</f>
        <v>0.979375</v>
      </c>
      <c r="K53" s="18" cm="1">
        <f t="array" ref="K53">INDEX('Limit raise'!$A:$O,
MATCH(1,('Limit raise'!$A:$A=$C53)*('Limit raise'!$D:$D=K$16), 0),
MATCH(K$17,'Limit raise'!$1:$1,0))</f>
        <v>0.79378914574467707</v>
      </c>
      <c r="L53" s="18">
        <f>INDEX('Limit raise'!$A:$O,
MATCH($C53, 'Limit raise'!$A:$A, 0),
MATCH(L$17,'Limit raise'!$1:$1,0))</f>
        <v>0.13467890658896431</v>
      </c>
      <c r="M53" s="18">
        <v>0.15</v>
      </c>
      <c r="N53" s="18"/>
    </row>
    <row r="54" spans="3:14" s="13" customFormat="1" ht="7.2" customHeight="1" x14ac:dyDescent="0.3">
      <c r="C54" s="17">
        <v>36</v>
      </c>
      <c r="D54" s="18" cm="1">
        <f t="array" ref="D54">INDEX('New credit'!$A:$O,
MATCH(1,('New credit'!$A:$A=$C54)*('New credit'!$D:$D=D$16), 0),
MATCH(D$17,'New credit'!$1:$1,0))</f>
        <v>0.78947368421052633</v>
      </c>
      <c r="E54" s="18" cm="1">
        <f t="array" ref="E54">INDEX('New credit'!$A:$O,
MATCH(1,('New credit'!$A:$A=$C54)*('New credit'!$D:$D=E$16), 0),
MATCH(E$17,'New credit'!$1:$1,0))</f>
        <v>0.85090909090909073</v>
      </c>
      <c r="F54" s="18" cm="1">
        <f t="array" ref="F54">INDEX('New credit'!$A:$O,
MATCH(1,('New credit'!$A:$A=$C54)*('New credit'!$D:$D=F$16), 0),
MATCH(F$17,'New credit'!$1:$1,0))</f>
        <v>0.73568348462719557</v>
      </c>
      <c r="G54" s="18">
        <f>INDEX('New credit'!$A:$O,
MATCH($C54, 'New credit'!$A:$A, 0),
MATCH(G$17, 'New credit'!$1:$1, 0))</f>
        <v>1</v>
      </c>
      <c r="H54" s="18">
        <v>0.15</v>
      </c>
      <c r="I54" s="18" cm="1">
        <f t="array" ref="I54">INDEX('Limit raise'!$A:$O,
MATCH(1,('Limit raise'!$A:$A=$C54)*('Limit raise'!$D:$D=I$16), 0),
MATCH(I$17,'Limit raise'!$1:$1,0))</f>
        <v>0.68421052631578949</v>
      </c>
      <c r="J54" s="18" cm="1">
        <f t="array" ref="J54">INDEX('Limit raise'!$A:$O,
MATCH(1,('Limit raise'!$A:$A=$C54)*('Limit raise'!$D:$D=J$16), 0),
MATCH(J$17,'Limit raise'!$1:$1,0))</f>
        <v>0.9787499999999999</v>
      </c>
      <c r="K54" s="18" cm="1">
        <f t="array" ref="K54">INDEX('Limit raise'!$A:$O,
MATCH(1,('Limit raise'!$A:$A=$C54)*('Limit raise'!$D:$D=K$16), 0),
MATCH(K$17,'Limit raise'!$1:$1,0))</f>
        <v>0.79115544482492339</v>
      </c>
      <c r="L54" s="18">
        <f>INDEX('Limit raise'!$A:$O,
MATCH($C54, 'Limit raise'!$A:$A, 0),
MATCH(L$17,'Limit raise'!$1:$1,0))</f>
        <v>0.13793508726275511</v>
      </c>
      <c r="M54" s="18">
        <v>0.15</v>
      </c>
      <c r="N54" s="18"/>
    </row>
    <row r="55" spans="3:14" s="13" customFormat="1" ht="7.2" customHeight="1" x14ac:dyDescent="0.3">
      <c r="C55" s="17">
        <v>37</v>
      </c>
      <c r="D55" s="18" cm="1">
        <f t="array" ref="D55">INDEX('New credit'!$A:$O,
MATCH(1,('New credit'!$A:$A=$C55)*('New credit'!$D:$D=D$16), 0),
MATCH(D$17,'New credit'!$1:$1,0))</f>
        <v>0.72413793103448276</v>
      </c>
      <c r="E55" s="18" cm="1">
        <f t="array" ref="E55">INDEX('New credit'!$A:$O,
MATCH(1,('New credit'!$A:$A=$C55)*('New credit'!$D:$D=E$16), 0),
MATCH(E$17,'New credit'!$1:$1,0))</f>
        <v>0.85312499999999991</v>
      </c>
      <c r="F55" s="18" cm="1">
        <f t="array" ref="F55">INDEX('New credit'!$A:$O,
MATCH(1,('New credit'!$A:$A=$C55)*('New credit'!$D:$D=F$16), 0),
MATCH(F$17,'New credit'!$1:$1,0))</f>
        <v>0.71874598264859102</v>
      </c>
      <c r="G55" s="18">
        <f>INDEX('New credit'!$A:$O,
MATCH($C55, 'New credit'!$A:$A, 0),
MATCH(G$17, 'New credit'!$1:$1, 0))</f>
        <v>6.2605129081294578E-2</v>
      </c>
      <c r="H55" s="18">
        <v>0.15</v>
      </c>
      <c r="I55" s="18" cm="1">
        <f t="array" ref="I55">INDEX('Limit raise'!$A:$O,
MATCH(1,('Limit raise'!$A:$A=$C55)*('Limit raise'!$D:$D=I$16), 0),
MATCH(I$17,'Limit raise'!$1:$1,0))</f>
        <v>0.68421052631578949</v>
      </c>
      <c r="J55" s="18" cm="1">
        <f t="array" ref="J55">INDEX('Limit raise'!$A:$O,
MATCH(1,('Limit raise'!$A:$A=$C55)*('Limit raise'!$D:$D=J$16), 0),
MATCH(J$17,'Limit raise'!$1:$1,0))</f>
        <v>0.97812500000000002</v>
      </c>
      <c r="K55" s="18" cm="1">
        <f t="array" ref="K55">INDEX('Limit raise'!$A:$O,
MATCH(1,('Limit raise'!$A:$A=$C55)*('Limit raise'!$D:$D=K$16), 0),
MATCH(K$17,'Limit raise'!$1:$1,0))</f>
        <v>0.7905275074836573</v>
      </c>
      <c r="L55" s="18">
        <f>INDEX('Limit raise'!$A:$O,
MATCH($C55, 'Limit raise'!$A:$A, 0),
MATCH(L$17,'Limit raise'!$1:$1,0))</f>
        <v>0.14311757416519361</v>
      </c>
      <c r="M55" s="18">
        <v>0.15</v>
      </c>
      <c r="N55" s="18"/>
    </row>
    <row r="56" spans="3:14" s="13" customFormat="1" ht="7.2" customHeight="1" x14ac:dyDescent="0.3">
      <c r="C56" s="17">
        <v>38</v>
      </c>
      <c r="D56" s="18" cm="1">
        <f t="array" ref="D56">INDEX('New credit'!$A:$O,
MATCH(1,('New credit'!$A:$A=$C56)*('New credit'!$D:$D=D$16), 0),
MATCH(D$17,'New credit'!$1:$1,0))</f>
        <v>0.68656716417910446</v>
      </c>
      <c r="E56" s="18" cm="1">
        <f t="array" ref="E56">INDEX('New credit'!$A:$O,
MATCH(1,('New credit'!$A:$A=$C56)*('New credit'!$D:$D=E$16), 0),
MATCH(E$17,'New credit'!$1:$1,0))</f>
        <v>0.86031249999999981</v>
      </c>
      <c r="F56" s="18" cm="1">
        <f t="array" ref="F56">INDEX('New credit'!$A:$O,
MATCH(1,('New credit'!$A:$A=$C56)*('New credit'!$D:$D=F$16), 0),
MATCH(F$17,'New credit'!$1:$1,0))</f>
        <v>0.73006921472335606</v>
      </c>
      <c r="G56" s="18">
        <f>INDEX('New credit'!$A:$O,
MATCH($C56, 'New credit'!$A:$A, 0),
MATCH(G$17, 'New credit'!$1:$1, 0))</f>
        <v>0.14741901733653259</v>
      </c>
      <c r="H56" s="18">
        <v>0.15</v>
      </c>
      <c r="I56" s="18" cm="1">
        <f t="array" ref="I56">INDEX('Limit raise'!$A:$O,
MATCH(1,('Limit raise'!$A:$A=$C56)*('Limit raise'!$D:$D=I$16), 0),
MATCH(I$17,'Limit raise'!$1:$1,0))</f>
        <v>0.6785714285714286</v>
      </c>
      <c r="J56" s="18" cm="1">
        <f t="array" ref="J56">INDEX('Limit raise'!$A:$O,
MATCH(1,('Limit raise'!$A:$A=$C56)*('Limit raise'!$D:$D=J$16), 0),
MATCH(J$17,'Limit raise'!$1:$1,0))</f>
        <v>0.98562500000000008</v>
      </c>
      <c r="K56" s="18" cm="1">
        <f t="array" ref="K56">INDEX('Limit raise'!$A:$O,
MATCH(1,('Limit raise'!$A:$A=$C56)*('Limit raise'!$D:$D=K$16), 0),
MATCH(K$17,'Limit raise'!$1:$1,0))</f>
        <v>0.78867151274734049</v>
      </c>
      <c r="L56" s="18">
        <f>INDEX('Limit raise'!$A:$O,
MATCH($C56, 'Limit raise'!$A:$A, 0),
MATCH(L$17,'Limit raise'!$1:$1,0))</f>
        <v>0.14984152028656941</v>
      </c>
      <c r="M56" s="18">
        <v>0.15</v>
      </c>
      <c r="N56" s="18"/>
    </row>
    <row r="57" spans="3:14" s="13" customFormat="1" ht="7.2" customHeight="1" x14ac:dyDescent="0.3">
      <c r="C57" s="17">
        <v>39</v>
      </c>
      <c r="D57" s="18" cm="1">
        <f t="array" ref="D57">INDEX('New credit'!$A:$O,
MATCH(1,('New credit'!$A:$A=$C57)*('New credit'!$D:$D=D$16), 0),
MATCH(D$17,'New credit'!$1:$1,0))</f>
        <v>0.69230769230769229</v>
      </c>
      <c r="E57" s="18" cm="1">
        <f t="array" ref="E57">INDEX('New credit'!$A:$O,
MATCH(1,('New credit'!$A:$A=$C57)*('New credit'!$D:$D=E$16), 0),
MATCH(E$17,'New credit'!$1:$1,0))</f>
        <v>0.86482758620689637</v>
      </c>
      <c r="F57" s="18" cm="1">
        <f t="array" ref="F57">INDEX('New credit'!$A:$O,
MATCH(1,('New credit'!$A:$A=$C57)*('New credit'!$D:$D=F$16), 0),
MATCH(F$17,'New credit'!$1:$1,0))</f>
        <v>0.74197690417274653</v>
      </c>
      <c r="G57" s="18">
        <f>INDEX('New credit'!$A:$O,
MATCH($C57, 'New credit'!$A:$A, 0),
MATCH(G$17, 'New credit'!$1:$1, 0))</f>
        <v>0.17517462334531109</v>
      </c>
      <c r="H57" s="18">
        <v>0.15</v>
      </c>
      <c r="I57" s="18" cm="1">
        <f t="array" ref="I57">INDEX('Limit raise'!$A:$O,
MATCH(1,('Limit raise'!$A:$A=$C57)*('Limit raise'!$D:$D=I$16), 0),
MATCH(I$17,'Limit raise'!$1:$1,0))</f>
        <v>0.6785714285714286</v>
      </c>
      <c r="J57" s="18" cm="1">
        <f t="array" ref="J57">INDEX('Limit raise'!$A:$O,
MATCH(1,('Limit raise'!$A:$A=$C57)*('Limit raise'!$D:$D=J$16), 0),
MATCH(J$17,'Limit raise'!$1:$1,0))</f>
        <v>0.98062500000000008</v>
      </c>
      <c r="K57" s="18" cm="1">
        <f t="array" ref="K57">INDEX('Limit raise'!$A:$O,
MATCH(1,('Limit raise'!$A:$A=$C57)*('Limit raise'!$D:$D=K$16), 0),
MATCH(K$17,'Limit raise'!$1:$1,0))</f>
        <v>0.79212070975734861</v>
      </c>
      <c r="L57" s="18">
        <f>INDEX('Limit raise'!$A:$O,
MATCH($C57, 'Limit raise'!$A:$A, 0),
MATCH(L$17,'Limit raise'!$1:$1,0))</f>
        <v>0.14252493129254451</v>
      </c>
      <c r="M57" s="18">
        <v>0.15</v>
      </c>
      <c r="N57" s="18"/>
    </row>
    <row r="58" spans="3:14" s="13" customFormat="1" ht="7.2" customHeight="1" x14ac:dyDescent="0.3">
      <c r="C58" s="17">
        <v>40</v>
      </c>
      <c r="D58" s="18" cm="1">
        <f t="array" ref="D58">INDEX('New credit'!$A:$O,
MATCH(1,('New credit'!$A:$A=$C58)*('New credit'!$D:$D=D$16), 0),
MATCH(D$17,'New credit'!$1:$1,0))</f>
        <v>0.676056338028169</v>
      </c>
      <c r="E58" s="18" cm="1">
        <f t="array" ref="E58">INDEX('New credit'!$A:$O,
MATCH(1,('New credit'!$A:$A=$C58)*('New credit'!$D:$D=E$16), 0),
MATCH(E$17,'New credit'!$1:$1,0))</f>
        <v>0.86357142857142843</v>
      </c>
      <c r="F58" s="18" cm="1">
        <f t="array" ref="F58">INDEX('New credit'!$A:$O,
MATCH(1,('New credit'!$A:$A=$C58)*('New credit'!$D:$D=F$16), 0),
MATCH(F$17,'New credit'!$1:$1,0))</f>
        <v>0.63630476221163224</v>
      </c>
      <c r="G58" s="18">
        <f>INDEX('New credit'!$A:$O,
MATCH($C58, 'New credit'!$A:$A, 0),
MATCH(G$17, 'New credit'!$1:$1, 0))</f>
        <v>7.9269559785983948E-2</v>
      </c>
      <c r="H58" s="18">
        <v>0.15</v>
      </c>
      <c r="I58" s="18" cm="1">
        <f t="array" ref="I58">INDEX('Limit raise'!$A:$O,
MATCH(1,('Limit raise'!$A:$A=$C58)*('Limit raise'!$D:$D=I$16), 0),
MATCH(I$17,'Limit raise'!$1:$1,0))</f>
        <v>0.68421052631578949</v>
      </c>
      <c r="J58" s="18" cm="1">
        <f t="array" ref="J58">INDEX('Limit raise'!$A:$O,
MATCH(1,('Limit raise'!$A:$A=$C58)*('Limit raise'!$D:$D=J$16), 0),
MATCH(J$17,'Limit raise'!$1:$1,0))</f>
        <v>0.92952380952380931</v>
      </c>
      <c r="K58" s="18" cm="1">
        <f t="array" ref="K58">INDEX('Limit raise'!$A:$O,
MATCH(1,('Limit raise'!$A:$A=$C58)*('Limit raise'!$D:$D=K$16), 0),
MATCH(K$17,'Limit raise'!$1:$1,0))</f>
        <v>0.84570722812680232</v>
      </c>
      <c r="L58" s="18">
        <f>INDEX('Limit raise'!$A:$O,
MATCH($C58, 'Limit raise'!$A:$A, 0),
MATCH(L$17,'Limit raise'!$1:$1,0))</f>
        <v>0.1504594106374276</v>
      </c>
      <c r="M58" s="18">
        <v>0.15</v>
      </c>
      <c r="N58" s="18"/>
    </row>
    <row r="59" spans="3:14" s="13" customFormat="1" ht="7.2" customHeight="1" x14ac:dyDescent="0.3">
      <c r="C59" s="17">
        <v>41</v>
      </c>
      <c r="D59" s="18" cm="1">
        <f t="array" ref="D59">INDEX('New credit'!$A:$O,
MATCH(1,('New credit'!$A:$A=$C59)*('New credit'!$D:$D=D$16), 0),
MATCH(D$17,'New credit'!$1:$1,0))</f>
        <v>0.676056338028169</v>
      </c>
      <c r="E59" s="18" cm="1">
        <f t="array" ref="E59">INDEX('New credit'!$A:$O,
MATCH(1,('New credit'!$A:$A=$C59)*('New credit'!$D:$D=E$16), 0),
MATCH(E$17,'New credit'!$1:$1,0))</f>
        <v>0.86535714285714271</v>
      </c>
      <c r="F59" s="18" cm="1">
        <f t="array" ref="F59">INDEX('New credit'!$A:$O,
MATCH(1,('New credit'!$A:$A=$C59)*('New credit'!$D:$D=F$16), 0),
MATCH(F$17,'New credit'!$1:$1,0))</f>
        <v>0.71386161892459776</v>
      </c>
      <c r="G59" s="18">
        <f>INDEX('New credit'!$A:$O,
MATCH($C59, 'New credit'!$A:$A, 0),
MATCH(G$17, 'New credit'!$1:$1, 0))</f>
        <v>1</v>
      </c>
      <c r="H59" s="18">
        <v>0.15</v>
      </c>
      <c r="I59" s="18" cm="1">
        <f t="array" ref="I59">INDEX('Limit raise'!$A:$O,
MATCH(1,('Limit raise'!$A:$A=$C59)*('Limit raise'!$D:$D=I$16), 0),
MATCH(I$17,'Limit raise'!$1:$1,0))</f>
        <v>0.66666666666666663</v>
      </c>
      <c r="J59" s="18" cm="1">
        <f t="array" ref="J59">INDEX('Limit raise'!$A:$O,
MATCH(1,('Limit raise'!$A:$A=$C59)*('Limit raise'!$D:$D=J$16), 0),
MATCH(J$17,'Limit raise'!$1:$1,0))</f>
        <v>0.93095238095238086</v>
      </c>
      <c r="K59" s="18" cm="1">
        <f t="array" ref="K59">INDEX('Limit raise'!$A:$O,
MATCH(1,('Limit raise'!$A:$A=$C59)*('Limit raise'!$D:$D=K$16), 0),
MATCH(K$17,'Limit raise'!$1:$1,0))</f>
        <v>0.84075613465464571</v>
      </c>
      <c r="L59" s="18">
        <f>INDEX('Limit raise'!$A:$O,
MATCH($C59, 'Limit raise'!$A:$A, 0),
MATCH(L$17,'Limit raise'!$1:$1,0))</f>
        <v>2.073230731598107E-2</v>
      </c>
      <c r="M59" s="18">
        <v>0.15</v>
      </c>
      <c r="N59" s="18"/>
    </row>
    <row r="60" spans="3:14" s="13" customFormat="1" ht="7.2" customHeight="1" x14ac:dyDescent="0.3">
      <c r="C60" s="17">
        <v>42</v>
      </c>
      <c r="D60" s="18" cm="1">
        <f t="array" ref="D60">INDEX('New credit'!$A:$O,
MATCH(1,('New credit'!$A:$A=$C60)*('New credit'!$D:$D=D$16), 0),
MATCH(D$17,'New credit'!$1:$1,0))</f>
        <v>0.7384615384615385</v>
      </c>
      <c r="E60" s="18" cm="1">
        <f t="array" ref="E60">INDEX('New credit'!$A:$O,
MATCH(1,('New credit'!$A:$A=$C60)*('New credit'!$D:$D=E$16), 0),
MATCH(E$17,'New credit'!$1:$1,0))</f>
        <v>0.83035714285714268</v>
      </c>
      <c r="F60" s="18" cm="1">
        <f t="array" ref="F60">INDEX('New credit'!$A:$O,
MATCH(1,('New credit'!$A:$A=$C60)*('New credit'!$D:$D=F$16), 0),
MATCH(F$17,'New credit'!$1:$1,0))</f>
        <v>0.62116955021818898</v>
      </c>
      <c r="G60" s="18">
        <f>INDEX('New credit'!$A:$O,
MATCH($C60, 'New credit'!$A:$A, 0),
MATCH(G$17, 'New credit'!$1:$1, 0))</f>
        <v>0.1076916466264853</v>
      </c>
      <c r="H60" s="18">
        <v>0.15</v>
      </c>
      <c r="I60" s="18" cm="1">
        <f t="array" ref="I60">INDEX('Limit raise'!$A:$O,
MATCH(1,('Limit raise'!$A:$A=$C60)*('Limit raise'!$D:$D=I$16), 0),
MATCH(I$17,'Limit raise'!$1:$1,0))</f>
        <v>0.68421052631578949</v>
      </c>
      <c r="J60" s="18" cm="1">
        <f t="array" ref="J60">INDEX('Limit raise'!$A:$O,
MATCH(1,('Limit raise'!$A:$A=$C60)*('Limit raise'!$D:$D=J$16), 0),
MATCH(J$17,'Limit raise'!$1:$1,0))</f>
        <v>0.93095238095238098</v>
      </c>
      <c r="K60" s="18" cm="1">
        <f t="array" ref="K60">INDEX('Limit raise'!$A:$O,
MATCH(1,('Limit raise'!$A:$A=$C60)*('Limit raise'!$D:$D=K$16), 0),
MATCH(K$17,'Limit raise'!$1:$1,0))</f>
        <v>0.84001145322199067</v>
      </c>
      <c r="L60" s="18">
        <f>INDEX('Limit raise'!$A:$O,
MATCH($C60, 'Limit raise'!$A:$A, 0),
MATCH(L$17,'Limit raise'!$1:$1,0))</f>
        <v>2.4677556845728161E-2</v>
      </c>
      <c r="M60" s="18">
        <v>0.15</v>
      </c>
      <c r="N60" s="18"/>
    </row>
    <row r="61" spans="3:14" s="13" customFormat="1" ht="7.2" customHeight="1" x14ac:dyDescent="0.3">
      <c r="C61" s="17">
        <v>43</v>
      </c>
      <c r="D61" s="18" cm="1">
        <f t="array" ref="D61">INDEX('New credit'!$A:$O,
MATCH(1,('New credit'!$A:$A=$C61)*('New credit'!$D:$D=D$16), 0),
MATCH(D$17,'New credit'!$1:$1,0))</f>
        <v>0.640625</v>
      </c>
      <c r="E61" s="18" cm="1">
        <f t="array" ref="E61">INDEX('New credit'!$A:$O,
MATCH(1,('New credit'!$A:$A=$C61)*('New credit'!$D:$D=E$16), 0),
MATCH(E$17,'New credit'!$1:$1,0))</f>
        <v>0.86517241379310328</v>
      </c>
      <c r="F61" s="18" cm="1">
        <f t="array" ref="F61">INDEX('New credit'!$A:$O,
MATCH(1,('New credit'!$A:$A=$C61)*('New credit'!$D:$D=F$16), 0),
MATCH(F$17,'New credit'!$1:$1,0))</f>
        <v>0.66376041763074967</v>
      </c>
      <c r="G61" s="18">
        <f>INDEX('New credit'!$A:$O,
MATCH($C61, 'New credit'!$A:$A, 0),
MATCH(G$17, 'New credit'!$1:$1, 0))</f>
        <v>0.1294644521479214</v>
      </c>
      <c r="H61" s="18">
        <v>0.15</v>
      </c>
      <c r="I61" s="18" cm="1">
        <f t="array" ref="I61">INDEX('Limit raise'!$A:$O,
MATCH(1,('Limit raise'!$A:$A=$C61)*('Limit raise'!$D:$D=I$16), 0),
MATCH(I$17,'Limit raise'!$1:$1,0))</f>
        <v>0.66666666666666663</v>
      </c>
      <c r="J61" s="18" cm="1">
        <f t="array" ref="J61">INDEX('Limit raise'!$A:$O,
MATCH(1,('Limit raise'!$A:$A=$C61)*('Limit raise'!$D:$D=J$16), 0),
MATCH(J$17,'Limit raise'!$1:$1,0))</f>
        <v>0.88913043478260856</v>
      </c>
      <c r="K61" s="18" cm="1">
        <f t="array" ref="K61">INDEX('Limit raise'!$A:$O,
MATCH(1,('Limit raise'!$A:$A=$C61)*('Limit raise'!$D:$D=K$16), 0),
MATCH(K$17,'Limit raise'!$1:$1,0))</f>
        <v>0.78402351846810348</v>
      </c>
      <c r="L61" s="18">
        <f>INDEX('Limit raise'!$A:$O,
MATCH($C61, 'Limit raise'!$A:$A, 0),
MATCH(L$17,'Limit raise'!$1:$1,0))</f>
        <v>2.7478489874993382E-2</v>
      </c>
      <c r="M61" s="18">
        <v>0.15</v>
      </c>
      <c r="N61" s="18"/>
    </row>
    <row r="62" spans="3:14" s="13" customFormat="1" ht="7.2" customHeight="1" x14ac:dyDescent="0.3">
      <c r="C62" s="17">
        <v>44</v>
      </c>
      <c r="D62" s="18" cm="1">
        <f t="array" ref="D62">INDEX('New credit'!$A:$O,
MATCH(1,('New credit'!$A:$A=$C62)*('New credit'!$D:$D=D$16), 0),
MATCH(D$17,'New credit'!$1:$1,0))</f>
        <v>0.74576271186440679</v>
      </c>
      <c r="E62" s="18" cm="1">
        <f t="array" ref="E62">INDEX('New credit'!$A:$O,
MATCH(1,('New credit'!$A:$A=$C62)*('New credit'!$D:$D=E$16), 0),
MATCH(E$17,'New credit'!$1:$1,0))</f>
        <v>0.83718749999999986</v>
      </c>
      <c r="F62" s="18" cm="1">
        <f t="array" ref="F62">INDEX('New credit'!$A:$O,
MATCH(1,('New credit'!$A:$A=$C62)*('New credit'!$D:$D=F$16), 0),
MATCH(F$17,'New credit'!$1:$1,0))</f>
        <v>0.76330150947763131</v>
      </c>
      <c r="G62" s="18">
        <f>INDEX('New credit'!$A:$O,
MATCH($C62, 'New credit'!$A:$A, 0),
MATCH(G$17, 'New credit'!$1:$1, 0))</f>
        <v>0.1731906438575003</v>
      </c>
      <c r="H62" s="18">
        <v>0.15</v>
      </c>
      <c r="I62" s="18" cm="1">
        <f t="array" ref="I62">INDEX('Limit raise'!$A:$O,
MATCH(1,('Limit raise'!$A:$A=$C62)*('Limit raise'!$D:$D=I$16), 0),
MATCH(I$17,'Limit raise'!$1:$1,0))</f>
        <v>0.68965517241379315</v>
      </c>
      <c r="J62" s="18" cm="1">
        <f t="array" ref="J62">INDEX('Limit raise'!$A:$O,
MATCH(1,('Limit raise'!$A:$A=$C62)*('Limit raise'!$D:$D=J$16), 0),
MATCH(J$17,'Limit raise'!$1:$1,0))</f>
        <v>0.88913043478260856</v>
      </c>
      <c r="K62" s="18" cm="1">
        <f t="array" ref="K62">INDEX('Limit raise'!$A:$O,
MATCH(1,('Limit raise'!$A:$A=$C62)*('Limit raise'!$D:$D=K$16), 0),
MATCH(K$17,'Limit raise'!$1:$1,0))</f>
        <v>0.76849812036702225</v>
      </c>
      <c r="L62" s="18">
        <f>INDEX('Limit raise'!$A:$O,
MATCH($C62, 'Limit raise'!$A:$A, 0),
MATCH(L$17,'Limit raise'!$1:$1,0))</f>
        <v>4.0178189410054722E-2</v>
      </c>
      <c r="M62" s="18">
        <v>0.15</v>
      </c>
      <c r="N62" s="18"/>
    </row>
    <row r="63" spans="3:14" s="13" customFormat="1" ht="7.2" customHeight="1" x14ac:dyDescent="0.3">
      <c r="C63" s="17">
        <v>45</v>
      </c>
      <c r="D63" s="18" cm="1">
        <f t="array" ref="D63">INDEX('New credit'!$A:$O,
MATCH(1,('New credit'!$A:$A=$C63)*('New credit'!$D:$D=D$16), 0),
MATCH(D$17,'New credit'!$1:$1,0))</f>
        <v>0.72131147540983609</v>
      </c>
      <c r="E63" s="18" cm="1">
        <f t="array" ref="E63">INDEX('New credit'!$A:$O,
MATCH(1,('New credit'!$A:$A=$C63)*('New credit'!$D:$D=E$16), 0),
MATCH(E$17,'New credit'!$1:$1,0))</f>
        <v>0.83843749999999995</v>
      </c>
      <c r="F63" s="18" cm="1">
        <f t="array" ref="F63">INDEX('New credit'!$A:$O,
MATCH(1,('New credit'!$A:$A=$C63)*('New credit'!$D:$D=F$16), 0),
MATCH(F$17,'New credit'!$1:$1,0))</f>
        <v>0.65807249636162835</v>
      </c>
      <c r="G63" s="18">
        <f>INDEX('New credit'!$A:$O,
MATCH($C63, 'New credit'!$A:$A, 0),
MATCH(G$17, 'New credit'!$1:$1, 0))</f>
        <v>8.9914905845369666E-2</v>
      </c>
      <c r="H63" s="18">
        <v>0.15</v>
      </c>
      <c r="I63" s="18" cm="1">
        <f t="array" ref="I63">INDEX('Limit raise'!$A:$O,
MATCH(1,('Limit raise'!$A:$A=$C63)*('Limit raise'!$D:$D=I$16), 0),
MATCH(I$17,'Limit raise'!$1:$1,0))</f>
        <v>0.64516129032258063</v>
      </c>
      <c r="J63" s="18" cm="1">
        <f t="array" ref="J63">INDEX('Limit raise'!$A:$O,
MATCH(1,('Limit raise'!$A:$A=$C63)*('Limit raise'!$D:$D=J$16), 0),
MATCH(J$17,'Limit raise'!$1:$1,0))</f>
        <v>0.88884615384615373</v>
      </c>
      <c r="K63" s="18" cm="1">
        <f t="array" ref="K63">INDEX('Limit raise'!$A:$O,
MATCH(1,('Limit raise'!$A:$A=$C63)*('Limit raise'!$D:$D=K$16), 0),
MATCH(K$17,'Limit raise'!$1:$1,0))</f>
        <v>0.76533033280751395</v>
      </c>
      <c r="L63" s="18">
        <f>INDEX('Limit raise'!$A:$O,
MATCH($C63, 'Limit raise'!$A:$A, 0),
MATCH(L$17,'Limit raise'!$1:$1,0))</f>
        <v>5.2665393625959983E-2</v>
      </c>
      <c r="M63" s="18">
        <v>0.15</v>
      </c>
      <c r="N63" s="18"/>
    </row>
    <row r="64" spans="3:14" s="13" customFormat="1" ht="7.2" customHeight="1" x14ac:dyDescent="0.3">
      <c r="C64" s="17">
        <v>46</v>
      </c>
      <c r="D64" s="18" cm="1">
        <f t="array" ref="D64">INDEX('New credit'!$A:$O,
MATCH(1,('New credit'!$A:$A=$C64)*('New credit'!$D:$D=D$16), 0),
MATCH(D$17,'New credit'!$1:$1,0))</f>
        <v>0.734375</v>
      </c>
      <c r="E64" s="18" cm="1">
        <f t="array" ref="E64">INDEX('New credit'!$A:$O,
MATCH(1,('New credit'!$A:$A=$C64)*('New credit'!$D:$D=E$16), 0),
MATCH(E$17,'New credit'!$1:$1,0))</f>
        <v>0.83566666666666667</v>
      </c>
      <c r="F64" s="18" cm="1">
        <f t="array" ref="F64">INDEX('New credit'!$A:$O,
MATCH(1,('New credit'!$A:$A=$C64)*('New credit'!$D:$D=F$16), 0),
MATCH(F$17,'New credit'!$1:$1,0))</f>
        <v>0.74788282411017926</v>
      </c>
      <c r="G64" s="18">
        <f>INDEX('New credit'!$A:$O,
MATCH($C64, 'New credit'!$A:$A, 0),
MATCH(G$17, 'New credit'!$1:$1, 0))</f>
        <v>1</v>
      </c>
      <c r="H64" s="18">
        <v>0.15</v>
      </c>
      <c r="I64" s="18" cm="1">
        <f t="array" ref="I64">INDEX('Limit raise'!$A:$O,
MATCH(1,('Limit raise'!$A:$A=$C64)*('Limit raise'!$D:$D=I$16), 0),
MATCH(I$17,'Limit raise'!$1:$1,0))</f>
        <v>0.66666666666666663</v>
      </c>
      <c r="J64" s="18" cm="1">
        <f t="array" ref="J64">INDEX('Limit raise'!$A:$O,
MATCH(1,('Limit raise'!$A:$A=$C64)*('Limit raise'!$D:$D=J$16), 0),
MATCH(J$17,'Limit raise'!$1:$1,0))</f>
        <v>0.8921428571428569</v>
      </c>
      <c r="K64" s="18" cm="1">
        <f t="array" ref="K64">INDEX('Limit raise'!$A:$O,
MATCH(1,('Limit raise'!$A:$A=$C64)*('Limit raise'!$D:$D=K$16), 0),
MATCH(K$17,'Limit raise'!$1:$1,0))</f>
        <v>0.80419085600298079</v>
      </c>
      <c r="L64" s="18">
        <f>INDEX('Limit raise'!$A:$O,
MATCH($C64, 'Limit raise'!$A:$A, 0),
MATCH(L$17,'Limit raise'!$1:$1,0))</f>
        <v>5.8345146083284137E-2</v>
      </c>
      <c r="M64" s="18">
        <v>0.15</v>
      </c>
      <c r="N64" s="18"/>
    </row>
    <row r="65" spans="3:25" s="13" customFormat="1" ht="7.2" customHeight="1" x14ac:dyDescent="0.3">
      <c r="C65" s="17">
        <v>47</v>
      </c>
      <c r="D65" s="18" cm="1">
        <f t="array" ref="D65">INDEX('New credit'!$A:$O,
MATCH(1,('New credit'!$A:$A=$C65)*('New credit'!$D:$D=D$16), 0),
MATCH(D$17,'New credit'!$1:$1,0))</f>
        <v>0.73770491803278693</v>
      </c>
      <c r="E65" s="18" cm="1">
        <f t="array" ref="E65">INDEX('New credit'!$A:$O,
MATCH(1,('New credit'!$A:$A=$C65)*('New credit'!$D:$D=E$16), 0),
MATCH(E$17,'New credit'!$1:$1,0))</f>
        <v>0.86749999999999983</v>
      </c>
      <c r="F65" s="18" cm="1">
        <f t="array" ref="F65">INDEX('New credit'!$A:$O,
MATCH(1,('New credit'!$A:$A=$C65)*('New credit'!$D:$D=F$16), 0),
MATCH(F$17,'New credit'!$1:$1,0))</f>
        <v>0.78646603360925882</v>
      </c>
      <c r="G65" s="18">
        <f>INDEX('New credit'!$A:$O,
MATCH($C65, 'New credit'!$A:$A, 0),
MATCH(G$17, 'New credit'!$1:$1, 0))</f>
        <v>1</v>
      </c>
      <c r="H65" s="18">
        <v>0.15</v>
      </c>
      <c r="I65" s="18" cm="1">
        <f t="array" ref="I65">INDEX('Limit raise'!$A:$O,
MATCH(1,('Limit raise'!$A:$A=$C65)*('Limit raise'!$D:$D=I$16), 0),
MATCH(I$17,'Limit raise'!$1:$1,0))</f>
        <v>0.66153846153846152</v>
      </c>
      <c r="J65" s="18" cm="1">
        <f t="array" ref="J65">INDEX('Limit raise'!$A:$O,
MATCH(1,('Limit raise'!$A:$A=$C65)*('Limit raise'!$D:$D=J$16), 0),
MATCH(J$17,'Limit raise'!$1:$1,0))</f>
        <v>0.89222222222222192</v>
      </c>
      <c r="K65" s="18" cm="1">
        <f t="array" ref="K65">INDEX('Limit raise'!$A:$O,
MATCH(1,('Limit raise'!$A:$A=$C65)*('Limit raise'!$D:$D=K$16), 0),
MATCH(K$17,'Limit raise'!$1:$1,0))</f>
        <v>0.80262688587355346</v>
      </c>
      <c r="L65" s="18">
        <f>INDEX('Limit raise'!$A:$O,
MATCH($C65, 'Limit raise'!$A:$A, 0),
MATCH(L$17,'Limit raise'!$1:$1,0))</f>
        <v>7.2115233419588656E-2</v>
      </c>
      <c r="M65" s="18">
        <v>0.15</v>
      </c>
      <c r="N65" s="18"/>
    </row>
    <row r="66" spans="3:25" s="13" customFormat="1" ht="7.2" customHeight="1" x14ac:dyDescent="0.3">
      <c r="C66" s="17">
        <v>48</v>
      </c>
      <c r="D66" s="18" cm="1">
        <f t="array" ref="D66">INDEX('New credit'!$A:$O,
MATCH(1,('New credit'!$A:$A=$C66)*('New credit'!$D:$D=D$16), 0),
MATCH(D$17,'New credit'!$1:$1,0))</f>
        <v>0.65671641791044777</v>
      </c>
      <c r="E66" s="18" cm="1">
        <f t="array" ref="E66">INDEX('New credit'!$A:$O,
MATCH(1,('New credit'!$A:$A=$C66)*('New credit'!$D:$D=E$16), 0),
MATCH(E$17,'New credit'!$1:$1,0))</f>
        <v>0.86269230769230765</v>
      </c>
      <c r="F66" s="18" cm="1">
        <f t="array" ref="F66">INDEX('New credit'!$A:$O,
MATCH(1,('New credit'!$A:$A=$C66)*('New credit'!$D:$D=F$16), 0),
MATCH(F$17,'New credit'!$1:$1,0))</f>
        <v>0.78408190603429806</v>
      </c>
      <c r="G66" s="18">
        <f>INDEX('New credit'!$A:$O,
MATCH($C66, 'New credit'!$A:$A, 0),
MATCH(G$17, 'New credit'!$1:$1, 0))</f>
        <v>8.4886181777097294E-2</v>
      </c>
      <c r="H66" s="18">
        <v>0.15</v>
      </c>
      <c r="I66" s="18" cm="1">
        <f t="array" ref="I66">INDEX('Limit raise'!$A:$O,
MATCH(1,('Limit raise'!$A:$A=$C66)*('Limit raise'!$D:$D=I$16), 0),
MATCH(I$17,'Limit raise'!$1:$1,0))</f>
        <v>0.66153846153846152</v>
      </c>
      <c r="J66" s="18" cm="1">
        <f t="array" ref="J66">INDEX('Limit raise'!$A:$O,
MATCH(1,('Limit raise'!$A:$A=$C66)*('Limit raise'!$D:$D=J$16), 0),
MATCH(J$17,'Limit raise'!$1:$1,0))</f>
        <v>0.89222222222222192</v>
      </c>
      <c r="K66" s="18" cm="1">
        <f t="array" ref="K66">INDEX('Limit raise'!$A:$O,
MATCH(1,('Limit raise'!$A:$A=$C66)*('Limit raise'!$D:$D=K$16), 0),
MATCH(K$17,'Limit raise'!$1:$1,0))</f>
        <v>0.8014517319425164</v>
      </c>
      <c r="L66" s="18">
        <f>INDEX('Limit raise'!$A:$O,
MATCH($C66, 'Limit raise'!$A:$A, 0),
MATCH(L$17,'Limit raise'!$1:$1,0))</f>
        <v>7.2833770730686739E-2</v>
      </c>
      <c r="M66" s="18">
        <v>0.15</v>
      </c>
      <c r="N66" s="18"/>
    </row>
    <row r="67" spans="3:25" s="13" customFormat="1" ht="7.2" customHeight="1" x14ac:dyDescent="0.3">
      <c r="C67" s="17">
        <v>49</v>
      </c>
      <c r="D67" s="18" cm="1">
        <f t="array" ref="D67">INDEX('New credit'!$A:$O,
MATCH(1,('New credit'!$A:$A=$C67)*('New credit'!$D:$D=D$16), 0),
MATCH(D$17,'New credit'!$1:$1,0))</f>
        <v>0.734375</v>
      </c>
      <c r="E67" s="18" cm="1">
        <f t="array" ref="E67">INDEX('New credit'!$A:$O,
MATCH(1,('New credit'!$A:$A=$C67)*('New credit'!$D:$D=E$16), 0),
MATCH(E$17,'New credit'!$1:$1,0))</f>
        <v>0.84033333333333315</v>
      </c>
      <c r="F67" s="18" cm="1">
        <f t="array" ref="F67">INDEX('New credit'!$A:$O,
MATCH(1,('New credit'!$A:$A=$C67)*('New credit'!$D:$D=F$16), 0),
MATCH(F$17,'New credit'!$1:$1,0))</f>
        <v>0.64296162232211584</v>
      </c>
      <c r="G67" s="18">
        <f>INDEX('New credit'!$A:$O,
MATCH($C67, 'New credit'!$A:$A, 0),
MATCH(G$17, 'New credit'!$1:$1, 0))</f>
        <v>0.1124111135233011</v>
      </c>
      <c r="H67" s="18">
        <v>0.15</v>
      </c>
      <c r="I67" s="18" cm="1">
        <f t="array" ref="I67">INDEX('Limit raise'!$A:$O,
MATCH(1,('Limit raise'!$A:$A=$C67)*('Limit raise'!$D:$D=I$16), 0),
MATCH(I$17,'Limit raise'!$1:$1,0))</f>
        <v>0.64615384615384619</v>
      </c>
      <c r="J67" s="18" cm="1">
        <f t="array" ref="J67">INDEX('Limit raise'!$A:$O,
MATCH(1,('Limit raise'!$A:$A=$C67)*('Limit raise'!$D:$D=J$16), 0),
MATCH(J$17,'Limit raise'!$1:$1,0))</f>
        <v>0.92653846153846131</v>
      </c>
      <c r="K67" s="18" cm="1">
        <f t="array" ref="K67">INDEX('Limit raise'!$A:$O,
MATCH(1,('Limit raise'!$A:$A=$C67)*('Limit raise'!$D:$D=K$16), 0),
MATCH(K$17,'Limit raise'!$1:$1,0))</f>
        <v>0.87292683074479016</v>
      </c>
      <c r="L67" s="18">
        <f>INDEX('Limit raise'!$A:$O,
MATCH($C67, 'Limit raise'!$A:$A, 0),
MATCH(L$17,'Limit raise'!$1:$1,0))</f>
        <v>7.3233892799309114E-2</v>
      </c>
      <c r="M67" s="18">
        <v>0.15</v>
      </c>
      <c r="N67" s="18"/>
      <c r="O67" s="23" t="s">
        <v>232</v>
      </c>
      <c r="Y67" s="23"/>
    </row>
    <row r="68" spans="3:25" s="13" customFormat="1" ht="7.2" customHeight="1" x14ac:dyDescent="0.3">
      <c r="C68" s="17">
        <v>50</v>
      </c>
      <c r="D68" s="18" cm="1">
        <f t="array" ref="D68">INDEX('New credit'!$A:$O,
MATCH(1,('New credit'!$A:$A=$C68)*('New credit'!$D:$D=D$16), 0),
MATCH(D$17,'New credit'!$1:$1,0))</f>
        <v>0.80645161290322576</v>
      </c>
      <c r="E68" s="18" cm="1">
        <f t="array" ref="E68">INDEX('New credit'!$A:$O,
MATCH(1,('New credit'!$A:$A=$C68)*('New credit'!$D:$D=E$16), 0),
MATCH(E$17,'New credit'!$1:$1,0))</f>
        <v>0.86666666666666659</v>
      </c>
      <c r="F68" s="18" cm="1">
        <f t="array" ref="F68">INDEX('New credit'!$A:$O,
MATCH(1,('New credit'!$A:$A=$C68)*('New credit'!$D:$D=F$16), 0),
MATCH(F$17,'New credit'!$1:$1,0))</f>
        <v>0.77106754385535503</v>
      </c>
      <c r="G68" s="18">
        <f>INDEX('New credit'!$A:$O,
MATCH($C68, 'New credit'!$A:$A, 0),
MATCH(G$17, 'New credit'!$1:$1, 0))</f>
        <v>0.1601605791458417</v>
      </c>
      <c r="H68" s="18">
        <v>0.15</v>
      </c>
      <c r="I68" s="18" cm="1">
        <f t="array" ref="I68">INDEX('Limit raise'!$A:$O,
MATCH(1,('Limit raise'!$A:$A=$C68)*('Limit raise'!$D:$D=I$16), 0),
MATCH(I$17,'Limit raise'!$1:$1,0))</f>
        <v>0.64615384615384619</v>
      </c>
      <c r="J68" s="18" cm="1">
        <f t="array" ref="J68">INDEX('Limit raise'!$A:$O,
MATCH(1,('Limit raise'!$A:$A=$C68)*('Limit raise'!$D:$D=J$16), 0),
MATCH(J$17,'Limit raise'!$1:$1,0))</f>
        <v>0.92615384615384577</v>
      </c>
      <c r="K68" s="18" cm="1">
        <f t="array" ref="K68">INDEX('Limit raise'!$A:$O,
MATCH(1,('Limit raise'!$A:$A=$C68)*('Limit raise'!$D:$D=K$16), 0),
MATCH(K$17,'Limit raise'!$1:$1,0))</f>
        <v>0.87384779794777523</v>
      </c>
      <c r="L68" s="18">
        <f>INDEX('Limit raise'!$A:$O,
MATCH($C68, 'Limit raise'!$A:$A, 0),
MATCH(L$17,'Limit raise'!$1:$1,0))</f>
        <v>7.381217389934544E-2</v>
      </c>
      <c r="M68" s="18">
        <v>0.15</v>
      </c>
      <c r="N68" s="18"/>
    </row>
    <row r="69" spans="3:25" s="13" customFormat="1" ht="7.2" customHeight="1" x14ac:dyDescent="0.3">
      <c r="C69" s="17">
        <v>51</v>
      </c>
      <c r="D69" s="18" cm="1">
        <f t="array" ref="D69">INDEX('New credit'!$A:$O,
MATCH(1,('New credit'!$A:$A=$C69)*('New credit'!$D:$D=D$16), 0),
MATCH(D$17,'New credit'!$1:$1,0))</f>
        <v>0.74603174603174605</v>
      </c>
      <c r="E69" s="18" cm="1">
        <f t="array" ref="E69">INDEX('New credit'!$A:$O,
MATCH(1,('New credit'!$A:$A=$C69)*('New credit'!$D:$D=E$16), 0),
MATCH(E$17,'New credit'!$1:$1,0))</f>
        <v>0.83482758620689634</v>
      </c>
      <c r="F69" s="18" cm="1">
        <f t="array" ref="F69">INDEX('New credit'!$A:$O,
MATCH(1,('New credit'!$A:$A=$C69)*('New credit'!$D:$D=F$16), 0),
MATCH(F$17,'New credit'!$1:$1,0))</f>
        <v>0.77165231066625439</v>
      </c>
      <c r="G69" s="18">
        <f>INDEX('New credit'!$A:$O,
MATCH($C69, 'New credit'!$A:$A, 0),
MATCH(G$17, 'New credit'!$1:$1, 0))</f>
        <v>0.14230698377846179</v>
      </c>
      <c r="H69" s="18">
        <v>0.15</v>
      </c>
      <c r="I69" s="18" cm="1">
        <f t="array" ref="I69">INDEX('Limit raise'!$A:$O,
MATCH(1,('Limit raise'!$A:$A=$C69)*('Limit raise'!$D:$D=I$16), 0),
MATCH(I$17,'Limit raise'!$1:$1,0))</f>
        <v>0.61538461538461542</v>
      </c>
      <c r="J69" s="18" cm="1">
        <f t="array" ref="J69">INDEX('Limit raise'!$A:$O,
MATCH(1,('Limit raise'!$A:$A=$C69)*('Limit raise'!$D:$D=J$16), 0),
MATCH(J$17,'Limit raise'!$1:$1,0))</f>
        <v>0.8887999999999997</v>
      </c>
      <c r="K69" s="18" cm="1">
        <f t="array" ref="K69">INDEX('Limit raise'!$A:$O,
MATCH(1,('Limit raise'!$A:$A=$C69)*('Limit raise'!$D:$D=K$16), 0),
MATCH(K$17,'Limit raise'!$1:$1,0))</f>
        <v>0.78802163117561363</v>
      </c>
      <c r="L69" s="18">
        <f>INDEX('Limit raise'!$A:$O,
MATCH($C69, 'Limit raise'!$A:$A, 0),
MATCH(L$17,'Limit raise'!$1:$1,0))</f>
        <v>7.2324588355994132E-2</v>
      </c>
      <c r="M69" s="18">
        <v>0.15</v>
      </c>
      <c r="N69" s="18"/>
    </row>
    <row r="70" spans="3:25" s="13" customFormat="1" ht="7.2" customHeight="1" x14ac:dyDescent="0.3">
      <c r="C70" s="17">
        <v>52</v>
      </c>
      <c r="D70" s="18" cm="1">
        <f t="array" ref="D70">INDEX('New credit'!$A:$O,
MATCH(1,('New credit'!$A:$A=$C70)*('New credit'!$D:$D=D$16), 0),
MATCH(D$17,'New credit'!$1:$1,0))</f>
        <v>0.77192982456140347</v>
      </c>
      <c r="E70" s="18" cm="1">
        <f t="array" ref="E70">INDEX('New credit'!$A:$O,
MATCH(1,('New credit'!$A:$A=$C70)*('New credit'!$D:$D=E$16), 0),
MATCH(E$17,'New credit'!$1:$1,0))</f>
        <v>0.88919999999999977</v>
      </c>
      <c r="F70" s="18" cm="1">
        <f t="array" ref="F70">INDEX('New credit'!$A:$O,
MATCH(1,('New credit'!$A:$A=$C70)*('New credit'!$D:$D=F$16), 0),
MATCH(F$17,'New credit'!$1:$1,0))</f>
        <v>0.80881833303268458</v>
      </c>
      <c r="G70" s="18">
        <f>INDEX('New credit'!$A:$O,
MATCH($C70, 'New credit'!$A:$A, 0),
MATCH(G$17, 'New credit'!$1:$1, 0))</f>
        <v>1</v>
      </c>
      <c r="H70" s="18">
        <v>0.15</v>
      </c>
      <c r="I70" s="18" cm="1">
        <f t="array" ref="I70">INDEX('Limit raise'!$A:$O,
MATCH(1,('Limit raise'!$A:$A=$C70)*('Limit raise'!$D:$D=I$16), 0),
MATCH(I$17,'Limit raise'!$1:$1,0))</f>
        <v>0.58461538461538465</v>
      </c>
      <c r="J70" s="18" cm="1">
        <f t="array" ref="J70">INDEX('Limit raise'!$A:$O,
MATCH(1,('Limit raise'!$A:$A=$C70)*('Limit raise'!$D:$D=J$16), 0),
MATCH(J$17,'Limit raise'!$1:$1,0))</f>
        <v>0.88695652173913009</v>
      </c>
      <c r="K70" s="18" cm="1">
        <f t="array" ref="K70">INDEX('Limit raise'!$A:$O,
MATCH(1,('Limit raise'!$A:$A=$C70)*('Limit raise'!$D:$D=K$16), 0),
MATCH(K$17,'Limit raise'!$1:$1,0))</f>
        <v>0.77763163099409416</v>
      </c>
      <c r="L70" s="18">
        <f>INDEX('Limit raise'!$A:$O,
MATCH($C70, 'Limit raise'!$A:$A, 0),
MATCH(L$17,'Limit raise'!$1:$1,0))</f>
        <v>7.1249425808108183E-2</v>
      </c>
      <c r="M70" s="18">
        <v>0.15</v>
      </c>
      <c r="N70" s="18"/>
    </row>
    <row r="71" spans="3:25" s="13" customFormat="1" ht="7.2" customHeight="1" x14ac:dyDescent="0.3">
      <c r="C71" s="17">
        <v>53</v>
      </c>
      <c r="D71" s="18" cm="1">
        <f t="array" ref="D71">INDEX('New credit'!$A:$O,
MATCH(1,('New credit'!$A:$A=$C71)*('New credit'!$D:$D=D$16), 0),
MATCH(D$17,'New credit'!$1:$1,0))</f>
        <v>0.74509803921568629</v>
      </c>
      <c r="E71" s="18" cm="1">
        <f t="array" ref="E71">INDEX('New credit'!$A:$O,
MATCH(1,('New credit'!$A:$A=$C71)*('New credit'!$D:$D=E$16), 0),
MATCH(E$17,'New credit'!$1:$1,0))</f>
        <v>0.86413793103448266</v>
      </c>
      <c r="F71" s="18" cm="1">
        <f t="array" ref="F71">INDEX('New credit'!$A:$O,
MATCH(1,('New credit'!$A:$A=$C71)*('New credit'!$D:$D=F$16), 0),
MATCH(F$17,'New credit'!$1:$1,0))</f>
        <v>0.75144121677052567</v>
      </c>
      <c r="G71" s="18">
        <f>INDEX('New credit'!$A:$O,
MATCH($C71, 'New credit'!$A:$A, 0),
MATCH(G$17, 'New credit'!$1:$1, 0))</f>
        <v>0.1128273192916852</v>
      </c>
      <c r="H71" s="18">
        <v>0.15</v>
      </c>
      <c r="I71" s="18" cm="1">
        <f t="array" ref="I71">INDEX('Limit raise'!$A:$O,
MATCH(1,('Limit raise'!$A:$A=$C71)*('Limit raise'!$D:$D=I$16), 0),
MATCH(I$17,'Limit raise'!$1:$1,0))</f>
        <v>0.58461538461538465</v>
      </c>
      <c r="J71" s="18" cm="1">
        <f t="array" ref="J71">INDEX('Limit raise'!$A:$O,
MATCH(1,('Limit raise'!$A:$A=$C71)*('Limit raise'!$D:$D=J$16), 0),
MATCH(J$17,'Limit raise'!$1:$1,0))</f>
        <v>0.88739130434782576</v>
      </c>
      <c r="K71" s="18" cm="1">
        <f t="array" ref="K71">INDEX('Limit raise'!$A:$O,
MATCH(1,('Limit raise'!$A:$A=$C71)*('Limit raise'!$D:$D=K$16), 0),
MATCH(K$17,'Limit raise'!$1:$1,0))</f>
        <v>0.77814256636228396</v>
      </c>
      <c r="L71" s="18">
        <f>INDEX('Limit raise'!$A:$O,
MATCH($C71, 'Limit raise'!$A:$A, 0),
MATCH(L$17,'Limit raise'!$1:$1,0))</f>
        <v>7.5482436257884561E-2</v>
      </c>
      <c r="M71" s="18">
        <v>0.15</v>
      </c>
      <c r="N71" s="18"/>
    </row>
    <row r="72" spans="3:25" s="13" customFormat="1" ht="7.2" customHeight="1" x14ac:dyDescent="0.3">
      <c r="C72" s="17">
        <v>54</v>
      </c>
      <c r="D72" s="18" cm="1">
        <f t="array" ref="D72">INDEX('New credit'!$A:$O,
MATCH(1,('New credit'!$A:$A=$C72)*('New credit'!$D:$D=D$16), 0),
MATCH(D$17,'New credit'!$1:$1,0))</f>
        <v>0.73684210526315785</v>
      </c>
      <c r="E72" s="18" cm="1">
        <f t="array" ref="E72">INDEX('New credit'!$A:$O,
MATCH(1,('New credit'!$A:$A=$C72)*('New credit'!$D:$D=E$16), 0),
MATCH(E$17,'New credit'!$1:$1,0))</f>
        <v>0.86</v>
      </c>
      <c r="F72" s="18" cm="1">
        <f t="array" ref="F72">INDEX('New credit'!$A:$O,
MATCH(1,('New credit'!$A:$A=$C72)*('New credit'!$D:$D=F$16), 0),
MATCH(F$17,'New credit'!$1:$1,0))</f>
        <v>0.70959715424254455</v>
      </c>
      <c r="G72" s="18">
        <f>INDEX('New credit'!$A:$O,
MATCH($C72, 'New credit'!$A:$A, 0),
MATCH(G$17, 'New credit'!$1:$1, 0))</f>
        <v>1</v>
      </c>
      <c r="H72" s="18">
        <v>0.15</v>
      </c>
      <c r="I72" s="18" cm="1">
        <f t="array" ref="I72">INDEX('Limit raise'!$A:$O,
MATCH(1,('Limit raise'!$A:$A=$C72)*('Limit raise'!$D:$D=I$16), 0),
MATCH(I$17,'Limit raise'!$1:$1,0))</f>
        <v>0.58461538461538465</v>
      </c>
      <c r="J72" s="18" cm="1">
        <f t="array" ref="J72">INDEX('Limit raise'!$A:$O,
MATCH(1,('Limit raise'!$A:$A=$C72)*('Limit raise'!$D:$D=J$16), 0),
MATCH(J$17,'Limit raise'!$1:$1,0))</f>
        <v>0.88782608695652132</v>
      </c>
      <c r="K72" s="18" cm="1">
        <f t="array" ref="K72">INDEX('Limit raise'!$A:$O,
MATCH(1,('Limit raise'!$A:$A=$C72)*('Limit raise'!$D:$D=K$16), 0),
MATCH(K$17,'Limit raise'!$1:$1,0))</f>
        <v>0.77936036981914891</v>
      </c>
      <c r="L72" s="18">
        <f>INDEX('Limit raise'!$A:$O,
MATCH($C72, 'Limit raise'!$A:$A, 0),
MATCH(L$17,'Limit raise'!$1:$1,0))</f>
        <v>7.8129358858470915E-2</v>
      </c>
      <c r="M72" s="18">
        <v>0.15</v>
      </c>
      <c r="N72" s="18"/>
    </row>
    <row r="73" spans="3:25" s="13" customFormat="1" ht="7.2" customHeight="1" x14ac:dyDescent="0.3">
      <c r="C73" s="17">
        <v>55</v>
      </c>
      <c r="D73" s="18" cm="1">
        <f t="array" ref="D73">INDEX('New credit'!$A:$O,
MATCH(1,('New credit'!$A:$A=$C73)*('New credit'!$D:$D=D$16), 0),
MATCH(D$17,'New credit'!$1:$1,0))</f>
        <v>0.78947368421052633</v>
      </c>
      <c r="E73" s="18" cm="1">
        <f t="array" ref="E73">INDEX('New credit'!$A:$O,
MATCH(1,('New credit'!$A:$A=$C73)*('New credit'!$D:$D=E$16), 0),
MATCH(E$17,'New credit'!$1:$1,0))</f>
        <v>0.85939393939393904</v>
      </c>
      <c r="F73" s="18" cm="1">
        <f t="array" ref="F73">INDEX('New credit'!$A:$O,
MATCH(1,('New credit'!$A:$A=$C73)*('New credit'!$D:$D=F$16), 0),
MATCH(F$17,'New credit'!$1:$1,0))</f>
        <v>0.6614417382305976</v>
      </c>
      <c r="G73" s="18">
        <f>INDEX('New credit'!$A:$O,
MATCH($C73, 'New credit'!$A:$A, 0),
MATCH(G$17, 'New credit'!$1:$1, 0))</f>
        <v>8.7709479982460092E-2</v>
      </c>
      <c r="H73" s="18">
        <v>0.15</v>
      </c>
      <c r="I73" s="18" cm="1">
        <f t="array" ref="I73">INDEX('Limit raise'!$A:$O,
MATCH(1,('Limit raise'!$A:$A=$C73)*('Limit raise'!$D:$D=I$16), 0),
MATCH(I$17,'Limit raise'!$1:$1,0))</f>
        <v>0.61538461538461542</v>
      </c>
      <c r="J73" s="18" cm="1">
        <f t="array" ref="J73">INDEX('Limit raise'!$A:$O,
MATCH(1,('Limit raise'!$A:$A=$C73)*('Limit raise'!$D:$D=J$16), 0),
MATCH(J$17,'Limit raise'!$1:$1,0))</f>
        <v>0.88959999999999961</v>
      </c>
      <c r="K73" s="18" cm="1">
        <f t="array" ref="K73">INDEX('Limit raise'!$A:$O,
MATCH(1,('Limit raise'!$A:$A=$C73)*('Limit raise'!$D:$D=K$16), 0),
MATCH(K$17,'Limit raise'!$1:$1,0))</f>
        <v>0.79848635019910519</v>
      </c>
      <c r="L73" s="18">
        <f>INDEX('Limit raise'!$A:$O,
MATCH($C73, 'Limit raise'!$A:$A, 0),
MATCH(L$17,'Limit raise'!$1:$1,0))</f>
        <v>7.748480871382174E-2</v>
      </c>
      <c r="M73" s="18">
        <v>0.15</v>
      </c>
      <c r="N73" s="18"/>
    </row>
    <row r="74" spans="3:25" s="13" customFormat="1" ht="7.2" customHeight="1" x14ac:dyDescent="0.3">
      <c r="C74" s="17">
        <v>56</v>
      </c>
      <c r="D74" s="18" cm="1">
        <f t="array" ref="D74">INDEX('New credit'!$A:$O,
MATCH(1,('New credit'!$A:$A=$C74)*('New credit'!$D:$D=D$16), 0),
MATCH(D$17,'New credit'!$1:$1,0))</f>
        <v>0.75438596491228072</v>
      </c>
      <c r="E74" s="18" cm="1">
        <f t="array" ref="E74">INDEX('New credit'!$A:$O,
MATCH(1,('New credit'!$A:$A=$C74)*('New credit'!$D:$D=E$16), 0),
MATCH(E$17,'New credit'!$1:$1,0))</f>
        <v>0.86424242424242437</v>
      </c>
      <c r="F74" s="18" cm="1">
        <f t="array" ref="F74">INDEX('New credit'!$A:$O,
MATCH(1,('New credit'!$A:$A=$C74)*('New credit'!$D:$D=F$16), 0),
MATCH(F$17,'New credit'!$1:$1,0))</f>
        <v>0.72096130281189608</v>
      </c>
      <c r="G74" s="18">
        <f>INDEX('New credit'!$A:$O,
MATCH($C74, 'New credit'!$A:$A, 0),
MATCH(G$17, 'New credit'!$1:$1, 0))</f>
        <v>0.1084411182114443</v>
      </c>
      <c r="H74" s="18">
        <v>0.15</v>
      </c>
      <c r="I74" s="18" cm="1">
        <f t="array" ref="I74">INDEX('Limit raise'!$A:$O,
MATCH(1,('Limit raise'!$A:$A=$C74)*('Limit raise'!$D:$D=I$16), 0),
MATCH(I$17,'Limit raise'!$1:$1,0))</f>
        <v>0.63492063492063489</v>
      </c>
      <c r="J74" s="18" cm="1">
        <f t="array" ref="J74">INDEX('Limit raise'!$A:$O,
MATCH(1,('Limit raise'!$A:$A=$C74)*('Limit raise'!$D:$D=J$16), 0),
MATCH(J$17,'Limit raise'!$1:$1,0))</f>
        <v>0.8907999999999997</v>
      </c>
      <c r="K74" s="18" cm="1">
        <f t="array" ref="K74">INDEX('Limit raise'!$A:$O,
MATCH(1,('Limit raise'!$A:$A=$C74)*('Limit raise'!$D:$D=K$16), 0),
MATCH(K$17,'Limit raise'!$1:$1,0))</f>
        <v>0.79928267894678873</v>
      </c>
      <c r="L74" s="18">
        <f>INDEX('Limit raise'!$A:$O,
MATCH($C74, 'Limit raise'!$A:$A, 0),
MATCH(L$17,'Limit raise'!$1:$1,0))</f>
        <v>8.6256822304721079E-2</v>
      </c>
      <c r="M74" s="18">
        <v>0.15</v>
      </c>
      <c r="N74" s="18"/>
    </row>
    <row r="75" spans="3:25" s="13" customFormat="1" ht="7.2" customHeight="1" x14ac:dyDescent="0.3">
      <c r="C75" s="17">
        <v>57</v>
      </c>
      <c r="D75" s="18" cm="1">
        <f t="array" ref="D75">INDEX('New credit'!$A:$O,
MATCH(1,('New credit'!$A:$A=$C75)*('New credit'!$D:$D=D$16), 0),
MATCH(D$17,'New credit'!$1:$1,0))</f>
        <v>0.75</v>
      </c>
      <c r="E75" s="18" cm="1">
        <f t="array" ref="E75">INDEX('New credit'!$A:$O,
MATCH(1,('New credit'!$A:$A=$C75)*('New credit'!$D:$D=E$16), 0),
MATCH(E$17,'New credit'!$1:$1,0))</f>
        <v>0.87225806451612897</v>
      </c>
      <c r="F75" s="18" cm="1">
        <f t="array" ref="F75">INDEX('New credit'!$A:$O,
MATCH(1,('New credit'!$A:$A=$C75)*('New credit'!$D:$D=F$16), 0),
MATCH(F$17,'New credit'!$1:$1,0))</f>
        <v>0.66916116392001657</v>
      </c>
      <c r="G75" s="18">
        <f>INDEX('New credit'!$A:$O,
MATCH($C75, 'New credit'!$A:$A, 0),
MATCH(G$17, 'New credit'!$1:$1, 0))</f>
        <v>0.17798391644064321</v>
      </c>
      <c r="H75" s="18">
        <v>0.15</v>
      </c>
      <c r="I75" s="18" cm="1">
        <f t="array" ref="I75">INDEX('Limit raise'!$A:$O,
MATCH(1,('Limit raise'!$A:$A=$C75)*('Limit raise'!$D:$D=I$16), 0),
MATCH(I$17,'Limit raise'!$1:$1,0))</f>
        <v>0.63492063492063489</v>
      </c>
      <c r="J75" s="18" cm="1">
        <f t="array" ref="J75">INDEX('Limit raise'!$A:$O,
MATCH(1,('Limit raise'!$A:$A=$C75)*('Limit raise'!$D:$D=J$16), 0),
MATCH(J$17,'Limit raise'!$1:$1,0))</f>
        <v>0.8907999999999997</v>
      </c>
      <c r="K75" s="18" cm="1">
        <f t="array" ref="K75">INDEX('Limit raise'!$A:$O,
MATCH(1,('Limit raise'!$A:$A=$C75)*('Limit raise'!$D:$D=K$16), 0),
MATCH(K$17,'Limit raise'!$1:$1,0))</f>
        <v>0.80068256775674085</v>
      </c>
      <c r="L75" s="18">
        <f>INDEX('Limit raise'!$A:$O,
MATCH($C75, 'Limit raise'!$A:$A, 0),
MATCH(L$17,'Limit raise'!$1:$1,0))</f>
        <v>8.8264428637118517E-2</v>
      </c>
      <c r="M75" s="18">
        <v>0.15</v>
      </c>
      <c r="N75" s="18"/>
    </row>
    <row r="76" spans="3:25" s="13" customFormat="1" ht="7.2" customHeight="1" x14ac:dyDescent="0.3">
      <c r="C76" s="17">
        <v>58</v>
      </c>
      <c r="D76" s="18" cm="1">
        <f t="array" ref="D76">INDEX('New credit'!$A:$O,
MATCH(1,('New credit'!$A:$A=$C76)*('New credit'!$D:$D=D$16), 0),
MATCH(D$17,'New credit'!$1:$1,0))</f>
        <v>0.65079365079365081</v>
      </c>
      <c r="E76" s="18" cm="1">
        <f t="array" ref="E76">INDEX('New credit'!$A:$O,
MATCH(1,('New credit'!$A:$A=$C76)*('New credit'!$D:$D=E$16), 0),
MATCH(E$17,'New credit'!$1:$1,0))</f>
        <v>0.86517241379310361</v>
      </c>
      <c r="F76" s="18" cm="1">
        <f t="array" ref="F76">INDEX('New credit'!$A:$O,
MATCH(1,('New credit'!$A:$A=$C76)*('New credit'!$D:$D=F$16), 0),
MATCH(F$17,'New credit'!$1:$1,0))</f>
        <v>0.731720729657096</v>
      </c>
      <c r="G76" s="18">
        <f>INDEX('New credit'!$A:$O,
MATCH($C76, 'New credit'!$A:$A, 0),
MATCH(G$17, 'New credit'!$1:$1, 0))</f>
        <v>1</v>
      </c>
      <c r="H76" s="18">
        <v>0.15</v>
      </c>
      <c r="I76" s="18" cm="1">
        <f t="array" ref="I76">INDEX('Limit raise'!$A:$O,
MATCH(1,('Limit raise'!$A:$A=$C76)*('Limit raise'!$D:$D=I$16), 0),
MATCH(I$17,'Limit raise'!$1:$1,0))</f>
        <v>0.609375</v>
      </c>
      <c r="J76" s="18" cm="1">
        <f t="array" ref="J76">INDEX('Limit raise'!$A:$O,
MATCH(1,('Limit raise'!$A:$A=$C76)*('Limit raise'!$D:$D=J$16), 0),
MATCH(J$17,'Limit raise'!$1:$1,0))</f>
        <v>0.89079999999999959</v>
      </c>
      <c r="K76" s="18" cm="1">
        <f t="array" ref="K76">INDEX('Limit raise'!$A:$O,
MATCH(1,('Limit raise'!$A:$A=$C76)*('Limit raise'!$D:$D=K$16), 0),
MATCH(K$17,'Limit raise'!$1:$1,0))</f>
        <v>0.80202488341680067</v>
      </c>
      <c r="L76" s="18">
        <f>INDEX('Limit raise'!$A:$O,
MATCH($C76, 'Limit raise'!$A:$A, 0),
MATCH(L$17,'Limit raise'!$1:$1,0))</f>
        <v>9.0608236949357046E-2</v>
      </c>
      <c r="M76" s="18">
        <v>0.15</v>
      </c>
      <c r="N76" s="18"/>
    </row>
    <row r="77" spans="3:25" s="13" customFormat="1" ht="7.2" customHeight="1" x14ac:dyDescent="0.3">
      <c r="C77" s="17">
        <v>59</v>
      </c>
      <c r="D77" s="18" cm="1">
        <f t="array" ref="D77">INDEX('New credit'!$A:$O,
MATCH(1,('New credit'!$A:$A=$C77)*('New credit'!$D:$D=D$16), 0),
MATCH(D$17,'New credit'!$1:$1,0))</f>
        <v>0.6271186440677966</v>
      </c>
      <c r="E77" s="18" cm="1">
        <f t="array" ref="E77">INDEX('New credit'!$A:$O,
MATCH(1,('New credit'!$A:$A=$C77)*('New credit'!$D:$D=E$16), 0),
MATCH(E$17,'New credit'!$1:$1,0))</f>
        <v>0.88583333333333325</v>
      </c>
      <c r="F77" s="18" cm="1">
        <f t="array" ref="F77">INDEX('New credit'!$A:$O,
MATCH(1,('New credit'!$A:$A=$C77)*('New credit'!$D:$D=F$16), 0),
MATCH(F$17,'New credit'!$1:$1,0))</f>
        <v>0.77081859421392684</v>
      </c>
      <c r="G77" s="18">
        <f>INDEX('New credit'!$A:$O,
MATCH($C77, 'New credit'!$A:$A, 0),
MATCH(G$17, 'New credit'!$1:$1, 0))</f>
        <v>1</v>
      </c>
      <c r="H77" s="18">
        <v>0.15</v>
      </c>
      <c r="I77" s="18" cm="1">
        <f t="array" ref="I77">INDEX('Limit raise'!$A:$O,
MATCH(1,('Limit raise'!$A:$A=$C77)*('Limit raise'!$D:$D=I$16), 0),
MATCH(I$17,'Limit raise'!$1:$1,0))</f>
        <v>0.609375</v>
      </c>
      <c r="J77" s="18" cm="1">
        <f t="array" ref="J77">INDEX('Limit raise'!$A:$O,
MATCH(1,('Limit raise'!$A:$A=$C77)*('Limit raise'!$D:$D=J$16), 0),
MATCH(J$17,'Limit raise'!$1:$1,0))</f>
        <v>0.89159999999999973</v>
      </c>
      <c r="K77" s="18" cm="1">
        <f t="array" ref="K77">INDEX('Limit raise'!$A:$O,
MATCH(1,('Limit raise'!$A:$A=$C77)*('Limit raise'!$D:$D=K$16), 0),
MATCH(K$17,'Limit raise'!$1:$1,0))</f>
        <v>0.80244466210027121</v>
      </c>
      <c r="L77" s="18">
        <f>INDEX('Limit raise'!$A:$O,
MATCH($C77, 'Limit raise'!$A:$A, 0),
MATCH(L$17,'Limit raise'!$1:$1,0))</f>
        <v>9.3637029560730153E-2</v>
      </c>
      <c r="M77" s="18">
        <v>0.15</v>
      </c>
      <c r="N77" s="18"/>
    </row>
    <row r="78" spans="3:25" s="13" customFormat="1" ht="7.2" customHeight="1" x14ac:dyDescent="0.3">
      <c r="C78" s="17">
        <v>60</v>
      </c>
      <c r="D78" s="18" cm="1">
        <f t="array" ref="D78">INDEX('New credit'!$A:$O,
MATCH(1,('New credit'!$A:$A=$C78)*('New credit'!$D:$D=D$16), 0),
MATCH(D$17,'New credit'!$1:$1,0))</f>
        <v>0.69090909090909092</v>
      </c>
      <c r="E78" s="18" cm="1">
        <f t="array" ref="E78">INDEX('New credit'!$A:$O,
MATCH(1,('New credit'!$A:$A=$C78)*('New credit'!$D:$D=E$16), 0),
MATCH(E$17,'New credit'!$1:$1,0))</f>
        <v>0.8528</v>
      </c>
      <c r="F78" s="18" cm="1">
        <f t="array" ref="F78">INDEX('New credit'!$A:$O,
MATCH(1,('New credit'!$A:$A=$C78)*('New credit'!$D:$D=F$16), 0),
MATCH(F$17,'New credit'!$1:$1,0))</f>
        <v>0.73387600157755184</v>
      </c>
      <c r="G78" s="18">
        <f>INDEX('New credit'!$A:$O,
MATCH($C78, 'New credit'!$A:$A, 0),
MATCH(G$17, 'New credit'!$1:$1, 0))</f>
        <v>0.13761496595042649</v>
      </c>
      <c r="H78" s="18">
        <v>0.15</v>
      </c>
      <c r="I78" s="18" cm="1">
        <f t="array" ref="I78">INDEX('Limit raise'!$A:$O,
MATCH(1,('Limit raise'!$A:$A=$C78)*('Limit raise'!$D:$D=I$16), 0),
MATCH(I$17,'Limit raise'!$1:$1,0))</f>
        <v>0.625</v>
      </c>
      <c r="J78" s="18" cm="1">
        <f t="array" ref="J78">INDEX('Limit raise'!$A:$O,
MATCH(1,('Limit raise'!$A:$A=$C78)*('Limit raise'!$D:$D=J$16), 0),
MATCH(J$17,'Limit raise'!$1:$1,0))</f>
        <v>0.89230769230769214</v>
      </c>
      <c r="K78" s="18" cm="1">
        <f t="array" ref="K78">INDEX('Limit raise'!$A:$O,
MATCH(1,('Limit raise'!$A:$A=$C78)*('Limit raise'!$D:$D=K$16), 0),
MATCH(K$17,'Limit raise'!$1:$1,0))</f>
        <v>0.82169696366224598</v>
      </c>
      <c r="L78" s="18">
        <f>INDEX('Limit raise'!$A:$O,
MATCH($C78, 'Limit raise'!$A:$A, 0),
MATCH(L$17,'Limit raise'!$1:$1,0))</f>
        <v>9.1169684700867754E-2</v>
      </c>
      <c r="M78" s="18">
        <v>0.15</v>
      </c>
      <c r="N78" s="18"/>
    </row>
    <row r="79" spans="3:25" s="13" customFormat="1" ht="7.2" customHeight="1" x14ac:dyDescent="0.3">
      <c r="C79" s="17">
        <v>61</v>
      </c>
      <c r="D79" s="18" cm="1">
        <f t="array" ref="D79">INDEX('New credit'!$A:$O,
MATCH(1,('New credit'!$A:$A=$C79)*('New credit'!$D:$D=D$16), 0),
MATCH(D$17,'New credit'!$1:$1,0))</f>
        <v>0.75</v>
      </c>
      <c r="E79" s="18" cm="1">
        <f t="array" ref="E79">INDEX('New credit'!$A:$O,
MATCH(1,('New credit'!$A:$A=$C79)*('New credit'!$D:$D=E$16), 0),
MATCH(E$17,'New credit'!$1:$1,0))</f>
        <v>0.88333333333333341</v>
      </c>
      <c r="F79" s="18" cm="1">
        <f t="array" ref="F79">INDEX('New credit'!$A:$O,
MATCH(1,('New credit'!$A:$A=$C79)*('New credit'!$D:$D=F$16), 0),
MATCH(F$17,'New credit'!$1:$1,0))</f>
        <v>0.7195722412415263</v>
      </c>
      <c r="G79" s="18">
        <f>INDEX('New credit'!$A:$O,
MATCH($C79, 'New credit'!$A:$A, 0),
MATCH(G$17, 'New credit'!$1:$1, 0))</f>
        <v>1</v>
      </c>
      <c r="H79" s="18">
        <v>0.15</v>
      </c>
      <c r="I79" s="18" cm="1">
        <f t="array" ref="I79">INDEX('Limit raise'!$A:$O,
MATCH(1,('Limit raise'!$A:$A=$C79)*('Limit raise'!$D:$D=I$16), 0),
MATCH(I$17,'Limit raise'!$1:$1,0))</f>
        <v>0.640625</v>
      </c>
      <c r="J79" s="18" cm="1">
        <f t="array" ref="J79">INDEX('Limit raise'!$A:$O,
MATCH(1,('Limit raise'!$A:$A=$C79)*('Limit raise'!$D:$D=J$16), 0),
MATCH(J$17,'Limit raise'!$1:$1,0))</f>
        <v>0.8914814814814811</v>
      </c>
      <c r="K79" s="18" cm="1">
        <f t="array" ref="K79">INDEX('Limit raise'!$A:$O,
MATCH(1,('Limit raise'!$A:$A=$C79)*('Limit raise'!$D:$D=K$16), 0),
MATCH(K$17,'Limit raise'!$1:$1,0))</f>
        <v>0.79770319849485594</v>
      </c>
      <c r="L79" s="18">
        <f>INDEX('Limit raise'!$A:$O,
MATCH($C79, 'Limit raise'!$A:$A, 0),
MATCH(L$17,'Limit raise'!$1:$1,0))</f>
        <v>9.1141126764502589E-2</v>
      </c>
      <c r="M79" s="18">
        <v>0.15</v>
      </c>
      <c r="N79" s="18"/>
    </row>
    <row r="80" spans="3:25" s="13" customFormat="1" ht="7.2" customHeight="1" x14ac:dyDescent="0.3">
      <c r="C80" s="17">
        <v>62</v>
      </c>
      <c r="D80" s="18" cm="1">
        <f t="array" ref="D80">INDEX('New credit'!$A:$O,
MATCH(1,('New credit'!$A:$A=$C80)*('New credit'!$D:$D=D$16), 0),
MATCH(D$17,'New credit'!$1:$1,0))</f>
        <v>0.70491803278688525</v>
      </c>
      <c r="E80" s="18" cm="1">
        <f t="array" ref="E80">INDEX('New credit'!$A:$O,
MATCH(1,('New credit'!$A:$A=$C80)*('New credit'!$D:$D=E$16), 0),
MATCH(E$17,'New credit'!$1:$1,0))</f>
        <v>0.89307692307692288</v>
      </c>
      <c r="F80" s="18" cm="1">
        <f t="array" ref="F80">INDEX('New credit'!$A:$O,
MATCH(1,('New credit'!$A:$A=$C80)*('New credit'!$D:$D=F$16), 0),
MATCH(F$17,'New credit'!$1:$1,0))</f>
        <v>0.76796723249655341</v>
      </c>
      <c r="G80" s="18">
        <f>INDEX('New credit'!$A:$O,
MATCH($C80, 'New credit'!$A:$A, 0),
MATCH(G$17, 'New credit'!$1:$1, 0))</f>
        <v>1</v>
      </c>
      <c r="H80" s="18">
        <v>0.15</v>
      </c>
      <c r="I80" s="18" cm="1">
        <f t="array" ref="I80">INDEX('Limit raise'!$A:$O,
MATCH(1,('Limit raise'!$A:$A=$C80)*('Limit raise'!$D:$D=I$16), 0),
MATCH(I$17,'Limit raise'!$1:$1,0))</f>
        <v>0.65079365079365081</v>
      </c>
      <c r="J80" s="18" cm="1">
        <f t="array" ref="J80">INDEX('Limit raise'!$A:$O,
MATCH(1,('Limit raise'!$A:$A=$C80)*('Limit raise'!$D:$D=J$16), 0),
MATCH(J$17,'Limit raise'!$1:$1,0))</f>
        <v>0.89039999999999975</v>
      </c>
      <c r="K80" s="18" cm="1">
        <f t="array" ref="K80">INDEX('Limit raise'!$A:$O,
MATCH(1,('Limit raise'!$A:$A=$C80)*('Limit raise'!$D:$D=K$16), 0),
MATCH(K$17,'Limit raise'!$1:$1,0))</f>
        <v>0.79598802086786047</v>
      </c>
      <c r="L80" s="18">
        <f>INDEX('Limit raise'!$A:$O,
MATCH($C80, 'Limit raise'!$A:$A, 0),
MATCH(L$17,'Limit raise'!$1:$1,0))</f>
        <v>9.0696995720942905E-2</v>
      </c>
      <c r="M80" s="18">
        <v>0.15</v>
      </c>
      <c r="N80" s="18"/>
    </row>
    <row r="81" spans="3:14" s="13" customFormat="1" ht="7.2" customHeight="1" x14ac:dyDescent="0.3">
      <c r="C81" s="17">
        <v>63</v>
      </c>
      <c r="D81" s="18" cm="1">
        <f t="array" ref="D81">INDEX('New credit'!$A:$O,
MATCH(1,('New credit'!$A:$A=$C81)*('New credit'!$D:$D=D$16), 0),
MATCH(D$17,'New credit'!$1:$1,0))</f>
        <v>0.734375</v>
      </c>
      <c r="E81" s="18" cm="1">
        <f t="array" ref="E81">INDEX('New credit'!$A:$O,
MATCH(1,('New credit'!$A:$A=$C81)*('New credit'!$D:$D=E$16), 0),
MATCH(E$17,'New credit'!$1:$1,0))</f>
        <v>0.89444444444444438</v>
      </c>
      <c r="F81" s="18" cm="1">
        <f t="array" ref="F81">INDEX('New credit'!$A:$O,
MATCH(1,('New credit'!$A:$A=$C81)*('New credit'!$D:$D=F$16), 0),
MATCH(F$17,'New credit'!$1:$1,0))</f>
        <v>0.81013905902092198</v>
      </c>
      <c r="G81" s="18">
        <f>INDEX('New credit'!$A:$O,
MATCH($C81, 'New credit'!$A:$A, 0),
MATCH(G$17, 'New credit'!$1:$1, 0))</f>
        <v>0.2660797841624305</v>
      </c>
      <c r="H81" s="18">
        <v>0.15</v>
      </c>
      <c r="I81" s="18" cm="1">
        <f t="array" ref="I81">INDEX('Limit raise'!$A:$O,
MATCH(1,('Limit raise'!$A:$A=$C81)*('Limit raise'!$D:$D=I$16), 0),
MATCH(I$17,'Limit raise'!$1:$1,0))</f>
        <v>0.65079365079365081</v>
      </c>
      <c r="J81" s="18" cm="1">
        <f t="array" ref="J81">INDEX('Limit raise'!$A:$O,
MATCH(1,('Limit raise'!$A:$A=$C81)*('Limit raise'!$D:$D=J$16), 0),
MATCH(J$17,'Limit raise'!$1:$1,0))</f>
        <v>0.88958333333333306</v>
      </c>
      <c r="K81" s="18" cm="1">
        <f t="array" ref="K81">INDEX('Limit raise'!$A:$O,
MATCH(1,('Limit raise'!$A:$A=$C81)*('Limit raise'!$D:$D=K$16), 0),
MATCH(K$17,'Limit raise'!$1:$1,0))</f>
        <v>0.79664352934912475</v>
      </c>
      <c r="L81" s="18">
        <f>INDEX('Limit raise'!$A:$O,
MATCH($C81, 'Limit raise'!$A:$A, 0),
MATCH(L$17,'Limit raise'!$1:$1,0))</f>
        <v>9.3898509422412207E-2</v>
      </c>
      <c r="M81" s="18">
        <v>0.15</v>
      </c>
      <c r="N81" s="18"/>
    </row>
    <row r="82" spans="3:14" s="13" customFormat="1" ht="7.2" customHeight="1" x14ac:dyDescent="0.3">
      <c r="C82" s="17">
        <v>64</v>
      </c>
      <c r="D82" s="18" cm="1">
        <f t="array" ref="D82">INDEX('New credit'!$A:$O,
MATCH(1,('New credit'!$A:$A=$C82)*('New credit'!$D:$D=D$16), 0),
MATCH(D$17,'New credit'!$1:$1,0))</f>
        <v>0.7</v>
      </c>
      <c r="E82" s="18" cm="1">
        <f t="array" ref="E82">INDEX('New credit'!$A:$O,
MATCH(1,('New credit'!$A:$A=$C82)*('New credit'!$D:$D=E$16), 0),
MATCH(E$17,'New credit'!$1:$1,0))</f>
        <v>0.8899999999999999</v>
      </c>
      <c r="F82" s="18" cm="1">
        <f t="array" ref="F82">INDEX('New credit'!$A:$O,
MATCH(1,('New credit'!$A:$A=$C82)*('New credit'!$D:$D=F$16), 0),
MATCH(F$17,'New credit'!$1:$1,0))</f>
        <v>0.76495169365272375</v>
      </c>
      <c r="G82" s="18">
        <f>INDEX('New credit'!$A:$O,
MATCH($C82, 'New credit'!$A:$A, 0),
MATCH(G$17, 'New credit'!$1:$1, 0))</f>
        <v>8.965569471239658E-2</v>
      </c>
      <c r="H82" s="18">
        <v>0.15</v>
      </c>
      <c r="I82" s="18" cm="1">
        <f t="array" ref="I82">INDEX('Limit raise'!$A:$O,
MATCH(1,('Limit raise'!$A:$A=$C82)*('Limit raise'!$D:$D=I$16), 0),
MATCH(I$17,'Limit raise'!$1:$1,0))</f>
        <v>0.66129032258064513</v>
      </c>
      <c r="J82" s="18" cm="1">
        <f t="array" ref="J82">INDEX('Limit raise'!$A:$O,
MATCH(1,('Limit raise'!$A:$A=$C82)*('Limit raise'!$D:$D=J$16), 0),
MATCH(J$17,'Limit raise'!$1:$1,0))</f>
        <v>0.88916666666666655</v>
      </c>
      <c r="K82" s="18" cm="1">
        <f t="array" ref="K82">INDEX('Limit raise'!$A:$O,
MATCH(1,('Limit raise'!$A:$A=$C82)*('Limit raise'!$D:$D=K$16), 0),
MATCH(K$17,'Limit raise'!$1:$1,0))</f>
        <v>0.7867709182304764</v>
      </c>
      <c r="L82" s="18">
        <f>INDEX('Limit raise'!$A:$O,
MATCH($C82, 'Limit raise'!$A:$A, 0),
MATCH(L$17,'Limit raise'!$1:$1,0))</f>
        <v>9.3145447674661486E-2</v>
      </c>
      <c r="M82" s="18">
        <v>0.15</v>
      </c>
      <c r="N82" s="18"/>
    </row>
    <row r="83" spans="3:14" s="13" customFormat="1" ht="7.2" customHeight="1" x14ac:dyDescent="0.3">
      <c r="C83" s="17">
        <v>65</v>
      </c>
      <c r="D83" s="18" cm="1">
        <f t="array" ref="D83">INDEX('New credit'!$A:$O,
MATCH(1,('New credit'!$A:$A=$C83)*('New credit'!$D:$D=D$16), 0),
MATCH(D$17,'New credit'!$1:$1,0))</f>
        <v>0.70149253731343286</v>
      </c>
      <c r="E83" s="18" cm="1">
        <f t="array" ref="E83">INDEX('New credit'!$A:$O,
MATCH(1,('New credit'!$A:$A=$C83)*('New credit'!$D:$D=E$16), 0),
MATCH(E$17,'New credit'!$1:$1,0))</f>
        <v>0.89551724137931021</v>
      </c>
      <c r="F83" s="18" cm="1">
        <f t="array" ref="F83">INDEX('New credit'!$A:$O,
MATCH(1,('New credit'!$A:$A=$C83)*('New credit'!$D:$D=F$16), 0),
MATCH(F$17,'New credit'!$1:$1,0))</f>
        <v>0.81679711839326863</v>
      </c>
      <c r="G83" s="18">
        <f>INDEX('New credit'!$A:$O,
MATCH($C83, 'New credit'!$A:$A, 0),
MATCH(G$17, 'New credit'!$1:$1, 0))</f>
        <v>0.16485167015880431</v>
      </c>
      <c r="H83" s="18">
        <v>0.15</v>
      </c>
      <c r="I83" s="18" cm="1">
        <f t="array" ref="I83">INDEX('Limit raise'!$A:$O,
MATCH(1,('Limit raise'!$A:$A=$C83)*('Limit raise'!$D:$D=I$16), 0),
MATCH(I$17,'Limit raise'!$1:$1,0))</f>
        <v>0.62295081967213117</v>
      </c>
      <c r="J83" s="18" cm="1">
        <f t="array" ref="J83">INDEX('Limit raise'!$A:$O,
MATCH(1,('Limit raise'!$A:$A=$C83)*('Limit raise'!$D:$D=J$16), 0),
MATCH(J$17,'Limit raise'!$1:$1,0))</f>
        <v>0.88999999999999968</v>
      </c>
      <c r="K83" s="18" cm="1">
        <f t="array" ref="K83">INDEX('Limit raise'!$A:$O,
MATCH(1,('Limit raise'!$A:$A=$C83)*('Limit raise'!$D:$D=K$16), 0),
MATCH(K$17,'Limit raise'!$1:$1,0))</f>
        <v>0.76907125383740171</v>
      </c>
      <c r="L83" s="18">
        <f>INDEX('Limit raise'!$A:$O,
MATCH($C83, 'Limit raise'!$A:$A, 0),
MATCH(L$17,'Limit raise'!$1:$1,0))</f>
        <v>9.805464851572071E-2</v>
      </c>
      <c r="M83" s="18">
        <v>0.15</v>
      </c>
      <c r="N83" s="18"/>
    </row>
    <row r="84" spans="3:14" s="13" customFormat="1" ht="7.2" customHeight="1" x14ac:dyDescent="0.3">
      <c r="C84" s="17">
        <v>66</v>
      </c>
      <c r="D84" s="18" cm="1">
        <f t="array" ref="D84">INDEX('New credit'!$A:$O,
MATCH(1,('New credit'!$A:$A=$C84)*('New credit'!$D:$D=D$16), 0),
MATCH(D$17,'New credit'!$1:$1,0))</f>
        <v>0.671875</v>
      </c>
      <c r="E84" s="18" cm="1">
        <f t="array" ref="E84">INDEX('New credit'!$A:$O,
MATCH(1,('New credit'!$A:$A=$C84)*('New credit'!$D:$D=E$16), 0),
MATCH(E$17,'New credit'!$1:$1,0))</f>
        <v>0.89571428571428535</v>
      </c>
      <c r="F84" s="18" cm="1">
        <f t="array" ref="F84">INDEX('New credit'!$A:$O,
MATCH(1,('New credit'!$A:$A=$C84)*('New credit'!$D:$D=F$16), 0),
MATCH(F$17,'New credit'!$1:$1,0))</f>
        <v>0.78421856998460115</v>
      </c>
      <c r="G84" s="18">
        <f>INDEX('New credit'!$A:$O,
MATCH($C84, 'New credit'!$A:$A, 0),
MATCH(G$17, 'New credit'!$1:$1, 0))</f>
        <v>5.3713134207473742E-2</v>
      </c>
      <c r="H84" s="18">
        <v>0.15</v>
      </c>
      <c r="I84" s="18" cm="1">
        <f t="array" ref="I84">INDEX('Limit raise'!$A:$O,
MATCH(1,('Limit raise'!$A:$A=$C84)*('Limit raise'!$D:$D=I$16), 0),
MATCH(I$17,'Limit raise'!$1:$1,0))</f>
        <v>0.65573770491803274</v>
      </c>
      <c r="J84" s="18" cm="1">
        <f t="array" ref="J84">INDEX('Limit raise'!$A:$O,
MATCH(1,('Limit raise'!$A:$A=$C84)*('Limit raise'!$D:$D=J$16), 0),
MATCH(J$17,'Limit raise'!$1:$1,0))</f>
        <v>0.89041666666666641</v>
      </c>
      <c r="K84" s="18" cm="1">
        <f t="array" ref="K84">INDEX('Limit raise'!$A:$O,
MATCH(1,('Limit raise'!$A:$A=$C84)*('Limit raise'!$D:$D=K$16), 0),
MATCH(K$17,'Limit raise'!$1:$1,0))</f>
        <v>0.79831335772084722</v>
      </c>
      <c r="L84" s="18">
        <f>INDEX('Limit raise'!$A:$O,
MATCH($C84, 'Limit raise'!$A:$A, 0),
MATCH(L$17,'Limit raise'!$1:$1,0))</f>
        <v>0.1000415189796045</v>
      </c>
      <c r="M84" s="18">
        <v>0.15</v>
      </c>
      <c r="N84" s="18"/>
    </row>
    <row r="85" spans="3:14" s="13" customFormat="1" ht="7.2" customHeight="1" x14ac:dyDescent="0.3">
      <c r="C85" s="17">
        <v>67</v>
      </c>
      <c r="D85" s="18" cm="1">
        <f t="array" ref="D85">INDEX('New credit'!$A:$O,
MATCH(1,('New credit'!$A:$A=$C85)*('New credit'!$D:$D=D$16), 0),
MATCH(D$17,'New credit'!$1:$1,0))</f>
        <v>0.67142857142857137</v>
      </c>
      <c r="E85" s="18" cm="1">
        <f t="array" ref="E85">INDEX('New credit'!$A:$O,
MATCH(1,('New credit'!$A:$A=$C85)*('New credit'!$D:$D=E$16), 0),
MATCH(E$17,'New credit'!$1:$1,0))</f>
        <v>0.87066666666666648</v>
      </c>
      <c r="F85" s="18" cm="1">
        <f t="array" ref="F85">INDEX('New credit'!$A:$O,
MATCH(1,('New credit'!$A:$A=$C85)*('New credit'!$D:$D=F$16), 0),
MATCH(F$17,'New credit'!$1:$1,0))</f>
        <v>0.77008576725662337</v>
      </c>
      <c r="G85" s="18">
        <f>INDEX('New credit'!$A:$O,
MATCH($C85, 'New credit'!$A:$A, 0),
MATCH(G$17, 'New credit'!$1:$1, 0))</f>
        <v>0.1254775264468955</v>
      </c>
      <c r="H85" s="18">
        <v>0.15</v>
      </c>
      <c r="I85" s="18" cm="1">
        <f t="array" ref="I85">INDEX('Limit raise'!$A:$O,
MATCH(1,('Limit raise'!$A:$A=$C85)*('Limit raise'!$D:$D=I$16), 0),
MATCH(I$17,'Limit raise'!$1:$1,0))</f>
        <v>0.65573770491803274</v>
      </c>
      <c r="J85" s="18" cm="1">
        <f t="array" ref="J85">INDEX('Limit raise'!$A:$O,
MATCH(1,('Limit raise'!$A:$A=$C85)*('Limit raise'!$D:$D=J$16), 0),
MATCH(J$17,'Limit raise'!$1:$1,0))</f>
        <v>0.8907999999999997</v>
      </c>
      <c r="K85" s="18" cm="1">
        <f t="array" ref="K85">INDEX('Limit raise'!$A:$O,
MATCH(1,('Limit raise'!$A:$A=$C85)*('Limit raise'!$D:$D=K$16), 0),
MATCH(K$17,'Limit raise'!$1:$1,0))</f>
        <v>0.79744603074042641</v>
      </c>
      <c r="L85" s="18">
        <f>INDEX('Limit raise'!$A:$O,
MATCH($C85, 'Limit raise'!$A:$A, 0),
MATCH(L$17,'Limit raise'!$1:$1,0))</f>
        <v>9.8734496340869018E-2</v>
      </c>
      <c r="M85" s="18">
        <v>0.15</v>
      </c>
      <c r="N85" s="18"/>
    </row>
    <row r="86" spans="3:14" s="13" customFormat="1" ht="7.2" customHeight="1" x14ac:dyDescent="0.3">
      <c r="C86" s="17">
        <v>68</v>
      </c>
      <c r="D86" s="18" cm="1">
        <f t="array" ref="D86">INDEX('New credit'!$A:$O,
MATCH(1,('New credit'!$A:$A=$C86)*('New credit'!$D:$D=D$16), 0),
MATCH(D$17,'New credit'!$1:$1,0))</f>
        <v>0.72058823529411764</v>
      </c>
      <c r="E86" s="18" cm="1">
        <f t="array" ref="E86">INDEX('New credit'!$A:$O,
MATCH(1,('New credit'!$A:$A=$C86)*('New credit'!$D:$D=E$16), 0),
MATCH(E$17,'New credit'!$1:$1,0))</f>
        <v>0.86363636363636342</v>
      </c>
      <c r="F86" s="18" cm="1">
        <f t="array" ref="F86">INDEX('New credit'!$A:$O,
MATCH(1,('New credit'!$A:$A=$C86)*('New credit'!$D:$D=F$16), 0),
MATCH(F$17,'New credit'!$1:$1,0))</f>
        <v>0.69293482033607567</v>
      </c>
      <c r="G86" s="18">
        <f>INDEX('New credit'!$A:$O,
MATCH($C86, 'New credit'!$A:$A, 0),
MATCH(G$17, 'New credit'!$1:$1, 0))</f>
        <v>0.16534479385370901</v>
      </c>
      <c r="H86" s="18">
        <v>0.15</v>
      </c>
      <c r="I86" s="18" cm="1">
        <f t="array" ref="I86">INDEX('Limit raise'!$A:$O,
MATCH(1,('Limit raise'!$A:$A=$C86)*('Limit raise'!$D:$D=I$16), 0),
MATCH(I$17,'Limit raise'!$1:$1,0))</f>
        <v>0.68333333333333335</v>
      </c>
      <c r="J86" s="18" cm="1">
        <f t="array" ref="J86">INDEX('Limit raise'!$A:$O,
MATCH(1,('Limit raise'!$A:$A=$C86)*('Limit raise'!$D:$D=J$16), 0),
MATCH(J$17,'Limit raise'!$1:$1,0))</f>
        <v>0.89119999999999977</v>
      </c>
      <c r="K86" s="18" cm="1">
        <f t="array" ref="K86">INDEX('Limit raise'!$A:$O,
MATCH(1,('Limit raise'!$A:$A=$C86)*('Limit raise'!$D:$D=K$16), 0),
MATCH(K$17,'Limit raise'!$1:$1,0))</f>
        <v>0.79370326845435679</v>
      </c>
      <c r="L86" s="18">
        <f>INDEX('Limit raise'!$A:$O,
MATCH($C86, 'Limit raise'!$A:$A, 0),
MATCH(L$17,'Limit raise'!$1:$1,0))</f>
        <v>0.1029167690923139</v>
      </c>
      <c r="M86" s="18">
        <v>0.15</v>
      </c>
      <c r="N86" s="18"/>
    </row>
    <row r="87" spans="3:14" s="13" customFormat="1" ht="7.2" customHeight="1" x14ac:dyDescent="0.3">
      <c r="C87" s="17">
        <v>69</v>
      </c>
      <c r="D87" s="18" cm="1">
        <f t="array" ref="D87">INDEX('New credit'!$A:$O,
MATCH(1,('New credit'!$A:$A=$C87)*('New credit'!$D:$D=D$16), 0),
MATCH(D$17,'New credit'!$1:$1,0))</f>
        <v>0.765625</v>
      </c>
      <c r="E87" s="18" cm="1">
        <f t="array" ref="E87">INDEX('New credit'!$A:$O,
MATCH(1,('New credit'!$A:$A=$C87)*('New credit'!$D:$D=E$16), 0),
MATCH(E$17,'New credit'!$1:$1,0))</f>
        <v>0.86515151515151489</v>
      </c>
      <c r="F87" s="18" cm="1">
        <f t="array" ref="F87">INDEX('New credit'!$A:$O,
MATCH(1,('New credit'!$A:$A=$C87)*('New credit'!$D:$D=F$16), 0),
MATCH(F$17,'New credit'!$1:$1,0))</f>
        <v>0.71676508930601479</v>
      </c>
      <c r="G87" s="18">
        <f>INDEX('New credit'!$A:$O,
MATCH($C87, 'New credit'!$A:$A, 0),
MATCH(G$17, 'New credit'!$1:$1, 0))</f>
        <v>9.1188072708564175E-2</v>
      </c>
      <c r="H87" s="18">
        <v>0.15</v>
      </c>
      <c r="I87" s="18" cm="1">
        <f t="array" ref="I87">INDEX('Limit raise'!$A:$O,
MATCH(1,('Limit raise'!$A:$A=$C87)*('Limit raise'!$D:$D=I$16), 0),
MATCH(I$17,'Limit raise'!$1:$1,0))</f>
        <v>0.68852459016393441</v>
      </c>
      <c r="J87" s="18" cm="1">
        <f t="array" ref="J87">INDEX('Limit raise'!$A:$O,
MATCH(1,('Limit raise'!$A:$A=$C87)*('Limit raise'!$D:$D=J$16), 0),
MATCH(J$17,'Limit raise'!$1:$1,0))</f>
        <v>0.89153846153846128</v>
      </c>
      <c r="K87" s="18" cm="1">
        <f t="array" ref="K87">INDEX('Limit raise'!$A:$O,
MATCH(1,('Limit raise'!$A:$A=$C87)*('Limit raise'!$D:$D=K$16), 0),
MATCH(K$17,'Limit raise'!$1:$1,0))</f>
        <v>0.79322385335466694</v>
      </c>
      <c r="L87" s="18">
        <f>INDEX('Limit raise'!$A:$O,
MATCH($C87, 'Limit raise'!$A:$A, 0),
MATCH(L$17,'Limit raise'!$1:$1,0))</f>
        <v>0.1021365650131873</v>
      </c>
      <c r="M87" s="18">
        <v>0.15</v>
      </c>
      <c r="N87" s="18"/>
    </row>
    <row r="88" spans="3:14" s="13" customFormat="1" ht="7.2" customHeight="1" x14ac:dyDescent="0.3">
      <c r="C88" s="17">
        <v>70</v>
      </c>
      <c r="D88" s="18" cm="1">
        <f t="array" ref="D88">INDEX('New credit'!$A:$O,
MATCH(1,('New credit'!$A:$A=$C88)*('New credit'!$D:$D=D$16), 0),
MATCH(D$17,'New credit'!$1:$1,0))</f>
        <v>0.6470588235294118</v>
      </c>
      <c r="E88" s="18" cm="1">
        <f t="array" ref="E88">INDEX('New credit'!$A:$O,
MATCH(1,('New credit'!$A:$A=$C88)*('New credit'!$D:$D=E$16), 0),
MATCH(E$17,'New credit'!$1:$1,0))</f>
        <v>0.86062499999999997</v>
      </c>
      <c r="F88" s="18" cm="1">
        <f t="array" ref="F88">INDEX('New credit'!$A:$O,
MATCH(1,('New credit'!$A:$A=$C88)*('New credit'!$D:$D=F$16), 0),
MATCH(F$17,'New credit'!$1:$1,0))</f>
        <v>0.73263123559820054</v>
      </c>
      <c r="G88" s="18">
        <f>INDEX('New credit'!$A:$O,
MATCH($C88, 'New credit'!$A:$A, 0),
MATCH(G$17, 'New credit'!$1:$1, 0))</f>
        <v>1</v>
      </c>
      <c r="H88" s="18">
        <v>0.15</v>
      </c>
      <c r="I88" s="18" cm="1">
        <f t="array" ref="I88">INDEX('Limit raise'!$A:$O,
MATCH(1,('Limit raise'!$A:$A=$C88)*('Limit raise'!$D:$D=I$16), 0),
MATCH(I$17,'Limit raise'!$1:$1,0))</f>
        <v>0.7</v>
      </c>
      <c r="J88" s="18" cm="1">
        <f t="array" ref="J88">INDEX('Limit raise'!$A:$O,
MATCH(1,('Limit raise'!$A:$A=$C88)*('Limit raise'!$D:$D=J$16), 0),
MATCH(J$17,'Limit raise'!$1:$1,0))</f>
        <v>0.89115384615384585</v>
      </c>
      <c r="K88" s="18" cm="1">
        <f t="array" ref="K88">INDEX('Limit raise'!$A:$O,
MATCH(1,('Limit raise'!$A:$A=$C88)*('Limit raise'!$D:$D=K$16), 0),
MATCH(K$17,'Limit raise'!$1:$1,0))</f>
        <v>0.78653532593935627</v>
      </c>
      <c r="L88" s="18">
        <f>INDEX('Limit raise'!$A:$O,
MATCH($C88, 'Limit raise'!$A:$A, 0),
MATCH(L$17,'Limit raise'!$1:$1,0))</f>
        <v>0.1010587620626523</v>
      </c>
      <c r="M88" s="18">
        <v>0.15</v>
      </c>
      <c r="N88" s="18"/>
    </row>
    <row r="89" spans="3:14" s="13" customFormat="1" ht="7.2" customHeight="1" x14ac:dyDescent="0.3">
      <c r="C89" s="17">
        <v>71</v>
      </c>
      <c r="D89" s="18" cm="1">
        <f t="array" ref="D89">INDEX('New credit'!$A:$O,
MATCH(1,('New credit'!$A:$A=$C89)*('New credit'!$D:$D=D$16), 0),
MATCH(D$17,'New credit'!$1:$1,0))</f>
        <v>0.69696969696969702</v>
      </c>
      <c r="E89" s="18" cm="1">
        <f t="array" ref="E89">INDEX('New credit'!$A:$O,
MATCH(1,('New credit'!$A:$A=$C89)*('New credit'!$D:$D=E$16), 0),
MATCH(E$17,'New credit'!$1:$1,0))</f>
        <v>0.86399999999999977</v>
      </c>
      <c r="F89" s="18" cm="1">
        <f t="array" ref="F89">INDEX('New credit'!$A:$O,
MATCH(1,('New credit'!$A:$A=$C89)*('New credit'!$D:$D=F$16), 0),
MATCH(F$17,'New credit'!$1:$1,0))</f>
        <v>0.68163276687990049</v>
      </c>
      <c r="G89" s="18">
        <f>INDEX('New credit'!$A:$O,
MATCH($C89, 'New credit'!$A:$A, 0),
MATCH(G$17, 'New credit'!$1:$1, 0))</f>
        <v>0.10715112468227431</v>
      </c>
      <c r="H89" s="18">
        <v>0.15</v>
      </c>
      <c r="I89" s="18" cm="1">
        <f t="array" ref="I89">INDEX('Limit raise'!$A:$O,
MATCH(1,('Limit raise'!$A:$A=$C89)*('Limit raise'!$D:$D=I$16), 0),
MATCH(I$17,'Limit raise'!$1:$1,0))</f>
        <v>0.68333333333333335</v>
      </c>
      <c r="J89" s="18" cm="1">
        <f t="array" ref="J89">INDEX('Limit raise'!$A:$O,
MATCH(1,('Limit raise'!$A:$A=$C89)*('Limit raise'!$D:$D=J$16), 0),
MATCH(J$17,'Limit raise'!$1:$1,0))</f>
        <v>0.89192307692307671</v>
      </c>
      <c r="K89" s="18" cm="1">
        <f t="array" ref="K89">INDEX('Limit raise'!$A:$O,
MATCH(1,('Limit raise'!$A:$A=$C89)*('Limit raise'!$D:$D=K$16), 0),
MATCH(K$17,'Limit raise'!$1:$1,0))</f>
        <v>0.77044029158463545</v>
      </c>
      <c r="L89" s="18">
        <f>INDEX('Limit raise'!$A:$O,
MATCH($C89, 'Limit raise'!$A:$A, 0),
MATCH(L$17,'Limit raise'!$1:$1,0))</f>
        <v>0.1012207068837407</v>
      </c>
      <c r="M89" s="18">
        <v>0.15</v>
      </c>
      <c r="N89" s="18"/>
    </row>
    <row r="90" spans="3:14" s="13" customFormat="1" ht="7.2" customHeight="1" x14ac:dyDescent="0.3">
      <c r="C90" s="17">
        <v>72</v>
      </c>
      <c r="D90" s="18" cm="1">
        <f t="array" ref="D90">INDEX('New credit'!$A:$O,
MATCH(1,('New credit'!$A:$A=$C90)*('New credit'!$D:$D=D$16), 0),
MATCH(D$17,'New credit'!$1:$1,0))</f>
        <v>0.68493150684931503</v>
      </c>
      <c r="E90" s="18" cm="1">
        <f t="array" ref="E90">INDEX('New credit'!$A:$O,
MATCH(1,('New credit'!$A:$A=$C90)*('New credit'!$D:$D=E$16), 0),
MATCH(E$17,'New credit'!$1:$1,0))</f>
        <v>0.8703333333333334</v>
      </c>
      <c r="F90" s="18" cm="1">
        <f t="array" ref="F90">INDEX('New credit'!$A:$O,
MATCH(1,('New credit'!$A:$A=$C90)*('New credit'!$D:$D=F$16), 0),
MATCH(F$17,'New credit'!$1:$1,0))</f>
        <v>0.77560999594725466</v>
      </c>
      <c r="G90" s="18">
        <f>INDEX('New credit'!$A:$O,
MATCH($C90, 'New credit'!$A:$A, 0),
MATCH(G$17, 'New credit'!$1:$1, 0))</f>
        <v>0.18430274274544081</v>
      </c>
      <c r="H90" s="18">
        <v>0.15</v>
      </c>
      <c r="I90" s="18" cm="1">
        <f t="array" ref="I90">INDEX('Limit raise'!$A:$O,
MATCH(1,('Limit raise'!$A:$A=$C90)*('Limit raise'!$D:$D=I$16), 0),
MATCH(I$17,'Limit raise'!$1:$1,0))</f>
        <v>0.7</v>
      </c>
      <c r="J90" s="18" cm="1">
        <f t="array" ref="J90">INDEX('Limit raise'!$A:$O,
MATCH(1,('Limit raise'!$A:$A=$C90)*('Limit raise'!$D:$D=J$16), 0),
MATCH(J$17,'Limit raise'!$1:$1,0))</f>
        <v>0.89192307692307671</v>
      </c>
      <c r="K90" s="18" cm="1">
        <f t="array" ref="K90">INDEX('Limit raise'!$A:$O,
MATCH(1,('Limit raise'!$A:$A=$C90)*('Limit raise'!$D:$D=K$16), 0),
MATCH(K$17,'Limit raise'!$1:$1,0))</f>
        <v>0.77013290816359103</v>
      </c>
      <c r="L90" s="18">
        <f>INDEX('Limit raise'!$A:$O,
MATCH($C90, 'Limit raise'!$A:$A, 0),
MATCH(L$17,'Limit raise'!$1:$1,0))</f>
        <v>9.6075074416086564E-2</v>
      </c>
      <c r="M90" s="18">
        <v>0.15</v>
      </c>
      <c r="N90" s="18"/>
    </row>
    <row r="91" spans="3:14" s="13" customFormat="1" ht="7.2" customHeight="1" x14ac:dyDescent="0.3">
      <c r="C91" s="17">
        <v>73</v>
      </c>
      <c r="D91" s="18" cm="1">
        <f t="array" ref="D91">INDEX('New credit'!$A:$O,
MATCH(1,('New credit'!$A:$A=$C91)*('New credit'!$D:$D=D$16), 0),
MATCH(D$17,'New credit'!$1:$1,0))</f>
        <v>0.69863013698630139</v>
      </c>
      <c r="E91" s="18" cm="1">
        <f t="array" ref="E91">INDEX('New credit'!$A:$O,
MATCH(1,('New credit'!$A:$A=$C91)*('New credit'!$D:$D=E$16), 0),
MATCH(E$17,'New credit'!$1:$1,0))</f>
        <v>0.87354838709677407</v>
      </c>
      <c r="F91" s="18" cm="1">
        <f t="array" ref="F91">INDEX('New credit'!$A:$O,
MATCH(1,('New credit'!$A:$A=$C91)*('New credit'!$D:$D=F$16), 0),
MATCH(F$17,'New credit'!$1:$1,0))</f>
        <v>0.80834934293144189</v>
      </c>
      <c r="G91" s="18">
        <f>INDEX('New credit'!$A:$O,
MATCH($C91, 'New credit'!$A:$A, 0),
MATCH(G$17, 'New credit'!$1:$1, 0))</f>
        <v>1</v>
      </c>
      <c r="H91" s="18">
        <v>0.15</v>
      </c>
      <c r="I91" s="18" cm="1">
        <f t="array" ref="I91">INDEX('Limit raise'!$A:$O,
MATCH(1,('Limit raise'!$A:$A=$C91)*('Limit raise'!$D:$D=I$16), 0),
MATCH(I$17,'Limit raise'!$1:$1,0))</f>
        <v>0.71666666666666667</v>
      </c>
      <c r="J91" s="18" cm="1">
        <f t="array" ref="J91">INDEX('Limit raise'!$A:$O,
MATCH(1,('Limit raise'!$A:$A=$C91)*('Limit raise'!$D:$D=J$16), 0),
MATCH(J$17,'Limit raise'!$1:$1,0))</f>
        <v>0.89407407407407391</v>
      </c>
      <c r="K91" s="18" cm="1">
        <f t="array" ref="K91">INDEX('Limit raise'!$A:$O,
MATCH(1,('Limit raise'!$A:$A=$C91)*('Limit raise'!$D:$D=K$16), 0),
MATCH(K$17,'Limit raise'!$1:$1,0))</f>
        <v>0.81186551028278475</v>
      </c>
      <c r="L91" s="18">
        <f>INDEX('Limit raise'!$A:$O,
MATCH($C91, 'Limit raise'!$A:$A, 0),
MATCH(L$17,'Limit raise'!$1:$1,0))</f>
        <v>9.4248552870295557E-2</v>
      </c>
      <c r="M91" s="18">
        <v>0.15</v>
      </c>
      <c r="N91" s="18"/>
    </row>
    <row r="92" spans="3:14" s="13" customFormat="1" ht="7.2" customHeight="1" x14ac:dyDescent="0.3">
      <c r="C92" s="17">
        <v>74</v>
      </c>
      <c r="D92" s="18" cm="1">
        <f t="array" ref="D92">INDEX('New credit'!$A:$O,
MATCH(1,('New credit'!$A:$A=$C92)*('New credit'!$D:$D=D$16), 0),
MATCH(D$17,'New credit'!$1:$1,0))</f>
        <v>0.73972602739726023</v>
      </c>
      <c r="E92" s="18" cm="1">
        <f t="array" ref="E92">INDEX('New credit'!$A:$O,
MATCH(1,('New credit'!$A:$A=$C92)*('New credit'!$D:$D=E$16), 0),
MATCH(E$17,'New credit'!$1:$1,0))</f>
        <v>0.84843750000000007</v>
      </c>
      <c r="F92" s="18" cm="1">
        <f t="array" ref="F92">INDEX('New credit'!$A:$O,
MATCH(1,('New credit'!$A:$A=$C92)*('New credit'!$D:$D=F$16), 0),
MATCH(F$17,'New credit'!$1:$1,0))</f>
        <v>0.77345572086735115</v>
      </c>
      <c r="G92" s="18">
        <f>INDEX('New credit'!$A:$O,
MATCH($C92, 'New credit'!$A:$A, 0),
MATCH(G$17, 'New credit'!$1:$1, 0))</f>
        <v>6.4030739139251974E-2</v>
      </c>
      <c r="H92" s="18">
        <v>0.15</v>
      </c>
      <c r="I92" s="18" cm="1">
        <f t="array" ref="I92">INDEX('Limit raise'!$A:$O,
MATCH(1,('Limit raise'!$A:$A=$C92)*('Limit raise'!$D:$D=I$16), 0),
MATCH(I$17,'Limit raise'!$1:$1,0))</f>
        <v>0.71186440677966101</v>
      </c>
      <c r="J92" s="18" cm="1">
        <f t="array" ref="J92">INDEX('Limit raise'!$A:$O,
MATCH(1,('Limit raise'!$A:$A=$C92)*('Limit raise'!$D:$D=J$16), 0),
MATCH(J$17,'Limit raise'!$1:$1,0))</f>
        <v>0.89481481481481473</v>
      </c>
      <c r="K92" s="18" cm="1">
        <f t="array" ref="K92">INDEX('Limit raise'!$A:$O,
MATCH(1,('Limit raise'!$A:$A=$C92)*('Limit raise'!$D:$D=K$16), 0),
MATCH(K$17,'Limit raise'!$1:$1,0))</f>
        <v>0.83076092158229398</v>
      </c>
      <c r="L92" s="18">
        <f>INDEX('Limit raise'!$A:$O,
MATCH($C92, 'Limit raise'!$A:$A, 0),
MATCH(L$17,'Limit raise'!$1:$1,0))</f>
        <v>9.2272098900126998E-2</v>
      </c>
      <c r="M92" s="18">
        <v>0.15</v>
      </c>
      <c r="N92" s="18"/>
    </row>
    <row r="93" spans="3:14" s="13" customFormat="1" ht="7.2" customHeight="1" x14ac:dyDescent="0.3">
      <c r="C93" s="17">
        <v>75</v>
      </c>
      <c r="D93" s="18" cm="1">
        <f t="array" ref="D93">INDEX('New credit'!$A:$O,
MATCH(1,('New credit'!$A:$A=$C93)*('New credit'!$D:$D=D$16), 0),
MATCH(D$17,'New credit'!$1:$1,0))</f>
        <v>0.70422535211267601</v>
      </c>
      <c r="E93" s="18" cm="1">
        <f t="array" ref="E93">INDEX('New credit'!$A:$O,
MATCH(1,('New credit'!$A:$A=$C93)*('New credit'!$D:$D=E$16), 0),
MATCH(E$17,'New credit'!$1:$1,0))</f>
        <v>0.85257142857142854</v>
      </c>
      <c r="F93" s="18" cm="1">
        <f t="array" ref="F93">INDEX('New credit'!$A:$O,
MATCH(1,('New credit'!$A:$A=$C93)*('New credit'!$D:$D=F$16), 0),
MATCH(F$17,'New credit'!$1:$1,0))</f>
        <v>0.7450592529535891</v>
      </c>
      <c r="G93" s="18">
        <f>INDEX('New credit'!$A:$O,
MATCH($C93, 'New credit'!$A:$A, 0),
MATCH(G$17, 'New credit'!$1:$1, 0))</f>
        <v>0.1080485386945983</v>
      </c>
      <c r="H93" s="18">
        <v>0.15</v>
      </c>
      <c r="I93" s="18" cm="1">
        <f t="array" ref="I93">INDEX('Limit raise'!$A:$O,
MATCH(1,('Limit raise'!$A:$A=$C93)*('Limit raise'!$D:$D=I$16), 0),
MATCH(I$17,'Limit raise'!$1:$1,0))</f>
        <v>0.75438596491228072</v>
      </c>
      <c r="J93" s="18" cm="1">
        <f t="array" ref="J93">INDEX('Limit raise'!$A:$O,
MATCH(1,('Limit raise'!$A:$A=$C93)*('Limit raise'!$D:$D=J$16), 0),
MATCH(J$17,'Limit raise'!$1:$1,0))</f>
        <v>0.89592592592592579</v>
      </c>
      <c r="K93" s="18" cm="1">
        <f t="array" ref="K93">INDEX('Limit raise'!$A:$O,
MATCH(1,('Limit raise'!$A:$A=$C93)*('Limit raise'!$D:$D=K$16), 0),
MATCH(K$17,'Limit raise'!$1:$1,0))</f>
        <v>0.83031330872817466</v>
      </c>
      <c r="L93" s="18">
        <f>INDEX('Limit raise'!$A:$O,
MATCH($C93, 'Limit raise'!$A:$A, 0),
MATCH(L$17,'Limit raise'!$1:$1,0))</f>
        <v>9.2126462699924208E-2</v>
      </c>
      <c r="M93" s="18">
        <v>0.15</v>
      </c>
      <c r="N93" s="18"/>
    </row>
    <row r="94" spans="3:14" s="13" customFormat="1" ht="7.2" customHeight="1" x14ac:dyDescent="0.3">
      <c r="C94" s="17">
        <v>76</v>
      </c>
      <c r="D94" s="18" cm="1">
        <f t="array" ref="D94">INDEX('New credit'!$A:$O,
MATCH(1,('New credit'!$A:$A=$C94)*('New credit'!$D:$D=D$16), 0),
MATCH(D$17,'New credit'!$1:$1,0))</f>
        <v>0.69444444444444442</v>
      </c>
      <c r="E94" s="18" cm="1">
        <f t="array" ref="E94">INDEX('New credit'!$A:$O,
MATCH(1,('New credit'!$A:$A=$C94)*('New credit'!$D:$D=E$16), 0),
MATCH(E$17,'New credit'!$1:$1,0))</f>
        <v>0.89499999999999991</v>
      </c>
      <c r="F94" s="18" cm="1">
        <f t="array" ref="F94">INDEX('New credit'!$A:$O,
MATCH(1,('New credit'!$A:$A=$C94)*('New credit'!$D:$D=F$16), 0),
MATCH(F$17,'New credit'!$1:$1,0))</f>
        <v>0.76826716243049309</v>
      </c>
      <c r="G94" s="18">
        <f>INDEX('New credit'!$A:$O,
MATCH($C94, 'New credit'!$A:$A, 0),
MATCH(G$17, 'New credit'!$1:$1, 0))</f>
        <v>1</v>
      </c>
      <c r="H94" s="18">
        <v>0.15</v>
      </c>
      <c r="I94" s="18" cm="1">
        <f t="array" ref="I94">INDEX('Limit raise'!$A:$O,
MATCH(1,('Limit raise'!$A:$A=$C94)*('Limit raise'!$D:$D=I$16), 0),
MATCH(I$17,'Limit raise'!$1:$1,0))</f>
        <v>0.7068965517241379</v>
      </c>
      <c r="J94" s="18" cm="1">
        <f t="array" ref="J94">INDEX('Limit raise'!$A:$O,
MATCH(1,('Limit raise'!$A:$A=$C94)*('Limit raise'!$D:$D=J$16), 0),
MATCH(J$17,'Limit raise'!$1:$1,0))</f>
        <v>0.89481481481481473</v>
      </c>
      <c r="K94" s="18" cm="1">
        <f t="array" ref="K94">INDEX('Limit raise'!$A:$O,
MATCH(1,('Limit raise'!$A:$A=$C94)*('Limit raise'!$D:$D=K$16), 0),
MATCH(K$17,'Limit raise'!$1:$1,0))</f>
        <v>0.81003981971411343</v>
      </c>
      <c r="L94" s="18">
        <f>INDEX('Limit raise'!$A:$O,
MATCH($C94, 'Limit raise'!$A:$A, 0),
MATCH(L$17,'Limit raise'!$1:$1,0))</f>
        <v>9.6285785449277628E-2</v>
      </c>
      <c r="M94" s="18">
        <v>0.15</v>
      </c>
      <c r="N94" s="18"/>
    </row>
    <row r="95" spans="3:14" s="13" customFormat="1" ht="7.2" customHeight="1" x14ac:dyDescent="0.3">
      <c r="C95" s="17">
        <v>77</v>
      </c>
      <c r="D95" s="18" cm="1">
        <f t="array" ref="D95">INDEX('New credit'!$A:$O,
MATCH(1,('New credit'!$A:$A=$C95)*('New credit'!$D:$D=D$16), 0),
MATCH(D$17,'New credit'!$1:$1,0))</f>
        <v>0.70149253731343286</v>
      </c>
      <c r="E95" s="18" cm="1">
        <f t="array" ref="E95">INDEX('New credit'!$A:$O,
MATCH(1,('New credit'!$A:$A=$C95)*('New credit'!$D:$D=E$16), 0),
MATCH(E$17,'New credit'!$1:$1,0))</f>
        <v>0.88879999999999992</v>
      </c>
      <c r="F95" s="18" cm="1">
        <f t="array" ref="F95">INDEX('New credit'!$A:$O,
MATCH(1,('New credit'!$A:$A=$C95)*('New credit'!$D:$D=F$16), 0),
MATCH(F$17,'New credit'!$1:$1,0))</f>
        <v>0.67966706747070982</v>
      </c>
      <c r="G95" s="18">
        <f>INDEX('New credit'!$A:$O,
MATCH($C95, 'New credit'!$A:$A, 0),
MATCH(G$17, 'New credit'!$1:$1, 0))</f>
        <v>0.1105562495217106</v>
      </c>
      <c r="H95" s="18">
        <v>0.15</v>
      </c>
      <c r="I95" s="18" cm="1">
        <f t="array" ref="I95">INDEX('Limit raise'!$A:$O,
MATCH(1,('Limit raise'!$A:$A=$C95)*('Limit raise'!$D:$D=I$16), 0),
MATCH(I$17,'Limit raise'!$1:$1,0))</f>
        <v>0.73684210526315785</v>
      </c>
      <c r="J95" s="18" cm="1">
        <f t="array" ref="J95">INDEX('Limit raise'!$A:$O,
MATCH(1,('Limit raise'!$A:$A=$C95)*('Limit raise'!$D:$D=J$16), 0),
MATCH(J$17,'Limit raise'!$1:$1,0))</f>
        <v>0.89481481481481473</v>
      </c>
      <c r="K95" s="18" cm="1">
        <f t="array" ref="K95">INDEX('Limit raise'!$A:$O,
MATCH(1,('Limit raise'!$A:$A=$C95)*('Limit raise'!$D:$D=K$16), 0),
MATCH(K$17,'Limit raise'!$1:$1,0))</f>
        <v>0.83561127072044739</v>
      </c>
      <c r="L95" s="18">
        <f>INDEX('Limit raise'!$A:$O,
MATCH($C95, 'Limit raise'!$A:$A, 0),
MATCH(L$17,'Limit raise'!$1:$1,0))</f>
        <v>9.8038501687038829E-2</v>
      </c>
      <c r="M95" s="18">
        <v>0.15</v>
      </c>
      <c r="N95" s="18"/>
    </row>
    <row r="96" spans="3:14" s="13" customFormat="1" ht="7.2" customHeight="1" x14ac:dyDescent="0.3">
      <c r="C96" s="17">
        <v>78</v>
      </c>
      <c r="D96" s="18" cm="1">
        <f t="array" ref="D96">INDEX('New credit'!$A:$O,
MATCH(1,('New credit'!$A:$A=$C96)*('New credit'!$D:$D=D$16), 0),
MATCH(D$17,'New credit'!$1:$1,0))</f>
        <v>0.72058823529411764</v>
      </c>
      <c r="E96" s="18" cm="1">
        <f t="array" ref="E96">INDEX('New credit'!$A:$O,
MATCH(1,('New credit'!$A:$A=$C96)*('New credit'!$D:$D=E$16), 0),
MATCH(E$17,'New credit'!$1:$1,0))</f>
        <v>0.89222222222222225</v>
      </c>
      <c r="F96" s="18" cm="1">
        <f t="array" ref="F96">INDEX('New credit'!$A:$O,
MATCH(1,('New credit'!$A:$A=$C96)*('New credit'!$D:$D=F$16), 0),
MATCH(F$17,'New credit'!$1:$1,0))</f>
        <v>0.75071470226144976</v>
      </c>
      <c r="G96" s="18">
        <f>INDEX('New credit'!$A:$O,
MATCH($C96, 'New credit'!$A:$A, 0),
MATCH(G$17, 'New credit'!$1:$1, 0))</f>
        <v>1</v>
      </c>
      <c r="H96" s="18">
        <v>0.15</v>
      </c>
      <c r="I96" s="18" cm="1">
        <f t="array" ref="I96">INDEX('Limit raise'!$A:$O,
MATCH(1,('Limit raise'!$A:$A=$C96)*('Limit raise'!$D:$D=I$16), 0),
MATCH(I$17,'Limit raise'!$1:$1,0))</f>
        <v>0.7321428571428571</v>
      </c>
      <c r="J96" s="18" cm="1">
        <f t="array" ref="J96">INDEX('Limit raise'!$A:$O,
MATCH(1,('Limit raise'!$A:$A=$C96)*('Limit raise'!$D:$D=J$16), 0),
MATCH(J$17,'Limit raise'!$1:$1,0))</f>
        <v>0.89785714285714291</v>
      </c>
      <c r="K96" s="18" cm="1">
        <f t="array" ref="K96">INDEX('Limit raise'!$A:$O,
MATCH(1,('Limit raise'!$A:$A=$C96)*('Limit raise'!$D:$D=K$16), 0),
MATCH(K$17,'Limit raise'!$1:$1,0))</f>
        <v>0.83372090466034632</v>
      </c>
      <c r="L96" s="18">
        <f>INDEX('Limit raise'!$A:$O,
MATCH($C96, 'Limit raise'!$A:$A, 0),
MATCH(L$17,'Limit raise'!$1:$1,0))</f>
        <v>9.9685377435356479E-2</v>
      </c>
      <c r="M96" s="18">
        <v>0.15</v>
      </c>
      <c r="N96" s="18"/>
    </row>
    <row r="97" spans="3:14" s="13" customFormat="1" ht="7.2" customHeight="1" x14ac:dyDescent="0.3">
      <c r="C97" s="17">
        <v>79</v>
      </c>
      <c r="D97" s="18" cm="1">
        <f t="array" ref="D97">INDEX('New credit'!$A:$O,
MATCH(1,('New credit'!$A:$A=$C97)*('New credit'!$D:$D=D$16), 0),
MATCH(D$17,'New credit'!$1:$1,0))</f>
        <v>0.71666666666666667</v>
      </c>
      <c r="E97" s="18" cm="1">
        <f t="array" ref="E97">INDEX('New credit'!$A:$O,
MATCH(1,('New credit'!$A:$A=$C97)*('New credit'!$D:$D=E$16), 0),
MATCH(E$17,'New credit'!$1:$1,0))</f>
        <v>0.89461538461538437</v>
      </c>
      <c r="F97" s="18" cm="1">
        <f t="array" ref="F97">INDEX('New credit'!$A:$O,
MATCH(1,('New credit'!$A:$A=$C97)*('New credit'!$D:$D=F$16), 0),
MATCH(F$17,'New credit'!$1:$1,0))</f>
        <v>0.78045682849053633</v>
      </c>
      <c r="G97" s="18">
        <f>INDEX('New credit'!$A:$O,
MATCH($C97, 'New credit'!$A:$A, 0),
MATCH(G$17, 'New credit'!$1:$1, 0))</f>
        <v>1</v>
      </c>
      <c r="H97" s="18">
        <v>0.15</v>
      </c>
      <c r="I97" s="18" cm="1">
        <f t="array" ref="I97">INDEX('Limit raise'!$A:$O,
MATCH(1,('Limit raise'!$A:$A=$C97)*('Limit raise'!$D:$D=I$16), 0),
MATCH(I$17,'Limit raise'!$1:$1,0))</f>
        <v>0.7192982456140351</v>
      </c>
      <c r="J97" s="18" cm="1">
        <f t="array" ref="J97">INDEX('Limit raise'!$A:$O,
MATCH(1,('Limit raise'!$A:$A=$C97)*('Limit raise'!$D:$D=J$16), 0),
MATCH(J$17,'Limit raise'!$1:$1,0))</f>
        <v>0.89777777777777756</v>
      </c>
      <c r="K97" s="18" cm="1">
        <f t="array" ref="K97">INDEX('Limit raise'!$A:$O,
MATCH(1,('Limit raise'!$A:$A=$C97)*('Limit raise'!$D:$D=K$16), 0),
MATCH(K$17,'Limit raise'!$1:$1,0))</f>
        <v>0.82405924614791637</v>
      </c>
      <c r="L97" s="18">
        <f>INDEX('Limit raise'!$A:$O,
MATCH($C97, 'Limit raise'!$A:$A, 0),
MATCH(L$17,'Limit raise'!$1:$1,0))</f>
        <v>9.9227466373369239E-2</v>
      </c>
      <c r="M97" s="18">
        <v>0.15</v>
      </c>
      <c r="N97" s="18"/>
    </row>
    <row r="98" spans="3:14" s="13" customFormat="1" ht="7.2" customHeight="1" x14ac:dyDescent="0.3">
      <c r="C98" s="17">
        <v>80</v>
      </c>
      <c r="D98" s="18" cm="1">
        <f t="array" ref="D98">INDEX('New credit'!$A:$O,
MATCH(1,('New credit'!$A:$A=$C98)*('New credit'!$D:$D=D$16), 0),
MATCH(D$17,'New credit'!$1:$1,0))</f>
        <v>0.73134328358208955</v>
      </c>
      <c r="E98" s="18" cm="1">
        <f t="array" ref="E98">INDEX('New credit'!$A:$O,
MATCH(1,('New credit'!$A:$A=$C98)*('New credit'!$D:$D=E$16), 0),
MATCH(E$17,'New credit'!$1:$1,0))</f>
        <v>0.89666666666666628</v>
      </c>
      <c r="F98" s="18" cm="1">
        <f t="array" ref="F98">INDEX('New credit'!$A:$O,
MATCH(1,('New credit'!$A:$A=$C98)*('New credit'!$D:$D=F$16), 0),
MATCH(F$17,'New credit'!$1:$1,0))</f>
        <v>0.76164549195801479</v>
      </c>
      <c r="G98" s="18">
        <f>INDEX('New credit'!$A:$O,
MATCH($C98, 'New credit'!$A:$A, 0),
MATCH(G$17, 'New credit'!$1:$1, 0))</f>
        <v>1</v>
      </c>
      <c r="H98" s="18">
        <v>0.15</v>
      </c>
      <c r="I98" s="18" cm="1">
        <f t="array" ref="I98">INDEX('Limit raise'!$A:$O,
MATCH(1,('Limit raise'!$A:$A=$C98)*('Limit raise'!$D:$D=I$16), 0),
MATCH(I$17,'Limit raise'!$1:$1,0))</f>
        <v>0.7321428571428571</v>
      </c>
      <c r="J98" s="18" cm="1">
        <f t="array" ref="J98">INDEX('Limit raise'!$A:$O,
MATCH(1,('Limit raise'!$A:$A=$C98)*('Limit raise'!$D:$D=J$16), 0),
MATCH(J$17,'Limit raise'!$1:$1,0))</f>
        <v>0.89814814814814803</v>
      </c>
      <c r="K98" s="18" cm="1">
        <f t="array" ref="K98">INDEX('Limit raise'!$A:$O,
MATCH(1,('Limit raise'!$A:$A=$C98)*('Limit raise'!$D:$D=K$16), 0),
MATCH(K$17,'Limit raise'!$1:$1,0))</f>
        <v>0.79889345139091583</v>
      </c>
      <c r="L98" s="18">
        <f>INDEX('Limit raise'!$A:$O,
MATCH($C98, 'Limit raise'!$A:$A, 0),
MATCH(L$17,'Limit raise'!$1:$1,0))</f>
        <v>0.1040099908037084</v>
      </c>
      <c r="M98" s="18">
        <v>0.15</v>
      </c>
      <c r="N98" s="18"/>
    </row>
    <row r="99" spans="3:14" s="13" customFormat="1" ht="7.2" customHeight="1" x14ac:dyDescent="0.3">
      <c r="C99" s="17">
        <v>81</v>
      </c>
      <c r="D99" s="18" cm="1">
        <f t="array" ref="D99">INDEX('New credit'!$A:$O,
MATCH(1,('New credit'!$A:$A=$C99)*('New credit'!$D:$D=D$16), 0),
MATCH(D$17,'New credit'!$1:$1,0))</f>
        <v>0.69696969696969702</v>
      </c>
      <c r="E99" s="18" cm="1">
        <f t="array" ref="E99">INDEX('New credit'!$A:$O,
MATCH(1,('New credit'!$A:$A=$C99)*('New credit'!$D:$D=E$16), 0),
MATCH(E$17,'New credit'!$1:$1,0))</f>
        <v>0.86678571428571405</v>
      </c>
      <c r="F99" s="18" cm="1">
        <f t="array" ref="F99">INDEX('New credit'!$A:$O,
MATCH(1,('New credit'!$A:$A=$C99)*('New credit'!$D:$D=F$16), 0),
MATCH(F$17,'New credit'!$1:$1,0))</f>
        <v>0.6725703926950527</v>
      </c>
      <c r="G99" s="18">
        <f>INDEX('New credit'!$A:$O,
MATCH($C99, 'New credit'!$A:$A, 0),
MATCH(G$17, 'New credit'!$1:$1, 0))</f>
        <v>0.106527654834498</v>
      </c>
      <c r="H99" s="18">
        <v>0.15</v>
      </c>
      <c r="I99" s="18" cm="1">
        <f t="array" ref="I99">INDEX('Limit raise'!$A:$O,
MATCH(1,('Limit raise'!$A:$A=$C99)*('Limit raise'!$D:$D=I$16), 0),
MATCH(I$17,'Limit raise'!$1:$1,0))</f>
        <v>0.75</v>
      </c>
      <c r="J99" s="18" cm="1">
        <f t="array" ref="J99">INDEX('Limit raise'!$A:$O,
MATCH(1,('Limit raise'!$A:$A=$C99)*('Limit raise'!$D:$D=J$16), 0),
MATCH(J$17,'Limit raise'!$1:$1,0))</f>
        <v>0.89928571428571413</v>
      </c>
      <c r="K99" s="18" cm="1">
        <f t="array" ref="K99">INDEX('Limit raise'!$A:$O,
MATCH(1,('Limit raise'!$A:$A=$C99)*('Limit raise'!$D:$D=K$16), 0),
MATCH(K$17,'Limit raise'!$1:$1,0))</f>
        <v>0.82529609032560403</v>
      </c>
      <c r="L99" s="18">
        <f>INDEX('Limit raise'!$A:$O,
MATCH($C99, 'Limit raise'!$A:$A, 0),
MATCH(L$17,'Limit raise'!$1:$1,0))</f>
        <v>0.1067894550568154</v>
      </c>
      <c r="M99" s="18">
        <v>0.15</v>
      </c>
      <c r="N99" s="18"/>
    </row>
    <row r="100" spans="3:14" s="13" customFormat="1" x14ac:dyDescent="0.3">
      <c r="C100" s="17">
        <v>82</v>
      </c>
      <c r="D100" s="18" cm="1">
        <f t="array" ref="D100">INDEX('New credit'!$A:$O,
MATCH(1,('New credit'!$A:$A=$C100)*('New credit'!$D:$D=D$16), 0),
MATCH(D$17,'New credit'!$1:$1,0))</f>
        <v>0.70769230769230773</v>
      </c>
      <c r="E100" s="18" cm="1">
        <f t="array" ref="E100">INDEX('New credit'!$A:$O,
MATCH(1,('New credit'!$A:$A=$C100)*('New credit'!$D:$D=E$16), 0),
MATCH(E$17,'New credit'!$1:$1,0))</f>
        <v>0.86793103448275843</v>
      </c>
      <c r="F100" s="18" cm="1">
        <f t="array" ref="F100">INDEX('New credit'!$A:$O,
MATCH(1,('New credit'!$A:$A=$C100)*('New credit'!$D:$D=F$16), 0),
MATCH(F$17,'New credit'!$1:$1,0))</f>
        <v>0.28469313440315502</v>
      </c>
      <c r="G100" s="18">
        <f>INDEX('New credit'!$A:$O,
MATCH($C100, 'New credit'!$A:$A, 0),
MATCH(G$17, 'New credit'!$1:$1, 0))</f>
        <v>0.1222818660752968</v>
      </c>
      <c r="H100" s="18">
        <v>0.15</v>
      </c>
      <c r="I100" s="18" cm="1">
        <f t="array" ref="I100">INDEX('Limit raise'!$A:$O,
MATCH(1,('Limit raise'!$A:$A=$C100)*('Limit raise'!$D:$D=I$16), 0),
MATCH(I$17,'Limit raise'!$1:$1,0))</f>
        <v>0.75</v>
      </c>
      <c r="J100" s="18" cm="1">
        <f t="array" ref="J100">INDEX('Limit raise'!$A:$O,
MATCH(1,('Limit raise'!$A:$A=$C100)*('Limit raise'!$D:$D=J$16), 0),
MATCH(J$17,'Limit raise'!$1:$1,0))</f>
        <v>0.89928571428571413</v>
      </c>
      <c r="K100" s="18" cm="1">
        <f t="array" ref="K100">INDEX('Limit raise'!$A:$O,
MATCH(1,('Limit raise'!$A:$A=$C100)*('Limit raise'!$D:$D=K$16), 0),
MATCH(K$17,'Limit raise'!$1:$1,0))</f>
        <v>0.82518165098402818</v>
      </c>
      <c r="L100" s="18">
        <f>INDEX('Limit raise'!$A:$O,
MATCH($C100, 'Limit raise'!$A:$A, 0),
MATCH(L$17,'Limit raise'!$1:$1,0))</f>
        <v>0.1060437299754896</v>
      </c>
      <c r="M100" s="18">
        <v>0.15</v>
      </c>
      <c r="N100" s="18"/>
    </row>
    <row r="101" spans="3:14" s="13" customFormat="1" ht="7.2" customHeight="1" x14ac:dyDescent="0.3">
      <c r="C101" s="17">
        <v>83</v>
      </c>
      <c r="D101" s="18" cm="1">
        <f t="array" ref="D101">INDEX('New credit'!$A:$O,
MATCH(1,('New credit'!$A:$A=$C101)*('New credit'!$D:$D=D$16), 0),
MATCH(D$17,'New credit'!$1:$1,0))</f>
        <v>0.78688524590163933</v>
      </c>
      <c r="E101" s="18" cm="1">
        <f t="array" ref="E101">INDEX('New credit'!$A:$O,
MATCH(1,('New credit'!$A:$A=$C101)*('New credit'!$D:$D=E$16), 0),
MATCH(E$17,'New credit'!$1:$1,0))</f>
        <v>0.86535714285714271</v>
      </c>
      <c r="F101" s="18" cm="1">
        <f t="array" ref="F101">INDEX('New credit'!$A:$O,
MATCH(1,('New credit'!$A:$A=$C101)*('New credit'!$D:$D=F$16), 0),
MATCH(F$17,'New credit'!$1:$1,0))</f>
        <v>0.49729773113464942</v>
      </c>
      <c r="G101" s="18">
        <f>INDEX('New credit'!$A:$O,
MATCH($C101, 'New credit'!$A:$A, 0),
MATCH(G$17, 'New credit'!$1:$1, 0))</f>
        <v>0.1360942592554483</v>
      </c>
      <c r="H101" s="18">
        <v>0.15</v>
      </c>
      <c r="I101" s="18" cm="1">
        <f t="array" ref="I101">INDEX('Limit raise'!$A:$O,
MATCH(1,('Limit raise'!$A:$A=$C101)*('Limit raise'!$D:$D=I$16), 0),
MATCH(I$17,'Limit raise'!$1:$1,0))</f>
        <v>0.72727272727272729</v>
      </c>
      <c r="J101" s="18" cm="1">
        <f t="array" ref="J101">INDEX('Limit raise'!$A:$O,
MATCH(1,('Limit raise'!$A:$A=$C101)*('Limit raise'!$D:$D=J$16), 0),
MATCH(J$17,'Limit raise'!$1:$1,0))</f>
        <v>0.89888888888888874</v>
      </c>
      <c r="K101" s="18" cm="1">
        <f t="array" ref="K101">INDEX('Limit raise'!$A:$O,
MATCH(1,('Limit raise'!$A:$A=$C101)*('Limit raise'!$D:$D=K$16), 0),
MATCH(K$17,'Limit raise'!$1:$1,0))</f>
        <v>0.77320024187755332</v>
      </c>
      <c r="L101" s="18">
        <f>INDEX('Limit raise'!$A:$O,
MATCH($C101, 'Limit raise'!$A:$A, 0),
MATCH(L$17,'Limit raise'!$1:$1,0))</f>
        <v>0.1058119088629032</v>
      </c>
      <c r="M101" s="18">
        <v>0.15</v>
      </c>
      <c r="N101" s="18"/>
    </row>
    <row r="102" spans="3:14" s="13" customFormat="1" ht="7.2" customHeight="1" x14ac:dyDescent="0.3">
      <c r="C102" s="17">
        <v>84</v>
      </c>
      <c r="D102" s="18" cm="1">
        <f t="array" ref="D102">INDEX('New credit'!$A:$O,
MATCH(1,('New credit'!$A:$A=$C102)*('New credit'!$D:$D=D$16), 0),
MATCH(D$17,'New credit'!$1:$1,0))</f>
        <v>0.73770491803278693</v>
      </c>
      <c r="E102" s="18" cm="1">
        <f t="array" ref="E102">INDEX('New credit'!$A:$O,
MATCH(1,('New credit'!$A:$A=$C102)*('New credit'!$D:$D=E$16), 0),
MATCH(E$17,'New credit'!$1:$1,0))</f>
        <v>0.86107142857142827</v>
      </c>
      <c r="F102" s="18" cm="1">
        <f t="array" ref="F102">INDEX('New credit'!$A:$O,
MATCH(1,('New credit'!$A:$A=$C102)*('New credit'!$D:$D=F$16), 0),
MATCH(F$17,'New credit'!$1:$1,0))</f>
        <v>0.69752322965780011</v>
      </c>
      <c r="G102" s="18">
        <f>INDEX('New credit'!$A:$O,
MATCH($C102, 'New credit'!$A:$A, 0),
MATCH(G$17, 'New credit'!$1:$1, 0))</f>
        <v>0.15366695856604429</v>
      </c>
      <c r="H102" s="18">
        <v>0.15</v>
      </c>
      <c r="I102" s="18" cm="1">
        <f t="array" ref="I102">INDEX('Limit raise'!$A:$O,
MATCH(1,('Limit raise'!$A:$A=$C102)*('Limit raise'!$D:$D=I$16), 0),
MATCH(I$17,'Limit raise'!$1:$1,0))</f>
        <v>0.7142857142857143</v>
      </c>
      <c r="J102" s="18" cm="1">
        <f t="array" ref="J102">INDEX('Limit raise'!$A:$O,
MATCH(1,('Limit raise'!$A:$A=$C102)*('Limit raise'!$D:$D=J$16), 0),
MATCH(J$17,'Limit raise'!$1:$1,0))</f>
        <v>0.89928571428571413</v>
      </c>
      <c r="K102" s="18" cm="1">
        <f t="array" ref="K102">INDEX('Limit raise'!$A:$O,
MATCH(1,('Limit raise'!$A:$A=$C102)*('Limit raise'!$D:$D=K$16), 0),
MATCH(K$17,'Limit raise'!$1:$1,0))</f>
        <v>0.79265030710745032</v>
      </c>
      <c r="L102" s="18">
        <f>INDEX('Limit raise'!$A:$O,
MATCH($C102, 'Limit raise'!$A:$A, 0),
MATCH(L$17,'Limit raise'!$1:$1,0))</f>
        <v>9.9824725500557127E-2</v>
      </c>
      <c r="M102" s="18">
        <v>0.15</v>
      </c>
      <c r="N102" s="18"/>
    </row>
    <row r="103" spans="3:14" s="13" customFormat="1" ht="7.2" customHeight="1" x14ac:dyDescent="0.3">
      <c r="C103" s="17">
        <v>85</v>
      </c>
      <c r="D103" s="18" cm="1">
        <f t="array" ref="D103">INDEX('New credit'!$A:$O,
MATCH(1,('New credit'!$A:$A=$C103)*('New credit'!$D:$D=D$16), 0),
MATCH(D$17,'New credit'!$1:$1,0))</f>
        <v>0.7142857142857143</v>
      </c>
      <c r="E103" s="18" cm="1">
        <f t="array" ref="E103">INDEX('New credit'!$A:$O,
MATCH(1,('New credit'!$A:$A=$C103)*('New credit'!$D:$D=E$16), 0),
MATCH(E$17,'New credit'!$1:$1,0))</f>
        <v>0.85499999999999976</v>
      </c>
      <c r="F103" s="18" cm="1">
        <f t="array" ref="F103">INDEX('New credit'!$A:$O,
MATCH(1,('New credit'!$A:$A=$C103)*('New credit'!$D:$D=F$16), 0),
MATCH(F$17,'New credit'!$1:$1,0))</f>
        <v>0.73473970892835427</v>
      </c>
      <c r="G103" s="18">
        <f>INDEX('New credit'!$A:$O,
MATCH($C103, 'New credit'!$A:$A, 0),
MATCH(G$17, 'New credit'!$1:$1, 0))</f>
        <v>7.2948891289643714E-2</v>
      </c>
      <c r="H103" s="18">
        <v>0.15</v>
      </c>
      <c r="I103" s="18" cm="1">
        <f t="array" ref="I103">INDEX('Limit raise'!$A:$O,
MATCH(1,('Limit raise'!$A:$A=$C103)*('Limit raise'!$D:$D=I$16), 0),
MATCH(I$17,'Limit raise'!$1:$1,0))</f>
        <v>0.7321428571428571</v>
      </c>
      <c r="J103" s="18" cm="1">
        <f t="array" ref="J103">INDEX('Limit raise'!$A:$O,
MATCH(1,('Limit raise'!$A:$A=$C103)*('Limit raise'!$D:$D=J$16), 0),
MATCH(J$17,'Limit raise'!$1:$1,0))</f>
        <v>0.89862068965517228</v>
      </c>
      <c r="K103" s="18" cm="1">
        <f t="array" ref="K103">INDEX('Limit raise'!$A:$O,
MATCH(1,('Limit raise'!$A:$A=$C103)*('Limit raise'!$D:$D=K$16), 0),
MATCH(K$17,'Limit raise'!$1:$1,0))</f>
        <v>0.80275314313374735</v>
      </c>
      <c r="L103" s="18">
        <f>INDEX('Limit raise'!$A:$O,
MATCH($C103, 'Limit raise'!$A:$A, 0),
MATCH(L$17,'Limit raise'!$1:$1,0))</f>
        <v>9.7776869871088107E-2</v>
      </c>
      <c r="M103" s="18">
        <v>0.15</v>
      </c>
      <c r="N103" s="18"/>
    </row>
    <row r="104" spans="3:14" s="13" customFormat="1" ht="7.2" customHeight="1" x14ac:dyDescent="0.3">
      <c r="C104" s="17">
        <v>86</v>
      </c>
      <c r="D104" s="18" cm="1">
        <f t="array" ref="D104">INDEX('New credit'!$A:$O,
MATCH(1,('New credit'!$A:$A=$C104)*('New credit'!$D:$D=D$16), 0),
MATCH(D$17,'New credit'!$1:$1,0))</f>
        <v>0.73015873015873012</v>
      </c>
      <c r="E104" s="18" cm="1">
        <f t="array" ref="E104">INDEX('New credit'!$A:$O,
MATCH(1,('New credit'!$A:$A=$C104)*('New credit'!$D:$D=E$16), 0),
MATCH(E$17,'New credit'!$1:$1,0))</f>
        <v>0.88043478260869545</v>
      </c>
      <c r="F104" s="18" cm="1">
        <f t="array" ref="F104">INDEX('New credit'!$A:$O,
MATCH(1,('New credit'!$A:$A=$C104)*('New credit'!$D:$D=F$16), 0),
MATCH(F$17,'New credit'!$1:$1,0))</f>
        <v>0.75548154807039802</v>
      </c>
      <c r="G104" s="18">
        <f>INDEX('New credit'!$A:$O,
MATCH($C104, 'New credit'!$A:$A, 0),
MATCH(G$17, 'New credit'!$1:$1, 0))</f>
        <v>1</v>
      </c>
      <c r="H104" s="18">
        <v>0.15</v>
      </c>
      <c r="I104" s="18" cm="1">
        <f t="array" ref="I104">INDEX('Limit raise'!$A:$O,
MATCH(1,('Limit raise'!$A:$A=$C104)*('Limit raise'!$D:$D=I$16), 0),
MATCH(I$17,'Limit raise'!$1:$1,0))</f>
        <v>0.72413793103448276</v>
      </c>
      <c r="J104" s="18" cm="1">
        <f t="array" ref="J104">INDEX('Limit raise'!$A:$O,
MATCH(1,('Limit raise'!$A:$A=$C104)*('Limit raise'!$D:$D=J$16), 0),
MATCH(J$17,'Limit raise'!$1:$1,0))</f>
        <v>0.89689655172413785</v>
      </c>
      <c r="K104" s="18" cm="1">
        <f t="array" ref="K104">INDEX('Limit raise'!$A:$O,
MATCH(1,('Limit raise'!$A:$A=$C104)*('Limit raise'!$D:$D=K$16), 0),
MATCH(K$17,'Limit raise'!$1:$1,0))</f>
        <v>0.82635318607164554</v>
      </c>
      <c r="L104" s="18">
        <f>INDEX('Limit raise'!$A:$O,
MATCH($C104, 'Limit raise'!$A:$A, 0),
MATCH(L$17,'Limit raise'!$1:$1,0))</f>
        <v>9.842287037827506E-2</v>
      </c>
      <c r="M104" s="18">
        <v>0.15</v>
      </c>
      <c r="N104" s="18"/>
    </row>
    <row r="105" spans="3:14" s="13" customFormat="1" ht="7.2" customHeight="1" x14ac:dyDescent="0.3">
      <c r="C105" s="17">
        <v>87</v>
      </c>
      <c r="D105" s="18" cm="1">
        <f t="array" ref="D105">INDEX('New credit'!$A:$O,
MATCH(1,('New credit'!$A:$A=$C105)*('New credit'!$D:$D=D$16), 0),
MATCH(D$17,'New credit'!$1:$1,0))</f>
        <v>0.734375</v>
      </c>
      <c r="E105" s="18" cm="1">
        <f t="array" ref="E105">INDEX('New credit'!$A:$O,
MATCH(1,('New credit'!$A:$A=$C105)*('New credit'!$D:$D=E$16), 0),
MATCH(E$17,'New credit'!$1:$1,0))</f>
        <v>0.84583333333333321</v>
      </c>
      <c r="F105" s="18" cm="1">
        <f t="array" ref="F105">INDEX('New credit'!$A:$O,
MATCH(1,('New credit'!$A:$A=$C105)*('New credit'!$D:$D=F$16), 0),
MATCH(F$17,'New credit'!$1:$1,0))</f>
        <v>0.64550822020908083</v>
      </c>
      <c r="G105" s="18">
        <f>INDEX('New credit'!$A:$O,
MATCH($C105, 'New credit'!$A:$A, 0),
MATCH(G$17, 'New credit'!$1:$1, 0))</f>
        <v>7.1904970139076124E-2</v>
      </c>
      <c r="H105" s="18">
        <v>0.15</v>
      </c>
      <c r="I105" s="18" cm="1">
        <f t="array" ref="I105">INDEX('Limit raise'!$A:$O,
MATCH(1,('Limit raise'!$A:$A=$C105)*('Limit raise'!$D:$D=I$16), 0),
MATCH(I$17,'Limit raise'!$1:$1,0))</f>
        <v>0.72413793103448276</v>
      </c>
      <c r="J105" s="18" cm="1">
        <f t="array" ref="J105">INDEX('Limit raise'!$A:$O,
MATCH(1,('Limit raise'!$A:$A=$C105)*('Limit raise'!$D:$D=J$16), 0),
MATCH(J$17,'Limit raise'!$1:$1,0))</f>
        <v>0.89724137931034487</v>
      </c>
      <c r="K105" s="18" cm="1">
        <f t="array" ref="K105">INDEX('Limit raise'!$A:$O,
MATCH(1,('Limit raise'!$A:$A=$C105)*('Limit raise'!$D:$D=K$16), 0),
MATCH(K$17,'Limit raise'!$1:$1,0))</f>
        <v>0.826121672653651</v>
      </c>
      <c r="L105" s="18">
        <f>INDEX('Limit raise'!$A:$O,
MATCH($C105, 'Limit raise'!$A:$A, 0),
MATCH(L$17,'Limit raise'!$1:$1,0))</f>
        <v>9.6057204891160139E-2</v>
      </c>
      <c r="M105" s="18">
        <v>0.15</v>
      </c>
      <c r="N105" s="18"/>
    </row>
    <row r="106" spans="3:14" s="13" customFormat="1" ht="7.2" customHeight="1" x14ac:dyDescent="0.3">
      <c r="C106" s="17">
        <v>88</v>
      </c>
      <c r="D106" s="18" cm="1">
        <f t="array" ref="D106">INDEX('New credit'!$A:$O,
MATCH(1,('New credit'!$A:$A=$C106)*('New credit'!$D:$D=D$16), 0),
MATCH(D$17,'New credit'!$1:$1,0))</f>
        <v>0.734375</v>
      </c>
      <c r="E106" s="18" cm="1">
        <f t="array" ref="E106">INDEX('New credit'!$A:$O,
MATCH(1,('New credit'!$A:$A=$C106)*('New credit'!$D:$D=E$16), 0),
MATCH(E$17,'New credit'!$1:$1,0))</f>
        <v>0.88458333333333317</v>
      </c>
      <c r="F106" s="18" cm="1">
        <f t="array" ref="F106">INDEX('New credit'!$A:$O,
MATCH(1,('New credit'!$A:$A=$C106)*('New credit'!$D:$D=F$16), 0),
MATCH(F$17,'New credit'!$1:$1,0))</f>
        <v>0.78917390156187794</v>
      </c>
      <c r="G106" s="18">
        <f>INDEX('New credit'!$A:$O,
MATCH($C106, 'New credit'!$A:$A, 0),
MATCH(G$17, 'New credit'!$1:$1, 0))</f>
        <v>1</v>
      </c>
      <c r="H106" s="18">
        <v>0.15</v>
      </c>
      <c r="I106" s="18" cm="1">
        <f t="array" ref="I106">INDEX('Limit raise'!$A:$O,
MATCH(1,('Limit raise'!$A:$A=$C106)*('Limit raise'!$D:$D=I$16), 0),
MATCH(I$17,'Limit raise'!$1:$1,0))</f>
        <v>0.72413793103448276</v>
      </c>
      <c r="J106" s="18" cm="1">
        <f t="array" ref="J106">INDEX('Limit raise'!$A:$O,
MATCH(1,('Limit raise'!$A:$A=$C106)*('Limit raise'!$D:$D=J$16), 0),
MATCH(J$17,'Limit raise'!$1:$1,0))</f>
        <v>0.89724137931034464</v>
      </c>
      <c r="K106" s="18" cm="1">
        <f t="array" ref="K106">INDEX('Limit raise'!$A:$O,
MATCH(1,('Limit raise'!$A:$A=$C106)*('Limit raise'!$D:$D=K$16), 0),
MATCH(K$17,'Limit raise'!$1:$1,0))</f>
        <v>0.83444835211467405</v>
      </c>
      <c r="L106" s="18">
        <f>INDEX('Limit raise'!$A:$O,
MATCH($C106, 'Limit raise'!$A:$A, 0),
MATCH(L$17,'Limit raise'!$1:$1,0))</f>
        <v>9.4993537887319429E-2</v>
      </c>
      <c r="M106" s="18">
        <v>0.15</v>
      </c>
      <c r="N106" s="18"/>
    </row>
    <row r="107" spans="3:14" s="13" customFormat="1" ht="7.2" customHeight="1" x14ac:dyDescent="0.3">
      <c r="C107" s="17">
        <v>89</v>
      </c>
      <c r="D107" s="18" cm="1">
        <f t="array" ref="D107">INDEX('New credit'!$A:$O,
MATCH(1,('New credit'!$A:$A=$C107)*('New credit'!$D:$D=D$16), 0),
MATCH(D$17,'New credit'!$1:$1,0))</f>
        <v>0.75757575757575757</v>
      </c>
      <c r="E107" s="18" cm="1">
        <f t="array" ref="E107">INDEX('New credit'!$A:$O,
MATCH(1,('New credit'!$A:$A=$C107)*('New credit'!$D:$D=E$16), 0),
MATCH(E$17,'New credit'!$1:$1,0))</f>
        <v>0.85538461538461541</v>
      </c>
      <c r="F107" s="18" cm="1">
        <f t="array" ref="F107">INDEX('New credit'!$A:$O,
MATCH(1,('New credit'!$A:$A=$C107)*('New credit'!$D:$D=F$16), 0),
MATCH(F$17,'New credit'!$1:$1,0))</f>
        <v>0.75992019474413786</v>
      </c>
      <c r="G107" s="18">
        <f>INDEX('New credit'!$A:$O,
MATCH($C107, 'New credit'!$A:$A, 0),
MATCH(G$17, 'New credit'!$1:$1, 0))</f>
        <v>0.1184801141073157</v>
      </c>
      <c r="H107" s="18">
        <v>0.15</v>
      </c>
      <c r="I107" s="18" cm="1">
        <f t="array" ref="I107">INDEX('Limit raise'!$A:$O,
MATCH(1,('Limit raise'!$A:$A=$C107)*('Limit raise'!$D:$D=I$16), 0),
MATCH(I$17,'Limit raise'!$1:$1,0))</f>
        <v>0.6964285714285714</v>
      </c>
      <c r="J107" s="18" cm="1">
        <f t="array" ref="J107">INDEX('Limit raise'!$A:$O,
MATCH(1,('Limit raise'!$A:$A=$C107)*('Limit raise'!$D:$D=J$16), 0),
MATCH(J$17,'Limit raise'!$1:$1,0))</f>
        <v>0.89571428571428557</v>
      </c>
      <c r="K107" s="18" cm="1">
        <f t="array" ref="K107">INDEX('Limit raise'!$A:$O,
MATCH(1,('Limit raise'!$A:$A=$C107)*('Limit raise'!$D:$D=K$16), 0),
MATCH(K$17,'Limit raise'!$1:$1,0))</f>
        <v>0.82005227125046909</v>
      </c>
      <c r="L107" s="18">
        <f>INDEX('Limit raise'!$A:$O,
MATCH($C107, 'Limit raise'!$A:$A, 0),
MATCH(L$17,'Limit raise'!$1:$1,0))</f>
        <v>9.8429772594542539E-2</v>
      </c>
      <c r="M107" s="18">
        <v>0.15</v>
      </c>
      <c r="N107" s="18"/>
    </row>
    <row r="108" spans="3:14" s="13" customFormat="1" ht="7.2" customHeight="1" x14ac:dyDescent="0.3">
      <c r="C108" s="17">
        <v>90</v>
      </c>
      <c r="D108" s="18" cm="1">
        <f t="array" ref="D108">INDEX('New credit'!$A:$O,
MATCH(1,('New credit'!$A:$A=$C108)*('New credit'!$D:$D=D$16), 0),
MATCH(D$17,'New credit'!$1:$1,0))</f>
        <v>0.70149253731343286</v>
      </c>
      <c r="E108" s="18" cm="1">
        <f t="array" ref="E108">INDEX('New credit'!$A:$O,
MATCH(1,('New credit'!$A:$A=$C108)*('New credit'!$D:$D=E$16), 0),
MATCH(E$17,'New credit'!$1:$1,0))</f>
        <v>0.8919999999999999</v>
      </c>
      <c r="F108" s="18" cm="1">
        <f t="array" ref="F108">INDEX('New credit'!$A:$O,
MATCH(1,('New credit'!$A:$A=$C108)*('New credit'!$D:$D=F$16), 0),
MATCH(F$17,'New credit'!$1:$1,0))</f>
        <v>0.72600826549755015</v>
      </c>
      <c r="G108" s="18">
        <f>INDEX('New credit'!$A:$O,
MATCH($C108, 'New credit'!$A:$A, 0),
MATCH(G$17, 'New credit'!$1:$1, 0))</f>
        <v>0.16284338726244879</v>
      </c>
      <c r="H108" s="18">
        <v>0.15</v>
      </c>
      <c r="I108" s="18" cm="1">
        <f t="array" ref="I108">INDEX('Limit raise'!$A:$O,
MATCH(1,('Limit raise'!$A:$A=$C108)*('Limit raise'!$D:$D=I$16), 0),
MATCH(I$17,'Limit raise'!$1:$1,0))</f>
        <v>0.6964285714285714</v>
      </c>
      <c r="J108" s="18" cm="1">
        <f t="array" ref="J108">INDEX('Limit raise'!$A:$O,
MATCH(1,('Limit raise'!$A:$A=$C108)*('Limit raise'!$D:$D=J$16), 0),
MATCH(J$17,'Limit raise'!$1:$1,0))</f>
        <v>0.89642857142857135</v>
      </c>
      <c r="K108" s="18" cm="1">
        <f t="array" ref="K108">INDEX('Limit raise'!$A:$O,
MATCH(1,('Limit raise'!$A:$A=$C108)*('Limit raise'!$D:$D=K$16), 0),
MATCH(K$17,'Limit raise'!$1:$1,0))</f>
        <v>0.82730060809713968</v>
      </c>
      <c r="L108" s="18">
        <f>INDEX('Limit raise'!$A:$O,
MATCH($C108, 'Limit raise'!$A:$A, 0),
MATCH(L$17,'Limit raise'!$1:$1,0))</f>
        <v>0.10226997542982</v>
      </c>
      <c r="M108" s="18">
        <v>0.15</v>
      </c>
      <c r="N108" s="18"/>
    </row>
    <row r="109" spans="3:14" s="13" customFormat="1" ht="7.2" customHeight="1" x14ac:dyDescent="0.3">
      <c r="C109" s="17">
        <v>91</v>
      </c>
      <c r="D109" s="18" cm="1">
        <f t="array" ref="D109">INDEX('New credit'!$A:$O,
MATCH(1,('New credit'!$A:$A=$C109)*('New credit'!$D:$D=D$16), 0),
MATCH(D$17,'New credit'!$1:$1,0))</f>
        <v>0.69696969696969702</v>
      </c>
      <c r="E109" s="18" cm="1">
        <f t="array" ref="E109">INDEX('New credit'!$A:$O,
MATCH(1,('New credit'!$A:$A=$C109)*('New credit'!$D:$D=E$16), 0),
MATCH(E$17,'New credit'!$1:$1,0))</f>
        <v>0.87096774193548376</v>
      </c>
      <c r="F109" s="18" cm="1">
        <f t="array" ref="F109">INDEX('New credit'!$A:$O,
MATCH(1,('New credit'!$A:$A=$C109)*('New credit'!$D:$D=F$16), 0),
MATCH(F$17,'New credit'!$1:$1,0))</f>
        <v>0.62580295207678749</v>
      </c>
      <c r="G109" s="18">
        <f>INDEX('New credit'!$A:$O,
MATCH($C109, 'New credit'!$A:$A, 0),
MATCH(G$17, 'New credit'!$1:$1, 0))</f>
        <v>0.1209271927912156</v>
      </c>
      <c r="H109" s="18">
        <v>0.15</v>
      </c>
      <c r="I109" s="18" cm="1">
        <f t="array" ref="I109">INDEX('Limit raise'!$A:$O,
MATCH(1,('Limit raise'!$A:$A=$C109)*('Limit raise'!$D:$D=I$16), 0),
MATCH(I$17,'Limit raise'!$1:$1,0))</f>
        <v>0.6964285714285714</v>
      </c>
      <c r="J109" s="18" cm="1">
        <f t="array" ref="J109">INDEX('Limit raise'!$A:$O,
MATCH(1,('Limit raise'!$A:$A=$C109)*('Limit raise'!$D:$D=J$16), 0),
MATCH(J$17,'Limit raise'!$1:$1,0))</f>
        <v>0.8978571428571428</v>
      </c>
      <c r="K109" s="18" cm="1">
        <f t="array" ref="K109">INDEX('Limit raise'!$A:$O,
MATCH(1,('Limit raise'!$A:$A=$C109)*('Limit raise'!$D:$D=K$16), 0),
MATCH(K$17,'Limit raise'!$1:$1,0))</f>
        <v>0.82407872867645382</v>
      </c>
      <c r="L109" s="18">
        <f>INDEX('Limit raise'!$A:$O,
MATCH($C109, 'Limit raise'!$A:$A, 0),
MATCH(L$17,'Limit raise'!$1:$1,0))</f>
        <v>0.1096287163132067</v>
      </c>
      <c r="M109" s="18">
        <v>0.15</v>
      </c>
      <c r="N109" s="18"/>
    </row>
    <row r="110" spans="3:14" s="13" customFormat="1" ht="7.2" customHeight="1" x14ac:dyDescent="0.3">
      <c r="C110" s="17">
        <v>92</v>
      </c>
      <c r="D110" s="18" cm="1">
        <f t="array" ref="D110">INDEX('New credit'!$A:$O,
MATCH(1,('New credit'!$A:$A=$C110)*('New credit'!$D:$D=D$16), 0),
MATCH(D$17,'New credit'!$1:$1,0))</f>
        <v>0.7142857142857143</v>
      </c>
      <c r="E110" s="18" cm="1">
        <f t="array" ref="E110">INDEX('New credit'!$A:$O,
MATCH(1,('New credit'!$A:$A=$C110)*('New credit'!$D:$D=E$16), 0),
MATCH(E$17,'New credit'!$1:$1,0))</f>
        <v>0.89857142857142858</v>
      </c>
      <c r="F110" s="18" cm="1">
        <f t="array" ref="F110">INDEX('New credit'!$A:$O,
MATCH(1,('New credit'!$A:$A=$C110)*('New credit'!$D:$D=F$16), 0),
MATCH(F$17,'New credit'!$1:$1,0))</f>
        <v>0.79414172266001193</v>
      </c>
      <c r="G110" s="18">
        <f>INDEX('New credit'!$A:$O,
MATCH($C110, 'New credit'!$A:$A, 0),
MATCH(G$17, 'New credit'!$1:$1, 0))</f>
        <v>0.1861410868868455</v>
      </c>
      <c r="H110" s="18">
        <v>0.15</v>
      </c>
      <c r="I110" s="18" cm="1">
        <f t="array" ref="I110">INDEX('Limit raise'!$A:$O,
MATCH(1,('Limit raise'!$A:$A=$C110)*('Limit raise'!$D:$D=I$16), 0),
MATCH(I$17,'Limit raise'!$1:$1,0))</f>
        <v>0.6785714285714286</v>
      </c>
      <c r="J110" s="18" cm="1">
        <f t="array" ref="J110">INDEX('Limit raise'!$A:$O,
MATCH(1,('Limit raise'!$A:$A=$C110)*('Limit raise'!$D:$D=J$16), 0),
MATCH(J$17,'Limit raise'!$1:$1,0))</f>
        <v>0.89821428571428552</v>
      </c>
      <c r="K110" s="18" cm="1">
        <f t="array" ref="K110">INDEX('Limit raise'!$A:$O,
MATCH(1,('Limit raise'!$A:$A=$C110)*('Limit raise'!$D:$D=K$16), 0),
MATCH(K$17,'Limit raise'!$1:$1,0))</f>
        <v>0.80333643674722</v>
      </c>
      <c r="L110" s="18">
        <f>INDEX('Limit raise'!$A:$O,
MATCH($C110, 'Limit raise'!$A:$A, 0),
MATCH(L$17,'Limit raise'!$1:$1,0))</f>
        <v>0.11019760839596331</v>
      </c>
      <c r="M110" s="18">
        <v>0.15</v>
      </c>
      <c r="N110" s="18"/>
    </row>
    <row r="111" spans="3:14" s="13" customFormat="1" ht="7.2" customHeight="1" x14ac:dyDescent="0.3">
      <c r="C111" s="17">
        <v>93</v>
      </c>
      <c r="D111" s="18" cm="1">
        <f t="array" ref="D111">INDEX('New credit'!$A:$O,
MATCH(1,('New credit'!$A:$A=$C111)*('New credit'!$D:$D=D$16), 0),
MATCH(D$17,'New credit'!$1:$1,0))</f>
        <v>0.70175438596491224</v>
      </c>
      <c r="E111" s="18" cm="1">
        <f t="array" ref="E111">INDEX('New credit'!$A:$O,
MATCH(1,('New credit'!$A:$A=$C111)*('New credit'!$D:$D=E$16), 0),
MATCH(E$17,'New credit'!$1:$1,0))</f>
        <v>0.89192307692307682</v>
      </c>
      <c r="F111" s="18" cm="1">
        <f t="array" ref="F111">INDEX('New credit'!$A:$O,
MATCH(1,('New credit'!$A:$A=$C111)*('New credit'!$D:$D=F$16), 0),
MATCH(F$17,'New credit'!$1:$1,0))</f>
        <v>0.77368873385901848</v>
      </c>
      <c r="G111" s="18">
        <f>INDEX('New credit'!$A:$O,
MATCH($C111, 'New credit'!$A:$A, 0),
MATCH(G$17, 'New credit'!$1:$1, 0))</f>
        <v>1</v>
      </c>
      <c r="H111" s="18">
        <v>0.15</v>
      </c>
      <c r="I111" s="18" cm="1">
        <f t="array" ref="I111">INDEX('Limit raise'!$A:$O,
MATCH(1,('Limit raise'!$A:$A=$C111)*('Limit raise'!$D:$D=I$16), 0),
MATCH(I$17,'Limit raise'!$1:$1,0))</f>
        <v>0.6607142857142857</v>
      </c>
      <c r="J111" s="18" cm="1">
        <f t="array" ref="J111">INDEX('Limit raise'!$A:$O,
MATCH(1,('Limit raise'!$A:$A=$C111)*('Limit raise'!$D:$D=J$16), 0),
MATCH(J$17,'Limit raise'!$1:$1,0))</f>
        <v>0.89857142857142847</v>
      </c>
      <c r="K111" s="18" cm="1">
        <f t="array" ref="K111">INDEX('Limit raise'!$A:$O,
MATCH(1,('Limit raise'!$A:$A=$C111)*('Limit raise'!$D:$D=K$16), 0),
MATCH(K$17,'Limit raise'!$1:$1,0))</f>
        <v>0.78964448661281572</v>
      </c>
      <c r="L111" s="18">
        <f>INDEX('Limit raise'!$A:$O,
MATCH($C111, 'Limit raise'!$A:$A, 0),
MATCH(L$17,'Limit raise'!$1:$1,0))</f>
        <v>0.1088604438797037</v>
      </c>
      <c r="M111" s="18">
        <v>0.15</v>
      </c>
      <c r="N111" s="18"/>
    </row>
    <row r="112" spans="3:14" s="13" customFormat="1" ht="7.2" customHeight="1" x14ac:dyDescent="0.3">
      <c r="C112" s="17">
        <v>94</v>
      </c>
      <c r="D112" s="18" cm="1">
        <f t="array" ref="D112">INDEX('New credit'!$A:$O,
MATCH(1,('New credit'!$A:$A=$C112)*('New credit'!$D:$D=D$16), 0),
MATCH(D$17,'New credit'!$1:$1,0))</f>
        <v>0.73684210526315785</v>
      </c>
      <c r="E112" s="18" cm="1">
        <f t="array" ref="E112">INDEX('New credit'!$A:$O,
MATCH(1,('New credit'!$A:$A=$C112)*('New credit'!$D:$D=E$16), 0),
MATCH(E$17,'New credit'!$1:$1,0))</f>
        <v>0.85366666666666657</v>
      </c>
      <c r="F112" s="18" cm="1">
        <f t="array" ref="F112">INDEX('New credit'!$A:$O,
MATCH(1,('New credit'!$A:$A=$C112)*('New credit'!$D:$D=F$16), 0),
MATCH(F$17,'New credit'!$1:$1,0))</f>
        <v>0.79082840567863144</v>
      </c>
      <c r="G112" s="18">
        <f>INDEX('New credit'!$A:$O,
MATCH($C112, 'New credit'!$A:$A, 0),
MATCH(G$17, 'New credit'!$1:$1, 0))</f>
        <v>1</v>
      </c>
      <c r="H112" s="18">
        <v>0.15</v>
      </c>
      <c r="I112" s="18" cm="1">
        <f t="array" ref="I112">INDEX('Limit raise'!$A:$O,
MATCH(1,('Limit raise'!$A:$A=$C112)*('Limit raise'!$D:$D=I$16), 0),
MATCH(I$17,'Limit raise'!$1:$1,0))</f>
        <v>0.6271186440677966</v>
      </c>
      <c r="J112" s="18" cm="1">
        <f t="array" ref="J112">INDEX('Limit raise'!$A:$O,
MATCH(1,('Limit raise'!$A:$A=$C112)*('Limit raise'!$D:$D=J$16), 0),
MATCH(J$17,'Limit raise'!$1:$1,0))</f>
        <v>0.89629629629629615</v>
      </c>
      <c r="K112" s="18" cm="1">
        <f t="array" ref="K112">INDEX('Limit raise'!$A:$O,
MATCH(1,('Limit raise'!$A:$A=$C112)*('Limit raise'!$D:$D=K$16), 0),
MATCH(K$17,'Limit raise'!$1:$1,0))</f>
        <v>0.78634182303278888</v>
      </c>
      <c r="L112" s="18">
        <f>INDEX('Limit raise'!$A:$O,
MATCH($C112, 'Limit raise'!$A:$A, 0),
MATCH(L$17,'Limit raise'!$1:$1,0))</f>
        <v>0.1097910681172871</v>
      </c>
      <c r="M112" s="18">
        <v>0.15</v>
      </c>
      <c r="N112" s="18"/>
    </row>
    <row r="113" spans="3:14" s="13" customFormat="1" ht="7.2" customHeight="1" x14ac:dyDescent="0.3">
      <c r="C113" s="17">
        <v>95</v>
      </c>
      <c r="D113" s="18" cm="1">
        <f t="array" ref="D113">INDEX('New credit'!$A:$O,
MATCH(1,('New credit'!$A:$A=$C113)*('New credit'!$D:$D=D$16), 0),
MATCH(D$17,'New credit'!$1:$1,0))</f>
        <v>0.69491525423728817</v>
      </c>
      <c r="E113" s="18" cm="1">
        <f t="array" ref="E113">INDEX('New credit'!$A:$O,
MATCH(1,('New credit'!$A:$A=$C113)*('New credit'!$D:$D=E$16), 0),
MATCH(E$17,'New credit'!$1:$1,0))</f>
        <v>0.82</v>
      </c>
      <c r="F113" s="18" cm="1">
        <f t="array" ref="F113">INDEX('New credit'!$A:$O,
MATCH(1,('New credit'!$A:$A=$C113)*('New credit'!$D:$D=F$16), 0),
MATCH(F$17,'New credit'!$1:$1,0))</f>
        <v>0.69061884223979864</v>
      </c>
      <c r="G113" s="18">
        <f>INDEX('New credit'!$A:$O,
MATCH($C113, 'New credit'!$A:$A, 0),
MATCH(G$17, 'New credit'!$1:$1, 0))</f>
        <v>9.4180174557816812E-2</v>
      </c>
      <c r="H113" s="18">
        <v>0.15</v>
      </c>
      <c r="I113" s="18" cm="1">
        <f t="array" ref="I113">INDEX('Limit raise'!$A:$O,
MATCH(1,('Limit raise'!$A:$A=$C113)*('Limit raise'!$D:$D=I$16), 0),
MATCH(I$17,'Limit raise'!$1:$1,0))</f>
        <v>0.62903225806451613</v>
      </c>
      <c r="J113" s="18" cm="1">
        <f t="array" ref="J113">INDEX('Limit raise'!$A:$O,
MATCH(1,('Limit raise'!$A:$A=$C113)*('Limit raise'!$D:$D=J$16), 0),
MATCH(J$17,'Limit raise'!$1:$1,0))</f>
        <v>0.89296296296296263</v>
      </c>
      <c r="K113" s="18" cm="1">
        <f t="array" ref="K113">INDEX('Limit raise'!$A:$O,
MATCH(1,('Limit raise'!$A:$A=$C113)*('Limit raise'!$D:$D=K$16), 0),
MATCH(K$17,'Limit raise'!$1:$1,0))</f>
        <v>0.78832745221785616</v>
      </c>
      <c r="L113" s="18">
        <f>INDEX('Limit raise'!$A:$O,
MATCH($C113, 'Limit raise'!$A:$A, 0),
MATCH(L$17,'Limit raise'!$1:$1,0))</f>
        <v>0.10699599353617791</v>
      </c>
      <c r="M113" s="18">
        <v>0.15</v>
      </c>
      <c r="N113" s="18"/>
    </row>
    <row r="114" spans="3:14" s="13" customFormat="1" ht="7.2" customHeight="1" x14ac:dyDescent="0.3">
      <c r="C114" s="17">
        <v>96</v>
      </c>
      <c r="D114" s="18" cm="1">
        <f t="array" ref="D114">INDEX('New credit'!$A:$O,
MATCH(1,('New credit'!$A:$A=$C114)*('New credit'!$D:$D=D$16), 0),
MATCH(D$17,'New credit'!$1:$1,0))</f>
        <v>0.73770491803278693</v>
      </c>
      <c r="E114" s="18" cm="1">
        <f t="array" ref="E114">INDEX('New credit'!$A:$O,
MATCH(1,('New credit'!$A:$A=$C114)*('New credit'!$D:$D=E$16), 0),
MATCH(E$17,'New credit'!$1:$1,0))</f>
        <v>0.84689655172413769</v>
      </c>
      <c r="F114" s="18" cm="1">
        <f t="array" ref="F114">INDEX('New credit'!$A:$O,
MATCH(1,('New credit'!$A:$A=$C114)*('New credit'!$D:$D=F$16), 0),
MATCH(F$17,'New credit'!$1:$1,0))</f>
        <v>0.80205727173944252</v>
      </c>
      <c r="G114" s="18">
        <f>INDEX('New credit'!$A:$O,
MATCH($C114, 'New credit'!$A:$A, 0),
MATCH(G$17, 'New credit'!$1:$1, 0))</f>
        <v>1</v>
      </c>
      <c r="H114" s="18">
        <v>0.15</v>
      </c>
      <c r="I114" s="18" cm="1">
        <f t="array" ref="I114">INDEX('Limit raise'!$A:$O,
MATCH(1,('Limit raise'!$A:$A=$C114)*('Limit raise'!$D:$D=I$16), 0),
MATCH(I$17,'Limit raise'!$1:$1,0))</f>
        <v>0.62295081967213117</v>
      </c>
      <c r="J114" s="18" cm="1">
        <f t="array" ref="J114">INDEX('Limit raise'!$A:$O,
MATCH(1,('Limit raise'!$A:$A=$C114)*('Limit raise'!$D:$D=J$16), 0),
MATCH(J$17,'Limit raise'!$1:$1,0))</f>
        <v>0.8914814814814811</v>
      </c>
      <c r="K114" s="18" cm="1">
        <f t="array" ref="K114">INDEX('Limit raise'!$A:$O,
MATCH(1,('Limit raise'!$A:$A=$C114)*('Limit raise'!$D:$D=K$16), 0),
MATCH(K$17,'Limit raise'!$1:$1,0))</f>
        <v>0.78976394686276208</v>
      </c>
      <c r="L114" s="18">
        <f>INDEX('Limit raise'!$A:$O,
MATCH($C114, 'Limit raise'!$A:$A, 0),
MATCH(L$17,'Limit raise'!$1:$1,0))</f>
        <v>0.1026087861689246</v>
      </c>
      <c r="M114" s="18">
        <v>0.15</v>
      </c>
      <c r="N114" s="18"/>
    </row>
    <row r="115" spans="3:14" s="13" customFormat="1" ht="7.2" customHeight="1" x14ac:dyDescent="0.3">
      <c r="C115" s="17">
        <v>97</v>
      </c>
      <c r="D115" s="18" cm="1">
        <f t="array" ref="D115">INDEX('New credit'!$A:$O,
MATCH(1,('New credit'!$A:$A=$C115)*('New credit'!$D:$D=D$16), 0),
MATCH(D$17,'New credit'!$1:$1,0))</f>
        <v>0.72058823529411764</v>
      </c>
      <c r="E115" s="18" cm="1">
        <f t="array" ref="E115">INDEX('New credit'!$A:$O,
MATCH(1,('New credit'!$A:$A=$C115)*('New credit'!$D:$D=E$16), 0),
MATCH(E$17,'New credit'!$1:$1,0))</f>
        <v>0.85548387096774192</v>
      </c>
      <c r="F115" s="18" cm="1">
        <f t="array" ref="F115">INDEX('New credit'!$A:$O,
MATCH(1,('New credit'!$A:$A=$C115)*('New credit'!$D:$D=F$16), 0),
MATCH(F$17,'New credit'!$1:$1,0))</f>
        <v>0.69003488963737258</v>
      </c>
      <c r="G115" s="18">
        <f>INDEX('New credit'!$A:$O,
MATCH($C115, 'New credit'!$A:$A, 0),
MATCH(G$17, 'New credit'!$1:$1, 0))</f>
        <v>0.13982830255050641</v>
      </c>
      <c r="H115" s="18">
        <v>0.15</v>
      </c>
      <c r="I115" s="18" cm="1">
        <f t="array" ref="I115">INDEX('Limit raise'!$A:$O,
MATCH(1,('Limit raise'!$A:$A=$C115)*('Limit raise'!$D:$D=I$16), 0),
MATCH(I$17,'Limit raise'!$1:$1,0))</f>
        <v>0.66666666666666663</v>
      </c>
      <c r="J115" s="18" cm="1">
        <f t="array" ref="J115">INDEX('Limit raise'!$A:$O,
MATCH(1,('Limit raise'!$A:$A=$C115)*('Limit raise'!$D:$D=J$16), 0),
MATCH(J$17,'Limit raise'!$1:$1,0))</f>
        <v>0.89074074074074039</v>
      </c>
      <c r="K115" s="18" cm="1">
        <f t="array" ref="K115">INDEX('Limit raise'!$A:$O,
MATCH(1,('Limit raise'!$A:$A=$C115)*('Limit raise'!$D:$D=K$16), 0),
MATCH(K$17,'Limit raise'!$1:$1,0))</f>
        <v>0.790171551620653</v>
      </c>
      <c r="L115" s="18">
        <f>INDEX('Limit raise'!$A:$O,
MATCH($C115, 'Limit raise'!$A:$A, 0),
MATCH(L$17,'Limit raise'!$1:$1,0))</f>
        <v>0.10376415019364819</v>
      </c>
      <c r="M115" s="18">
        <v>0.15</v>
      </c>
      <c r="N115" s="18"/>
    </row>
    <row r="116" spans="3:14" s="13" customFormat="1" ht="7.2" customHeight="1" x14ac:dyDescent="0.3">
      <c r="C116" s="17">
        <v>98</v>
      </c>
      <c r="D116" s="18" cm="1">
        <f t="array" ref="D116">INDEX('New credit'!$A:$O,
MATCH(1,('New credit'!$A:$A=$C116)*('New credit'!$D:$D=D$16), 0),
MATCH(D$17,'New credit'!$1:$1,0))</f>
        <v>0.72058823529411764</v>
      </c>
      <c r="E116" s="18" cm="1">
        <f t="array" ref="E116">INDEX('New credit'!$A:$O,
MATCH(1,('New credit'!$A:$A=$C116)*('New credit'!$D:$D=E$16), 0),
MATCH(E$17,'New credit'!$1:$1,0))</f>
        <v>0.86515151515151512</v>
      </c>
      <c r="F116" s="18" cm="1">
        <f t="array" ref="F116">INDEX('New credit'!$A:$O,
MATCH(1,('New credit'!$A:$A=$C116)*('New credit'!$D:$D=F$16), 0),
MATCH(F$17,'New credit'!$1:$1,0))</f>
        <v>0.74655662169407888</v>
      </c>
      <c r="G116" s="18">
        <f>INDEX('New credit'!$A:$O,
MATCH($C116, 'New credit'!$A:$A, 0),
MATCH(G$17, 'New credit'!$1:$1, 0))</f>
        <v>0.20730962553115739</v>
      </c>
      <c r="H116" s="18">
        <v>0.15</v>
      </c>
      <c r="I116" s="18" cm="1">
        <f t="array" ref="I116">INDEX('Limit raise'!$A:$O,
MATCH(1,('Limit raise'!$A:$A=$C116)*('Limit raise'!$D:$D=I$16), 0),
MATCH(I$17,'Limit raise'!$1:$1,0))</f>
        <v>0.65</v>
      </c>
      <c r="J116" s="18" cm="1">
        <f t="array" ref="J116">INDEX('Limit raise'!$A:$O,
MATCH(1,('Limit raise'!$A:$A=$C116)*('Limit raise'!$D:$D=J$16), 0),
MATCH(J$17,'Limit raise'!$1:$1,0))</f>
        <v>0.89074074074074039</v>
      </c>
      <c r="K116" s="18" cm="1">
        <f t="array" ref="K116">INDEX('Limit raise'!$A:$O,
MATCH(1,('Limit raise'!$A:$A=$C116)*('Limit raise'!$D:$D=K$16), 0),
MATCH(K$17,'Limit raise'!$1:$1,0))</f>
        <v>0.78497182227851192</v>
      </c>
      <c r="L116" s="18">
        <f>INDEX('Limit raise'!$A:$O,
MATCH($C116, 'Limit raise'!$A:$A, 0),
MATCH(L$17,'Limit raise'!$1:$1,0))</f>
        <v>0.1048279638679646</v>
      </c>
      <c r="M116" s="18">
        <v>0.15</v>
      </c>
      <c r="N116" s="18"/>
    </row>
    <row r="117" spans="3:14" s="13" customFormat="1" ht="7.2" customHeight="1" x14ac:dyDescent="0.3">
      <c r="C117" s="17">
        <v>99</v>
      </c>
      <c r="D117" s="18" cm="1">
        <f t="array" ref="D117">INDEX('New credit'!$A:$O,
MATCH(1,('New credit'!$A:$A=$C117)*('New credit'!$D:$D=D$16), 0),
MATCH(D$17,'New credit'!$1:$1,0))</f>
        <v>0.6875</v>
      </c>
      <c r="E117" s="18" cm="1">
        <f t="array" ref="E117">INDEX('New credit'!$A:$O,
MATCH(1,('New credit'!$A:$A=$C117)*('New credit'!$D:$D=E$16), 0),
MATCH(E$17,'New credit'!$1:$1,0))</f>
        <v>0.87156250000000002</v>
      </c>
      <c r="F117" s="18" cm="1">
        <f t="array" ref="F117">INDEX('New credit'!$A:$O,
MATCH(1,('New credit'!$A:$A=$C117)*('New credit'!$D:$D=F$16), 0),
MATCH(F$17,'New credit'!$1:$1,0))</f>
        <v>0.70178622038296168</v>
      </c>
      <c r="G117" s="18">
        <f>INDEX('New credit'!$A:$O,
MATCH($C117, 'New credit'!$A:$A, 0),
MATCH(G$17, 'New credit'!$1:$1, 0))</f>
        <v>1</v>
      </c>
      <c r="H117" s="18">
        <v>0.15</v>
      </c>
      <c r="I117" s="18" cm="1">
        <f t="array" ref="I117">INDEX('Limit raise'!$A:$O,
MATCH(1,('Limit raise'!$A:$A=$C117)*('Limit raise'!$D:$D=I$16), 0),
MATCH(I$17,'Limit raise'!$1:$1,0))</f>
        <v>0.64516129032258063</v>
      </c>
      <c r="J117" s="18" cm="1">
        <f t="array" ref="J117">INDEX('Limit raise'!$A:$O,
MATCH(1,('Limit raise'!$A:$A=$C117)*('Limit raise'!$D:$D=J$16), 0),
MATCH(J$17,'Limit raise'!$1:$1,0))</f>
        <v>0.88652173913043453</v>
      </c>
      <c r="K117" s="18" cm="1">
        <f t="array" ref="K117">INDEX('Limit raise'!$A:$O,
MATCH(1,('Limit raise'!$A:$A=$C117)*('Limit raise'!$D:$D=K$16), 0),
MATCH(K$17,'Limit raise'!$1:$1,0))</f>
        <v>0.80420370063895197</v>
      </c>
      <c r="L117" s="18">
        <f>INDEX('Limit raise'!$A:$O,
MATCH($C117, 'Limit raise'!$A:$A, 0),
MATCH(L$17,'Limit raise'!$1:$1,0))</f>
        <v>0.1043719103840049</v>
      </c>
      <c r="M117" s="18">
        <v>0.15</v>
      </c>
      <c r="N117" s="18"/>
    </row>
    <row r="118" spans="3:14" s="13" customFormat="1" ht="7.2" customHeight="1" x14ac:dyDescent="0.3">
      <c r="C118" s="17">
        <v>100</v>
      </c>
      <c r="D118" s="18" cm="1">
        <f t="array" ref="D118">INDEX('New credit'!$A:$O,
MATCH(1,('New credit'!$A:$A=$C118)*('New credit'!$D:$D=D$16), 0),
MATCH(D$17,'New credit'!$1:$1,0))</f>
        <v>0.75</v>
      </c>
      <c r="E118" s="18" cm="1">
        <f t="array" ref="E118">INDEX('New credit'!$A:$O,
MATCH(1,('New credit'!$A:$A=$C118)*('New credit'!$D:$D=E$16), 0),
MATCH(E$17,'New credit'!$1:$1,0))</f>
        <v>0.84468749999999992</v>
      </c>
      <c r="F118" s="18" cm="1">
        <f t="array" ref="F118">INDEX('New credit'!$A:$O,
MATCH(1,('New credit'!$A:$A=$C118)*('New credit'!$D:$D=F$16), 0),
MATCH(F$17,'New credit'!$1:$1,0))</f>
        <v>0.64922286885924863</v>
      </c>
      <c r="G118" s="18">
        <f>INDEX('New credit'!$A:$O,
MATCH($C118, 'New credit'!$A:$A, 0),
MATCH(G$17, 'New credit'!$1:$1, 0))</f>
        <v>9.1730555799039423E-2</v>
      </c>
      <c r="H118" s="18">
        <v>0.15</v>
      </c>
      <c r="I118" s="18" cm="1">
        <f t="array" ref="I118">INDEX('Limit raise'!$A:$O,
MATCH(1,('Limit raise'!$A:$A=$C118)*('Limit raise'!$D:$D=I$16), 0),
MATCH(I$17,'Limit raise'!$1:$1,0))</f>
        <v>0.65079365079365081</v>
      </c>
      <c r="J118" s="18" cm="1">
        <f t="array" ref="J118">INDEX('Limit raise'!$A:$O,
MATCH(1,('Limit raise'!$A:$A=$C118)*('Limit raise'!$D:$D=J$16), 0),
MATCH(J$17,'Limit raise'!$1:$1,0))</f>
        <v>0.88652173913043453</v>
      </c>
      <c r="K118" s="18" cm="1">
        <f t="array" ref="K118">INDEX('Limit raise'!$A:$O,
MATCH(1,('Limit raise'!$A:$A=$C118)*('Limit raise'!$D:$D=K$16), 0),
MATCH(K$17,'Limit raise'!$1:$1,0))</f>
        <v>0.8047553861135488</v>
      </c>
      <c r="L118" s="18">
        <f>INDEX('Limit raise'!$A:$O,
MATCH($C118, 'Limit raise'!$A:$A, 0),
MATCH(L$17,'Limit raise'!$1:$1,0))</f>
        <v>0.1018952740625268</v>
      </c>
      <c r="M118" s="18">
        <v>0.15</v>
      </c>
      <c r="N118" s="18"/>
    </row>
    <row r="119" spans="3:14" s="13" customFormat="1" ht="7.2" customHeight="1" x14ac:dyDescent="0.3">
      <c r="C119" s="17">
        <v>101</v>
      </c>
      <c r="D119" s="18" cm="1">
        <f t="array" ref="D119">INDEX('New credit'!$A:$O,
MATCH(1,('New credit'!$A:$A=$C119)*('New credit'!$D:$D=D$16), 0),
MATCH(D$17,'New credit'!$1:$1,0))</f>
        <v>0.76190476190476186</v>
      </c>
      <c r="E119" s="18" cm="1">
        <f t="array" ref="E119">INDEX('New credit'!$A:$O,
MATCH(1,('New credit'!$A:$A=$C119)*('New credit'!$D:$D=E$16), 0),
MATCH(E$17,'New credit'!$1:$1,0))</f>
        <v>0.87249999999999994</v>
      </c>
      <c r="F119" s="18" cm="1">
        <f t="array" ref="F119">INDEX('New credit'!$A:$O,
MATCH(1,('New credit'!$A:$A=$C119)*('New credit'!$D:$D=F$16), 0),
MATCH(F$17,'New credit'!$1:$1,0))</f>
        <v>0.71471869506185559</v>
      </c>
      <c r="G119" s="18">
        <f>INDEX('New credit'!$A:$O,
MATCH($C119, 'New credit'!$A:$A, 0),
MATCH(G$17, 'New credit'!$1:$1, 0))</f>
        <v>1</v>
      </c>
      <c r="H119" s="18">
        <v>0.15</v>
      </c>
      <c r="I119" s="18" cm="1">
        <f t="array" ref="I119">INDEX('Limit raise'!$A:$O,
MATCH(1,('Limit raise'!$A:$A=$C119)*('Limit raise'!$D:$D=I$16), 0),
MATCH(I$17,'Limit raise'!$1:$1,0))</f>
        <v>0.67213114754098358</v>
      </c>
      <c r="J119" s="18" cm="1">
        <f t="array" ref="J119">INDEX('Limit raise'!$A:$O,
MATCH(1,('Limit raise'!$A:$A=$C119)*('Limit raise'!$D:$D=J$16), 0),
MATCH(J$17,'Limit raise'!$1:$1,0))</f>
        <v>0.88652173913043464</v>
      </c>
      <c r="K119" s="18" cm="1">
        <f t="array" ref="K119">INDEX('Limit raise'!$A:$O,
MATCH(1,('Limit raise'!$A:$A=$C119)*('Limit raise'!$D:$D=K$16), 0),
MATCH(K$17,'Limit raise'!$1:$1,0))</f>
        <v>0.77662739167257666</v>
      </c>
      <c r="L119" s="18">
        <f>INDEX('Limit raise'!$A:$O,
MATCH($C119, 'Limit raise'!$A:$A, 0),
MATCH(L$17,'Limit raise'!$1:$1,0))</f>
        <v>0.1019345131973773</v>
      </c>
      <c r="M119" s="18">
        <v>0.15</v>
      </c>
      <c r="N119" s="18"/>
    </row>
    <row r="120" spans="3:14" s="13" customFormat="1" ht="7.2" customHeight="1" x14ac:dyDescent="0.3">
      <c r="C120" s="17">
        <v>102</v>
      </c>
      <c r="D120" s="18" cm="1">
        <f t="array" ref="D120">INDEX('New credit'!$A:$O,
MATCH(1,('New credit'!$A:$A=$C120)*('New credit'!$D:$D=D$16), 0),
MATCH(D$17,'New credit'!$1:$1,0))</f>
        <v>0.76119402985074625</v>
      </c>
      <c r="E120" s="18" cm="1">
        <f t="array" ref="E120">INDEX('New credit'!$A:$O,
MATCH(1,('New credit'!$A:$A=$C120)*('New credit'!$D:$D=E$16), 0),
MATCH(E$17,'New credit'!$1:$1,0))</f>
        <v>0.87187499999999984</v>
      </c>
      <c r="F120" s="18" cm="1">
        <f t="array" ref="F120">INDEX('New credit'!$A:$O,
MATCH(1,('New credit'!$A:$A=$C120)*('New credit'!$D:$D=F$16), 0),
MATCH(F$17,'New credit'!$1:$1,0))</f>
        <v>0.7365015257148404</v>
      </c>
      <c r="G120" s="18">
        <f>INDEX('New credit'!$A:$O,
MATCH($C120, 'New credit'!$A:$A, 0),
MATCH(G$17, 'New credit'!$1:$1, 0))</f>
        <v>7.2624468417846796E-2</v>
      </c>
      <c r="H120" s="18">
        <v>0.15</v>
      </c>
      <c r="I120" s="18" cm="1">
        <f t="array" ref="I120">INDEX('Limit raise'!$A:$O,
MATCH(1,('Limit raise'!$A:$A=$C120)*('Limit raise'!$D:$D=I$16), 0),
MATCH(I$17,'Limit raise'!$1:$1,0))</f>
        <v>0.65573770491803274</v>
      </c>
      <c r="J120" s="18" cm="1">
        <f t="array" ref="J120">INDEX('Limit raise'!$A:$O,
MATCH(1,('Limit raise'!$A:$A=$C120)*('Limit raise'!$D:$D=J$16), 0),
MATCH(J$17,'Limit raise'!$1:$1,0))</f>
        <v>0.88913043478260856</v>
      </c>
      <c r="K120" s="18" cm="1">
        <f t="array" ref="K120">INDEX('Limit raise'!$A:$O,
MATCH(1,('Limit raise'!$A:$A=$C120)*('Limit raise'!$D:$D=K$16), 0),
MATCH(K$17,'Limit raise'!$1:$1,0))</f>
        <v>0.7574744051675173</v>
      </c>
      <c r="L120" s="18">
        <f>INDEX('Limit raise'!$A:$O,
MATCH($C120, 'Limit raise'!$A:$A, 0),
MATCH(L$17,'Limit raise'!$1:$1,0))</f>
        <v>9.9292049993025502E-2</v>
      </c>
      <c r="M120" s="18">
        <v>0.15</v>
      </c>
      <c r="N120" s="18"/>
    </row>
    <row r="121" spans="3:14" s="13" customFormat="1" ht="7.2" customHeight="1" x14ac:dyDescent="0.3">
      <c r="C121" s="17">
        <v>103</v>
      </c>
      <c r="D121" s="18" cm="1">
        <f t="array" ref="D121">INDEX('New credit'!$A:$O,
MATCH(1,('New credit'!$A:$A=$C121)*('New credit'!$D:$D=D$16), 0),
MATCH(D$17,'New credit'!$1:$1,0))</f>
        <v>0.73913043478260865</v>
      </c>
      <c r="E121" s="18" cm="1">
        <f t="array" ref="E121">INDEX('New credit'!$A:$O,
MATCH(1,('New credit'!$A:$A=$C121)*('New credit'!$D:$D=E$16), 0),
MATCH(E$17,'New credit'!$1:$1,0))</f>
        <v>0.8655172413793103</v>
      </c>
      <c r="F121" s="18" cm="1">
        <f t="array" ref="F121">INDEX('New credit'!$A:$O,
MATCH(1,('New credit'!$A:$A=$C121)*('New credit'!$D:$D=F$16), 0),
MATCH(F$17,'New credit'!$1:$1,0))</f>
        <v>0.65092401196175442</v>
      </c>
      <c r="G121" s="18">
        <f>INDEX('New credit'!$A:$O,
MATCH($C121, 'New credit'!$A:$A, 0),
MATCH(G$17, 'New credit'!$1:$1, 0))</f>
        <v>0.1214860421541992</v>
      </c>
      <c r="H121" s="18">
        <v>0.15</v>
      </c>
      <c r="I121" s="18" cm="1">
        <f t="array" ref="I121">INDEX('Limit raise'!$A:$O,
MATCH(1,('Limit raise'!$A:$A=$C121)*('Limit raise'!$D:$D=I$16), 0),
MATCH(I$17,'Limit raise'!$1:$1,0))</f>
        <v>0.66666666666666663</v>
      </c>
      <c r="J121" s="18" cm="1">
        <f t="array" ref="J121">INDEX('Limit raise'!$A:$O,
MATCH(1,('Limit raise'!$A:$A=$C121)*('Limit raise'!$D:$D=J$16), 0),
MATCH(J$17,'Limit raise'!$1:$1,0))</f>
        <v>0.92849999999999988</v>
      </c>
      <c r="K121" s="18" cm="1">
        <f t="array" ref="K121">INDEX('Limit raise'!$A:$O,
MATCH(1,('Limit raise'!$A:$A=$C121)*('Limit raise'!$D:$D=K$16), 0),
MATCH(K$17,'Limit raise'!$1:$1,0))</f>
        <v>0.86179283956639774</v>
      </c>
      <c r="L121" s="18">
        <f>INDEX('Limit raise'!$A:$O,
MATCH($C121, 'Limit raise'!$A:$A, 0),
MATCH(L$17,'Limit raise'!$1:$1,0))</f>
        <v>1</v>
      </c>
      <c r="M121" s="18">
        <v>0.15</v>
      </c>
      <c r="N121" s="18"/>
    </row>
    <row r="122" spans="3:14" s="13" customFormat="1" ht="7.2" customHeight="1" x14ac:dyDescent="0.3">
      <c r="C122" s="17">
        <v>104</v>
      </c>
      <c r="D122" s="18" cm="1">
        <f t="array" ref="D122">INDEX('New credit'!$A:$O,
MATCH(1,('New credit'!$A:$A=$C122)*('New credit'!$D:$D=D$16), 0),
MATCH(D$17,'New credit'!$1:$1,0))</f>
        <v>0.72222222222222221</v>
      </c>
      <c r="E122" s="18" cm="1">
        <f t="array" ref="E122">INDEX('New credit'!$A:$O,
MATCH(1,('New credit'!$A:$A=$C122)*('New credit'!$D:$D=E$16), 0),
MATCH(E$17,'New credit'!$1:$1,0))</f>
        <v>0.87066666666666648</v>
      </c>
      <c r="F122" s="18" cm="1">
        <f t="array" ref="F122">INDEX('New credit'!$A:$O,
MATCH(1,('New credit'!$A:$A=$C122)*('New credit'!$D:$D=F$16), 0),
MATCH(F$17,'New credit'!$1:$1,0))</f>
        <v>0.73376395552908635</v>
      </c>
      <c r="G122" s="18">
        <f>INDEX('New credit'!$A:$O,
MATCH($C122, 'New credit'!$A:$A, 0),
MATCH(G$17, 'New credit'!$1:$1, 0))</f>
        <v>0.17523808229613971</v>
      </c>
      <c r="H122" s="18">
        <v>0.15</v>
      </c>
      <c r="I122" s="18" cm="1">
        <f t="array" ref="I122">INDEX('Limit raise'!$A:$O,
MATCH(1,('Limit raise'!$A:$A=$C122)*('Limit raise'!$D:$D=I$16), 0),
MATCH(I$17,'Limit raise'!$1:$1,0))</f>
        <v>0.66666666666666663</v>
      </c>
      <c r="J122" s="18" cm="1">
        <f t="array" ref="J122">INDEX('Limit raise'!$A:$O,
MATCH(1,('Limit raise'!$A:$A=$C122)*('Limit raise'!$D:$D=J$16), 0),
MATCH(J$17,'Limit raise'!$1:$1,0))</f>
        <v>0.92799999999999994</v>
      </c>
      <c r="K122" s="18" cm="1">
        <f t="array" ref="K122">INDEX('Limit raise'!$A:$O,
MATCH(1,('Limit raise'!$A:$A=$C122)*('Limit raise'!$D:$D=K$16), 0),
MATCH(K$17,'Limit raise'!$1:$1,0))</f>
        <v>0.85384023146211208</v>
      </c>
      <c r="L122" s="18">
        <f>INDEX('Limit raise'!$A:$O,
MATCH($C122, 'Limit raise'!$A:$A, 0),
MATCH(L$17,'Limit raise'!$1:$1,0))</f>
        <v>1.7443944065613878E-2</v>
      </c>
      <c r="M122" s="18">
        <v>0.15</v>
      </c>
      <c r="N122" s="18"/>
    </row>
    <row r="123" spans="3:14" s="13" customFormat="1" ht="7.2" customHeight="1" x14ac:dyDescent="0.3">
      <c r="C123" s="17">
        <v>105</v>
      </c>
      <c r="D123" s="18" cm="1">
        <f t="array" ref="D123">INDEX('New credit'!$A:$O,
MATCH(1,('New credit'!$A:$A=$C123)*('New credit'!$D:$D=D$16), 0),
MATCH(D$17,'New credit'!$1:$1,0))</f>
        <v>0.7</v>
      </c>
      <c r="E123" s="18" cm="1">
        <f t="array" ref="E123">INDEX('New credit'!$A:$O,
MATCH(1,('New credit'!$A:$A=$C123)*('New credit'!$D:$D=E$16), 0),
MATCH(E$17,'New credit'!$1:$1,0))</f>
        <v>0.87233333333333329</v>
      </c>
      <c r="F123" s="18" cm="1">
        <f t="array" ref="F123">INDEX('New credit'!$A:$O,
MATCH(1,('New credit'!$A:$A=$C123)*('New credit'!$D:$D=F$16), 0),
MATCH(F$17,'New credit'!$1:$1,0))</f>
        <v>0.71789437759907559</v>
      </c>
      <c r="G123" s="18">
        <f>INDEX('New credit'!$A:$O,
MATCH($C123, 'New credit'!$A:$A, 0),
MATCH(G$17, 'New credit'!$1:$1, 0))</f>
        <v>8.547472659307008E-2</v>
      </c>
      <c r="H123" s="18">
        <v>0.15</v>
      </c>
      <c r="I123" s="18" cm="1">
        <f t="array" ref="I123">INDEX('Limit raise'!$A:$O,
MATCH(1,('Limit raise'!$A:$A=$C123)*('Limit raise'!$D:$D=I$16), 0),
MATCH(I$17,'Limit raise'!$1:$1,0))</f>
        <v>0.66666666666666663</v>
      </c>
      <c r="J123" s="18" cm="1">
        <f t="array" ref="J123">INDEX('Limit raise'!$A:$O,
MATCH(1,('Limit raise'!$A:$A=$C123)*('Limit raise'!$D:$D=J$16), 0),
MATCH(J$17,'Limit raise'!$1:$1,0))</f>
        <v>0.92749999999999999</v>
      </c>
      <c r="K123" s="18" cm="1">
        <f t="array" ref="K123">INDEX('Limit raise'!$A:$O,
MATCH(1,('Limit raise'!$A:$A=$C123)*('Limit raise'!$D:$D=K$16), 0),
MATCH(K$17,'Limit raise'!$1:$1,0))</f>
        <v>0.85408381470911421</v>
      </c>
      <c r="L123" s="18">
        <f>INDEX('Limit raise'!$A:$O,
MATCH($C123, 'Limit raise'!$A:$A, 0),
MATCH(L$17,'Limit raise'!$1:$1,0))</f>
        <v>2.109085668297753E-2</v>
      </c>
      <c r="M123" s="18">
        <v>0.15</v>
      </c>
      <c r="N123" s="18"/>
    </row>
    <row r="124" spans="3:14" s="13" customFormat="1" ht="7.2" customHeight="1" x14ac:dyDescent="0.3">
      <c r="C124" s="17">
        <v>106</v>
      </c>
      <c r="D124" s="18" cm="1">
        <f t="array" ref="D124">INDEX('New credit'!$A:$O,
MATCH(1,('New credit'!$A:$A=$C124)*('New credit'!$D:$D=D$16), 0),
MATCH(D$17,'New credit'!$1:$1,0))</f>
        <v>0.7142857142857143</v>
      </c>
      <c r="E124" s="18" cm="1">
        <f t="array" ref="E124">INDEX('New credit'!$A:$O,
MATCH(1,('New credit'!$A:$A=$C124)*('New credit'!$D:$D=E$16), 0),
MATCH(E$17,'New credit'!$1:$1,0))</f>
        <v>0.87366666666666648</v>
      </c>
      <c r="F124" s="18" cm="1">
        <f t="array" ref="F124">INDEX('New credit'!$A:$O,
MATCH(1,('New credit'!$A:$A=$C124)*('New credit'!$D:$D=F$16), 0),
MATCH(F$17,'New credit'!$1:$1,0))</f>
        <v>0.76277973451350789</v>
      </c>
      <c r="G124" s="18">
        <f>INDEX('New credit'!$A:$O,
MATCH($C124, 'New credit'!$A:$A, 0),
MATCH(G$17, 'New credit'!$1:$1, 0))</f>
        <v>8.9414728977269153E-2</v>
      </c>
      <c r="H124" s="18">
        <v>0.15</v>
      </c>
      <c r="I124" s="18" cm="1">
        <f t="array" ref="I124">INDEX('Limit raise'!$A:$O,
MATCH(1,('Limit raise'!$A:$A=$C124)*('Limit raise'!$D:$D=I$16), 0),
MATCH(I$17,'Limit raise'!$1:$1,0))</f>
        <v>0.671875</v>
      </c>
      <c r="J124" s="18" cm="1">
        <f t="array" ref="J124">INDEX('Limit raise'!$A:$O,
MATCH(1,('Limit raise'!$A:$A=$C124)*('Limit raise'!$D:$D=J$16), 0),
MATCH(J$17,'Limit raise'!$1:$1,0))</f>
        <v>0.92749999999999999</v>
      </c>
      <c r="K124" s="18" cm="1">
        <f t="array" ref="K124">INDEX('Limit raise'!$A:$O,
MATCH(1,('Limit raise'!$A:$A=$C124)*('Limit raise'!$D:$D=K$16), 0),
MATCH(K$17,'Limit raise'!$1:$1,0))</f>
        <v>0.8715940935826183</v>
      </c>
      <c r="L124" s="18">
        <f>INDEX('Limit raise'!$A:$O,
MATCH($C124, 'Limit raise'!$A:$A, 0),
MATCH(L$17,'Limit raise'!$1:$1,0))</f>
        <v>3.2460589086845848E-2</v>
      </c>
      <c r="M124" s="18">
        <v>0.15</v>
      </c>
      <c r="N124" s="18"/>
    </row>
    <row r="125" spans="3:14" s="13" customFormat="1" ht="7.2" customHeight="1" x14ac:dyDescent="0.3">
      <c r="C125" s="17">
        <v>107</v>
      </c>
      <c r="D125" s="18" cm="1">
        <f t="array" ref="D125">INDEX('New credit'!$A:$O,
MATCH(1,('New credit'!$A:$A=$C125)*('New credit'!$D:$D=D$16), 0),
MATCH(D$17,'New credit'!$1:$1,0))</f>
        <v>0.75757575757575757</v>
      </c>
      <c r="E125" s="18" cm="1">
        <f t="array" ref="E125">INDEX('New credit'!$A:$O,
MATCH(1,('New credit'!$A:$A=$C125)*('New credit'!$D:$D=E$16), 0),
MATCH(E$17,'New credit'!$1:$1,0))</f>
        <v>0.87374999999999992</v>
      </c>
      <c r="F125" s="18" cm="1">
        <f t="array" ref="F125">INDEX('New credit'!$A:$O,
MATCH(1,('New credit'!$A:$A=$C125)*('New credit'!$D:$D=F$16), 0),
MATCH(F$17,'New credit'!$1:$1,0))</f>
        <v>0.77741692348360891</v>
      </c>
      <c r="G125" s="18">
        <f>INDEX('New credit'!$A:$O,
MATCH($C125, 'New credit'!$A:$A, 0),
MATCH(G$17, 'New credit'!$1:$1, 0))</f>
        <v>0.1262246708820644</v>
      </c>
      <c r="H125" s="18">
        <v>0.15</v>
      </c>
      <c r="I125" s="18" cm="1">
        <f t="array" ref="I125">INDEX('Limit raise'!$A:$O,
MATCH(1,('Limit raise'!$A:$A=$C125)*('Limit raise'!$D:$D=I$16), 0),
MATCH(I$17,'Limit raise'!$1:$1,0))</f>
        <v>0.671875</v>
      </c>
      <c r="J125" s="18" cm="1">
        <f t="array" ref="J125">INDEX('Limit raise'!$A:$O,
MATCH(1,('Limit raise'!$A:$A=$C125)*('Limit raise'!$D:$D=J$16), 0),
MATCH(J$17,'Limit raise'!$1:$1,0))</f>
        <v>0.92849999999999999</v>
      </c>
      <c r="K125" s="18" cm="1">
        <f t="array" ref="K125">INDEX('Limit raise'!$A:$O,
MATCH(1,('Limit raise'!$A:$A=$C125)*('Limit raise'!$D:$D=K$16), 0),
MATCH(K$17,'Limit raise'!$1:$1,0))</f>
        <v>0.87288041895177637</v>
      </c>
      <c r="L125" s="18">
        <f>INDEX('Limit raise'!$A:$O,
MATCH($C125, 'Limit raise'!$A:$A, 0),
MATCH(L$17,'Limit raise'!$1:$1,0))</f>
        <v>3.7037765803252971E-2</v>
      </c>
      <c r="M125" s="18">
        <v>0.15</v>
      </c>
      <c r="N125" s="18"/>
    </row>
    <row r="126" spans="3:14" s="13" customFormat="1" ht="7.2" customHeight="1" x14ac:dyDescent="0.3">
      <c r="C126" s="17">
        <v>108</v>
      </c>
      <c r="D126" s="18" cm="1">
        <f t="array" ref="D126">INDEX('New credit'!$A:$O,
MATCH(1,('New credit'!$A:$A=$C126)*('New credit'!$D:$D=D$16), 0),
MATCH(D$17,'New credit'!$1:$1,0))</f>
        <v>0.77777777777777779</v>
      </c>
      <c r="E126" s="18" cm="1">
        <f t="array" ref="E126">INDEX('New credit'!$A:$O,
MATCH(1,('New credit'!$A:$A=$C126)*('New credit'!$D:$D=E$16), 0),
MATCH(E$17,'New credit'!$1:$1,0))</f>
        <v>0.86249999999999982</v>
      </c>
      <c r="F126" s="18" cm="1">
        <f t="array" ref="F126">INDEX('New credit'!$A:$O,
MATCH(1,('New credit'!$A:$A=$C126)*('New credit'!$D:$D=F$16), 0),
MATCH(F$17,'New credit'!$1:$1,0))</f>
        <v>0.74123150987484376</v>
      </c>
      <c r="G126" s="18">
        <f>INDEX('New credit'!$A:$O,
MATCH($C126, 'New credit'!$A:$A, 0),
MATCH(G$17, 'New credit'!$1:$1, 0))</f>
        <v>0.14858663391729179</v>
      </c>
      <c r="H126" s="18">
        <v>0.15</v>
      </c>
      <c r="I126" s="18" cm="1">
        <f t="array" ref="I126">INDEX('Limit raise'!$A:$O,
MATCH(1,('Limit raise'!$A:$A=$C126)*('Limit raise'!$D:$D=I$16), 0),
MATCH(I$17,'Limit raise'!$1:$1,0))</f>
        <v>0.671875</v>
      </c>
      <c r="J126" s="18" cm="1">
        <f t="array" ref="J126">INDEX('Limit raise'!$A:$O,
MATCH(1,('Limit raise'!$A:$A=$C126)*('Limit raise'!$D:$D=J$16), 0),
MATCH(J$17,'Limit raise'!$1:$1,0))</f>
        <v>0.92849999999999999</v>
      </c>
      <c r="K126" s="18" cm="1">
        <f t="array" ref="K126">INDEX('Limit raise'!$A:$O,
MATCH(1,('Limit raise'!$A:$A=$C126)*('Limit raise'!$D:$D=K$16), 0),
MATCH(K$17,'Limit raise'!$1:$1,0))</f>
        <v>0.87275138101192318</v>
      </c>
      <c r="L126" s="18">
        <f>INDEX('Limit raise'!$A:$O,
MATCH($C126, 'Limit raise'!$A:$A, 0),
MATCH(L$17,'Limit raise'!$1:$1,0))</f>
        <v>3.7804117236357911E-2</v>
      </c>
      <c r="M126" s="18">
        <v>0.15</v>
      </c>
      <c r="N126" s="18"/>
    </row>
    <row r="127" spans="3:14" s="13" customFormat="1" ht="7.2" customHeight="1" x14ac:dyDescent="0.3">
      <c r="C127" s="17">
        <v>109</v>
      </c>
      <c r="D127" s="18" cm="1">
        <f t="array" ref="D127">INDEX('New credit'!$A:$O,
MATCH(1,('New credit'!$A:$A=$C127)*('New credit'!$D:$D=D$16), 0),
MATCH(D$17,'New credit'!$1:$1,0))</f>
        <v>0.70491803278688525</v>
      </c>
      <c r="E127" s="18" cm="1">
        <f t="array" ref="E127">INDEX('New credit'!$A:$O,
MATCH(1,('New credit'!$A:$A=$C127)*('New credit'!$D:$D=E$16), 0),
MATCH(E$17,'New credit'!$1:$1,0))</f>
        <v>0.8588888888888887</v>
      </c>
      <c r="F127" s="18" cm="1">
        <f t="array" ref="F127">INDEX('New credit'!$A:$O,
MATCH(1,('New credit'!$A:$A=$C127)*('New credit'!$D:$D=F$16), 0),
MATCH(F$17,'New credit'!$1:$1,0))</f>
        <v>0.7406926476224478</v>
      </c>
      <c r="G127" s="18">
        <f>INDEX('New credit'!$A:$O,
MATCH($C127, 'New credit'!$A:$A, 0),
MATCH(G$17, 'New credit'!$1:$1, 0))</f>
        <v>0.17801795441612689</v>
      </c>
      <c r="H127" s="18">
        <v>0.15</v>
      </c>
      <c r="I127" s="18" cm="1">
        <f t="array" ref="I127">INDEX('Limit raise'!$A:$O,
MATCH(1,('Limit raise'!$A:$A=$C127)*('Limit raise'!$D:$D=I$16), 0),
MATCH(I$17,'Limit raise'!$1:$1,0))</f>
        <v>0.66666666666666663</v>
      </c>
      <c r="J127" s="18" cm="1">
        <f t="array" ref="J127">INDEX('Limit raise'!$A:$O,
MATCH(1,('Limit raise'!$A:$A=$C127)*('Limit raise'!$D:$D=J$16), 0),
MATCH(J$17,'Limit raise'!$1:$1,0))</f>
        <v>0.92749999999999988</v>
      </c>
      <c r="K127" s="18" cm="1">
        <f t="array" ref="K127">INDEX('Limit raise'!$A:$O,
MATCH(1,('Limit raise'!$A:$A=$C127)*('Limit raise'!$D:$D=K$16), 0),
MATCH(K$17,'Limit raise'!$1:$1,0))</f>
        <v>0.84111797154245183</v>
      </c>
      <c r="L127" s="18">
        <f>INDEX('Limit raise'!$A:$O,
MATCH($C127, 'Limit raise'!$A:$A, 0),
MATCH(L$17,'Limit raise'!$1:$1,0))</f>
        <v>4.3752387804804713E-2</v>
      </c>
      <c r="M127" s="18">
        <v>0.15</v>
      </c>
      <c r="N127" s="18"/>
    </row>
    <row r="128" spans="3:14" s="13" customFormat="1" ht="7.2" customHeight="1" x14ac:dyDescent="0.3">
      <c r="C128" s="17">
        <v>110</v>
      </c>
      <c r="D128" s="18" cm="1">
        <f t="array" ref="D128">INDEX('New credit'!$A:$O,
MATCH(1,('New credit'!$A:$A=$C128)*('New credit'!$D:$D=D$16), 0),
MATCH(D$17,'New credit'!$1:$1,0))</f>
        <v>0.72131147540983609</v>
      </c>
      <c r="E128" s="18" cm="1">
        <f t="array" ref="E128">INDEX('New credit'!$A:$O,
MATCH(1,('New credit'!$A:$A=$C128)*('New credit'!$D:$D=E$16), 0),
MATCH(E$17,'New credit'!$1:$1,0))</f>
        <v>0.85799999999999998</v>
      </c>
      <c r="F128" s="18" cm="1">
        <f t="array" ref="F128">INDEX('New credit'!$A:$O,
MATCH(1,('New credit'!$A:$A=$C128)*('New credit'!$D:$D=F$16), 0),
MATCH(F$17,'New credit'!$1:$1,0))</f>
        <v>0.73079960541888911</v>
      </c>
      <c r="G128" s="18">
        <f>INDEX('New credit'!$A:$O,
MATCH($C128, 'New credit'!$A:$A, 0),
MATCH(G$17, 'New credit'!$1:$1, 0))</f>
        <v>1</v>
      </c>
      <c r="H128" s="18">
        <v>0.15</v>
      </c>
      <c r="I128" s="18" cm="1">
        <f t="array" ref="I128">INDEX('Limit raise'!$A:$O,
MATCH(1,('Limit raise'!$A:$A=$C128)*('Limit raise'!$D:$D=I$16), 0),
MATCH(I$17,'Limit raise'!$1:$1,0))</f>
        <v>0.69354838709677424</v>
      </c>
      <c r="J128" s="18" cm="1">
        <f t="array" ref="J128">INDEX('Limit raise'!$A:$O,
MATCH(1,('Limit raise'!$A:$A=$C128)*('Limit raise'!$D:$D=J$16), 0),
MATCH(J$17,'Limit raise'!$1:$1,0))</f>
        <v>0.92749999999999988</v>
      </c>
      <c r="K128" s="18" cm="1">
        <f t="array" ref="K128">INDEX('Limit raise'!$A:$O,
MATCH(1,('Limit raise'!$A:$A=$C128)*('Limit raise'!$D:$D=K$16), 0),
MATCH(K$17,'Limit raise'!$1:$1,0))</f>
        <v>0.88674711271029305</v>
      </c>
      <c r="L128" s="18">
        <f>INDEX('Limit raise'!$A:$O,
MATCH($C128, 'Limit raise'!$A:$A, 0),
MATCH(L$17,'Limit raise'!$1:$1,0))</f>
        <v>4.568828836000903E-2</v>
      </c>
      <c r="M128" s="18">
        <v>0.15</v>
      </c>
      <c r="N128" s="18"/>
    </row>
    <row r="129" spans="3:26" s="13" customFormat="1" ht="7.2" customHeight="1" x14ac:dyDescent="0.3">
      <c r="C129" s="17">
        <v>111</v>
      </c>
      <c r="D129" s="18" cm="1">
        <f t="array" ref="D129">INDEX('New credit'!$A:$O,
MATCH(1,('New credit'!$A:$A=$C129)*('New credit'!$D:$D=D$16), 0),
MATCH(D$17,'New credit'!$1:$1,0))</f>
        <v>0.70769230769230773</v>
      </c>
      <c r="E129" s="18" cm="1">
        <f t="array" ref="E129">INDEX('New credit'!$A:$O,
MATCH(1,('New credit'!$A:$A=$C129)*('New credit'!$D:$D=E$16), 0),
MATCH(E$17,'New credit'!$1:$1,0))</f>
        <v>0.85799999999999976</v>
      </c>
      <c r="F129" s="18" cm="1">
        <f t="array" ref="F129">INDEX('New credit'!$A:$O,
MATCH(1,('New credit'!$A:$A=$C129)*('New credit'!$D:$D=F$16), 0),
MATCH(F$17,'New credit'!$1:$1,0))</f>
        <v>0.69954017795639245</v>
      </c>
      <c r="G129" s="18">
        <f>INDEX('New credit'!$A:$O,
MATCH($C129, 'New credit'!$A:$A, 0),
MATCH(G$17, 'New credit'!$1:$1, 0))</f>
        <v>7.6234031622593401E-2</v>
      </c>
      <c r="H129" s="18">
        <v>0.15</v>
      </c>
      <c r="I129" s="18" cm="1">
        <f t="array" ref="I129">INDEX('Limit raise'!$A:$O,
MATCH(1,('Limit raise'!$A:$A=$C129)*('Limit raise'!$D:$D=I$16), 0),
MATCH(I$17,'Limit raise'!$1:$1,0))</f>
        <v>0.67213114754098358</v>
      </c>
      <c r="J129" s="18" cm="1">
        <f t="array" ref="J129">INDEX('Limit raise'!$A:$O,
MATCH(1,('Limit raise'!$A:$A=$C129)*('Limit raise'!$D:$D=J$16), 0),
MATCH(J$17,'Limit raise'!$1:$1,0))</f>
        <v>0.92799999999999994</v>
      </c>
      <c r="K129" s="18" cm="1">
        <f t="array" ref="K129">INDEX('Limit raise'!$A:$O,
MATCH(1,('Limit raise'!$A:$A=$C129)*('Limit raise'!$D:$D=K$16), 0),
MATCH(K$17,'Limit raise'!$1:$1,0))</f>
        <v>0.88014340673598324</v>
      </c>
      <c r="L129" s="18">
        <f>INDEX('Limit raise'!$A:$O,
MATCH($C129, 'Limit raise'!$A:$A, 0),
MATCH(L$17,'Limit raise'!$1:$1,0))</f>
        <v>5.2493996901601801E-2</v>
      </c>
      <c r="M129" s="18">
        <v>0.15</v>
      </c>
      <c r="N129" s="18"/>
      <c r="P129" s="32" t="s">
        <v>220</v>
      </c>
      <c r="Q129" s="32" t="s">
        <v>304</v>
      </c>
      <c r="R129" s="33" t="s">
        <v>216</v>
      </c>
      <c r="S129" s="34" t="s">
        <v>305</v>
      </c>
      <c r="T129" s="35" t="s">
        <v>306</v>
      </c>
      <c r="U129" s="35" t="s">
        <v>307</v>
      </c>
      <c r="V129" s="35" t="s">
        <v>308</v>
      </c>
      <c r="W129" s="35" t="s">
        <v>309</v>
      </c>
      <c r="X129" s="35" t="s">
        <v>310</v>
      </c>
      <c r="Y129" s="35" t="s">
        <v>311</v>
      </c>
      <c r="Z129" s="36" t="s">
        <v>312</v>
      </c>
    </row>
    <row r="130" spans="3:26" s="13" customFormat="1" ht="7.2" customHeight="1" x14ac:dyDescent="0.3">
      <c r="C130" s="17">
        <v>112</v>
      </c>
      <c r="D130" s="18" cm="1">
        <f t="array" ref="D130">INDEX('New credit'!$A:$O,
MATCH(1,('New credit'!$A:$A=$C130)*('New credit'!$D:$D=D$16), 0),
MATCH(D$17,'New credit'!$1:$1,0))</f>
        <v>0.7384615384615385</v>
      </c>
      <c r="E130" s="18" cm="1">
        <f t="array" ref="E130">INDEX('New credit'!$A:$O,
MATCH(1,('New credit'!$A:$A=$C130)*('New credit'!$D:$D=E$16), 0),
MATCH(E$17,'New credit'!$1:$1,0))</f>
        <v>0.86242424242424232</v>
      </c>
      <c r="F130" s="18" cm="1">
        <f t="array" ref="F130">INDEX('New credit'!$A:$O,
MATCH(1,('New credit'!$A:$A=$C130)*('New credit'!$D:$D=F$16), 0),
MATCH(F$17,'New credit'!$1:$1,0))</f>
        <v>0.74297755566569079</v>
      </c>
      <c r="G130" s="18">
        <f>INDEX('New credit'!$A:$O,
MATCH($C130, 'New credit'!$A:$A, 0),
MATCH(G$17, 'New credit'!$1:$1, 0))</f>
        <v>0.16079646761313179</v>
      </c>
      <c r="H130" s="18">
        <v>0.15</v>
      </c>
      <c r="I130" s="18" cm="1">
        <f t="array" ref="I130">INDEX('Limit raise'!$A:$O,
MATCH(1,('Limit raise'!$A:$A=$C130)*('Limit raise'!$D:$D=I$16), 0),
MATCH(I$17,'Limit raise'!$1:$1,0))</f>
        <v>0.66129032258064513</v>
      </c>
      <c r="J130" s="18" cm="1">
        <f t="array" ref="J130">INDEX('Limit raise'!$A:$O,
MATCH(1,('Limit raise'!$A:$A=$C130)*('Limit raise'!$D:$D=J$16), 0),
MATCH(J$17,'Limit raise'!$1:$1,0))</f>
        <v>0.92749999999999999</v>
      </c>
      <c r="K130" s="18" cm="1">
        <f t="array" ref="K130">INDEX('Limit raise'!$A:$O,
MATCH(1,('Limit raise'!$A:$A=$C130)*('Limit raise'!$D:$D=K$16), 0),
MATCH(K$17,'Limit raise'!$1:$1,0))</f>
        <v>0.85993801942591697</v>
      </c>
      <c r="L130" s="18">
        <f>INDEX('Limit raise'!$A:$O,
MATCH($C130, 'Limit raise'!$A:$A, 0),
MATCH(L$17,'Limit raise'!$1:$1,0))</f>
        <v>5.5157564846599949E-2</v>
      </c>
      <c r="M130" s="18">
        <v>0.15</v>
      </c>
      <c r="N130" s="18"/>
      <c r="P130" s="37" t="s">
        <v>15</v>
      </c>
      <c r="Q130" s="37" t="s">
        <v>313</v>
      </c>
      <c r="R130" s="38" t="s">
        <v>16</v>
      </c>
      <c r="S130" s="39">
        <v>135</v>
      </c>
      <c r="T130" s="42">
        <v>0.71845362016300063</v>
      </c>
      <c r="U130" s="40">
        <v>0.77484004332910394</v>
      </c>
      <c r="V130" s="40">
        <v>0.64969639358392051</v>
      </c>
      <c r="W130" s="40">
        <v>0.10000000000000085</v>
      </c>
      <c r="X130" s="40">
        <v>0.40000000000000341</v>
      </c>
      <c r="Y130" s="40">
        <v>5.0000000000000426E-2</v>
      </c>
      <c r="Z130" s="41">
        <v>2.72952989228307E-3</v>
      </c>
    </row>
    <row r="131" spans="3:26" s="13" customFormat="1" ht="7.2" customHeight="1" x14ac:dyDescent="0.3">
      <c r="C131" s="17">
        <v>113</v>
      </c>
      <c r="D131" s="18" cm="1">
        <f t="array" ref="D131">INDEX('New credit'!$A:$O,
MATCH(1,('New credit'!$A:$A=$C131)*('New credit'!$D:$D=D$16), 0),
MATCH(D$17,'New credit'!$1:$1,0))</f>
        <v>0.70967741935483875</v>
      </c>
      <c r="E131" s="18" cm="1">
        <f t="array" ref="E131">INDEX('New credit'!$A:$O,
MATCH(1,('New credit'!$A:$A=$C131)*('New credit'!$D:$D=E$16), 0),
MATCH(E$17,'New credit'!$1:$1,0))</f>
        <v>0.86285714285714255</v>
      </c>
      <c r="F131" s="18" cm="1">
        <f t="array" ref="F131">INDEX('New credit'!$A:$O,
MATCH(1,('New credit'!$A:$A=$C131)*('New credit'!$D:$D=F$16), 0),
MATCH(F$17,'New credit'!$1:$1,0))</f>
        <v>0.73900521945233055</v>
      </c>
      <c r="G131" s="18">
        <f>INDEX('New credit'!$A:$O,
MATCH($C131, 'New credit'!$A:$A, 0),
MATCH(G$17, 'New credit'!$1:$1, 0))</f>
        <v>9.6014157345081313E-2</v>
      </c>
      <c r="H131" s="18">
        <v>0.15</v>
      </c>
      <c r="I131" s="18" cm="1">
        <f t="array" ref="I131">INDEX('Limit raise'!$A:$O,
MATCH(1,('Limit raise'!$A:$A=$C131)*('Limit raise'!$D:$D=I$16), 0),
MATCH(I$17,'Limit raise'!$1:$1,0))</f>
        <v>0.66129032258064513</v>
      </c>
      <c r="J131" s="18" cm="1">
        <f t="array" ref="J131">INDEX('Limit raise'!$A:$O,
MATCH(1,('Limit raise'!$A:$A=$C131)*('Limit raise'!$D:$D=J$16), 0),
MATCH(J$17,'Limit raise'!$1:$1,0))</f>
        <v>0.92749999999999999</v>
      </c>
      <c r="K131" s="18" cm="1">
        <f t="array" ref="K131">INDEX('Limit raise'!$A:$O,
MATCH(1,('Limit raise'!$A:$A=$C131)*('Limit raise'!$D:$D=K$16), 0),
MATCH(K$17,'Limit raise'!$1:$1,0))</f>
        <v>0.8547606244977719</v>
      </c>
      <c r="L131" s="18">
        <f>INDEX('Limit raise'!$A:$O,
MATCH($C131, 'Limit raise'!$A:$A, 0),
MATCH(L$17,'Limit raise'!$1:$1,0))</f>
        <v>5.7602305760636643E-2</v>
      </c>
      <c r="M131" s="18">
        <v>0.15</v>
      </c>
      <c r="N131" s="18"/>
      <c r="P131" s="37"/>
      <c r="Q131" s="37"/>
      <c r="R131" s="38" t="s">
        <v>162</v>
      </c>
      <c r="S131" s="39">
        <v>135</v>
      </c>
      <c r="T131" s="40">
        <v>0.44224872715497909</v>
      </c>
      <c r="U131" s="42">
        <v>0.86140816744722026</v>
      </c>
      <c r="V131" s="40">
        <v>0.68977919700715007</v>
      </c>
      <c r="W131" s="40">
        <v>0.87957894736841802</v>
      </c>
      <c r="X131" s="40">
        <v>0.5730526315789487</v>
      </c>
      <c r="Y131" s="40">
        <v>5.1157894736842534E-2</v>
      </c>
      <c r="Z131" s="41">
        <v>3.2982633759927279E-3</v>
      </c>
    </row>
    <row r="132" spans="3:26" s="13" customFormat="1" ht="7.2" customHeight="1" x14ac:dyDescent="0.3">
      <c r="C132" s="17">
        <v>114</v>
      </c>
      <c r="D132" s="18" cm="1">
        <f t="array" ref="D132">INDEX('New credit'!$A:$O,
MATCH(1,('New credit'!$A:$A=$C132)*('New credit'!$D:$D=D$16), 0),
MATCH(D$17,'New credit'!$1:$1,0))</f>
        <v>0.7142857142857143</v>
      </c>
      <c r="E132" s="18" cm="1">
        <f t="array" ref="E132">INDEX('New credit'!$A:$O,
MATCH(1,('New credit'!$A:$A=$C132)*('New credit'!$D:$D=E$16), 0),
MATCH(E$17,'New credit'!$1:$1,0))</f>
        <v>0.869705882352941</v>
      </c>
      <c r="F132" s="18" cm="1">
        <f t="array" ref="F132">INDEX('New credit'!$A:$O,
MATCH(1,('New credit'!$A:$A=$C132)*('New credit'!$D:$D=F$16), 0),
MATCH(F$17,'New credit'!$1:$1,0))</f>
        <v>0.65329562376675743</v>
      </c>
      <c r="G132" s="18">
        <f>INDEX('New credit'!$A:$O,
MATCH($C132, 'New credit'!$A:$A, 0),
MATCH(G$17, 'New credit'!$1:$1, 0))</f>
        <v>0.1043263918523126</v>
      </c>
      <c r="H132" s="18">
        <v>0.15</v>
      </c>
      <c r="I132" s="18" cm="1">
        <f t="array" ref="I132">INDEX('Limit raise'!$A:$O,
MATCH(1,('Limit raise'!$A:$A=$C132)*('Limit raise'!$D:$D=I$16), 0),
MATCH(I$17,'Limit raise'!$1:$1,0))</f>
        <v>0.66129032258064513</v>
      </c>
      <c r="J132" s="18" cm="1">
        <f t="array" ref="J132">INDEX('Limit raise'!$A:$O,
MATCH(1,('Limit raise'!$A:$A=$C132)*('Limit raise'!$D:$D=J$16), 0),
MATCH(J$17,'Limit raise'!$1:$1,0))</f>
        <v>0.92849999999999999</v>
      </c>
      <c r="K132" s="18" cm="1">
        <f t="array" ref="K132">INDEX('Limit raise'!$A:$O,
MATCH(1,('Limit raise'!$A:$A=$C132)*('Limit raise'!$D:$D=K$16), 0),
MATCH(K$17,'Limit raise'!$1:$1,0))</f>
        <v>0.85379051601360556</v>
      </c>
      <c r="L132" s="18">
        <f>INDEX('Limit raise'!$A:$O,
MATCH($C132, 'Limit raise'!$A:$A, 0),
MATCH(L$17,'Limit raise'!$1:$1,0))</f>
        <v>5.9326326624321017E-2</v>
      </c>
      <c r="M132" s="18">
        <v>0.15</v>
      </c>
      <c r="N132" s="18"/>
      <c r="P132" s="37"/>
      <c r="Q132" s="37"/>
      <c r="R132" s="38" t="s">
        <v>161</v>
      </c>
      <c r="S132" s="39">
        <v>135</v>
      </c>
      <c r="T132" s="40">
        <v>0.5752518775687574</v>
      </c>
      <c r="U132" s="40">
        <v>0.837878469206636</v>
      </c>
      <c r="V132" s="42">
        <v>0.74367941235434587</v>
      </c>
      <c r="W132" s="40">
        <v>0.62273684210526248</v>
      </c>
      <c r="X132" s="40">
        <v>0.55284210526316035</v>
      </c>
      <c r="Y132" s="40">
        <v>5.8947368421053095E-2</v>
      </c>
      <c r="Z132" s="41">
        <v>2.9121153810984114E-3</v>
      </c>
    </row>
    <row r="133" spans="3:26" s="13" customFormat="1" ht="7.2" customHeight="1" x14ac:dyDescent="0.3">
      <c r="C133" s="17">
        <v>115</v>
      </c>
      <c r="D133" s="18" cm="1">
        <f t="array" ref="D133">INDEX('New credit'!$A:$O,
MATCH(1,('New credit'!$A:$A=$C133)*('New credit'!$D:$D=D$16), 0),
MATCH(D$17,'New credit'!$1:$1,0))</f>
        <v>0.71212121212121215</v>
      </c>
      <c r="E133" s="18" cm="1">
        <f t="array" ref="E133">INDEX('New credit'!$A:$O,
MATCH(1,('New credit'!$A:$A=$C133)*('New credit'!$D:$D=E$16), 0),
MATCH(E$17,'New credit'!$1:$1,0))</f>
        <v>0.89678571428571396</v>
      </c>
      <c r="F133" s="18" cm="1">
        <f t="array" ref="F133">INDEX('New credit'!$A:$O,
MATCH(1,('New credit'!$A:$A=$C133)*('New credit'!$D:$D=F$16), 0),
MATCH(F$17,'New credit'!$1:$1,0))</f>
        <v>0.71842312607961689</v>
      </c>
      <c r="G133" s="18">
        <f>INDEX('New credit'!$A:$O,
MATCH($C133, 'New credit'!$A:$A, 0),
MATCH(G$17, 'New credit'!$1:$1, 0))</f>
        <v>1</v>
      </c>
      <c r="H133" s="18">
        <v>0.15</v>
      </c>
      <c r="I133" s="18" cm="1">
        <f t="array" ref="I133">INDEX('Limit raise'!$A:$O,
MATCH(1,('Limit raise'!$A:$A=$C133)*('Limit raise'!$D:$D=I$16), 0),
MATCH(I$17,'Limit raise'!$1:$1,0))</f>
        <v>0.68852459016393441</v>
      </c>
      <c r="J133" s="18" cm="1">
        <f t="array" ref="J133">INDEX('Limit raise'!$A:$O,
MATCH(1,('Limit raise'!$A:$A=$C133)*('Limit raise'!$D:$D=J$16), 0),
MATCH(J$17,'Limit raise'!$1:$1,0))</f>
        <v>0.92749999999999999</v>
      </c>
      <c r="K133" s="18" cm="1">
        <f t="array" ref="K133">INDEX('Limit raise'!$A:$O,
MATCH(1,('Limit raise'!$A:$A=$C133)*('Limit raise'!$D:$D=K$16), 0),
MATCH(K$17,'Limit raise'!$1:$1,0))</f>
        <v>0.82791563709588212</v>
      </c>
      <c r="L133" s="18">
        <f>INDEX('Limit raise'!$A:$O,
MATCH($C133, 'Limit raise'!$A:$A, 0),
MATCH(L$17,'Limit raise'!$1:$1,0))</f>
        <v>5.9646716851600577E-2</v>
      </c>
      <c r="M133" s="18">
        <v>0.15</v>
      </c>
      <c r="N133" s="18"/>
      <c r="P133" s="37" t="s">
        <v>163</v>
      </c>
      <c r="Q133" s="37" t="s">
        <v>313</v>
      </c>
      <c r="R133" s="38" t="s">
        <v>16</v>
      </c>
      <c r="S133" s="39">
        <v>135</v>
      </c>
      <c r="T133" s="42">
        <v>0.66657239883913033</v>
      </c>
      <c r="U133" s="40">
        <v>0.80400558440733982</v>
      </c>
      <c r="V133" s="40">
        <v>0.66658866458941168</v>
      </c>
      <c r="W133" s="40">
        <v>0.10000000000000085</v>
      </c>
      <c r="X133" s="40">
        <v>0.40000000000000341</v>
      </c>
      <c r="Y133" s="40">
        <v>5.0000000000000426E-2</v>
      </c>
      <c r="Z133" s="41">
        <v>2.061506856628155E-4</v>
      </c>
    </row>
    <row r="134" spans="3:26" s="13" customFormat="1" ht="7.2" customHeight="1" x14ac:dyDescent="0.3">
      <c r="C134" s="17">
        <v>116</v>
      </c>
      <c r="D134" s="18" cm="1">
        <f t="array" ref="D134">INDEX('New credit'!$A:$O,
MATCH(1,('New credit'!$A:$A=$C134)*('New credit'!$D:$D=D$16), 0),
MATCH(D$17,'New credit'!$1:$1,0))</f>
        <v>0.69230769230769229</v>
      </c>
      <c r="E134" s="18" cm="1">
        <f t="array" ref="E134">INDEX('New credit'!$A:$O,
MATCH(1,('New credit'!$A:$A=$C134)*('New credit'!$D:$D=E$16), 0),
MATCH(E$17,'New credit'!$1:$1,0))</f>
        <v>0.88692307692307704</v>
      </c>
      <c r="F134" s="18" cm="1">
        <f t="array" ref="F134">INDEX('New credit'!$A:$O,
MATCH(1,('New credit'!$A:$A=$C134)*('New credit'!$D:$D=F$16), 0),
MATCH(F$17,'New credit'!$1:$1,0))</f>
        <v>0.75113717796348545</v>
      </c>
      <c r="G134" s="18">
        <f>INDEX('New credit'!$A:$O,
MATCH($C134, 'New credit'!$A:$A, 0),
MATCH(G$17, 'New credit'!$1:$1, 0))</f>
        <v>0.13181084931160869</v>
      </c>
      <c r="H134" s="18">
        <v>0.15</v>
      </c>
      <c r="I134" s="18" cm="1">
        <f t="array" ref="I134">INDEX('Limit raise'!$A:$O,
MATCH(1,('Limit raise'!$A:$A=$C134)*('Limit raise'!$D:$D=I$16), 0),
MATCH(I$17,'Limit raise'!$1:$1,0))</f>
        <v>0.66666666666666663</v>
      </c>
      <c r="J134" s="18" cm="1">
        <f t="array" ref="J134">INDEX('Limit raise'!$A:$O,
MATCH(1,('Limit raise'!$A:$A=$C134)*('Limit raise'!$D:$D=J$16), 0),
MATCH(J$17,'Limit raise'!$1:$1,0))</f>
        <v>0.92749999999999999</v>
      </c>
      <c r="K134" s="18" cm="1">
        <f t="array" ref="K134">INDEX('Limit raise'!$A:$O,
MATCH(1,('Limit raise'!$A:$A=$C134)*('Limit raise'!$D:$D=K$16), 0),
MATCH(K$17,'Limit raise'!$1:$1,0))</f>
        <v>0.84630336815253981</v>
      </c>
      <c r="L134" s="18">
        <f>INDEX('Limit raise'!$A:$O,
MATCH($C134, 'Limit raise'!$A:$A, 0),
MATCH(L$17,'Limit raise'!$1:$1,0))</f>
        <v>6.4760299330279922E-2</v>
      </c>
      <c r="M134" s="18">
        <v>0.15</v>
      </c>
      <c r="N134" s="18"/>
      <c r="P134" s="37" t="s">
        <v>163</v>
      </c>
      <c r="Q134" s="37" t="s">
        <v>313</v>
      </c>
      <c r="R134" s="38" t="s">
        <v>162</v>
      </c>
      <c r="S134" s="39">
        <v>135</v>
      </c>
      <c r="T134" s="40">
        <v>0.36444574189536738</v>
      </c>
      <c r="U134" s="42">
        <v>0.91663465843424208</v>
      </c>
      <c r="V134" s="40">
        <v>0.71554562182951553</v>
      </c>
      <c r="W134" s="40">
        <v>0.89999999999999325</v>
      </c>
      <c r="X134" s="40">
        <v>0.71452631578947934</v>
      </c>
      <c r="Y134" s="40">
        <v>0.10957894736842151</v>
      </c>
      <c r="Z134" s="41">
        <v>2.6558997008428031E-4</v>
      </c>
    </row>
    <row r="135" spans="3:26" s="13" customFormat="1" ht="7.2" customHeight="1" x14ac:dyDescent="0.3">
      <c r="C135" s="17">
        <v>117</v>
      </c>
      <c r="D135" s="18" cm="1">
        <f t="array" ref="D135">INDEX('New credit'!$A:$O,
MATCH(1,('New credit'!$A:$A=$C135)*('New credit'!$D:$D=D$16), 0),
MATCH(D$17,'New credit'!$1:$1,0))</f>
        <v>0.74626865671641796</v>
      </c>
      <c r="E135" s="18" cm="1">
        <f t="array" ref="E135">INDEX('New credit'!$A:$O,
MATCH(1,('New credit'!$A:$A=$C135)*('New credit'!$D:$D=E$16), 0),
MATCH(E$17,'New credit'!$1:$1,0))</f>
        <v>0.85384615384615381</v>
      </c>
      <c r="F135" s="18" cm="1">
        <f t="array" ref="F135">INDEX('New credit'!$A:$O,
MATCH(1,('New credit'!$A:$A=$C135)*('New credit'!$D:$D=F$16), 0),
MATCH(F$17,'New credit'!$1:$1,0))</f>
        <v>0.64263468172050553</v>
      </c>
      <c r="G135" s="18">
        <f>INDEX('New credit'!$A:$O,
MATCH($C135, 'New credit'!$A:$A, 0),
MATCH(G$17, 'New credit'!$1:$1, 0))</f>
        <v>0.14967231376392459</v>
      </c>
      <c r="H135" s="18">
        <v>0.15</v>
      </c>
      <c r="I135" s="18" cm="1">
        <f t="array" ref="I135">INDEX('Limit raise'!$A:$O,
MATCH(1,('Limit raise'!$A:$A=$C135)*('Limit raise'!$D:$D=I$16), 0),
MATCH(I$17,'Limit raise'!$1:$1,0))</f>
        <v>0.68333333333333335</v>
      </c>
      <c r="J135" s="18" cm="1">
        <f t="array" ref="J135">INDEX('Limit raise'!$A:$O,
MATCH(1,('Limit raise'!$A:$A=$C135)*('Limit raise'!$D:$D=J$16), 0),
MATCH(J$17,'Limit raise'!$1:$1,0))</f>
        <v>0.92699999999999994</v>
      </c>
      <c r="K135" s="18" cm="1">
        <f t="array" ref="K135">INDEX('Limit raise'!$A:$O,
MATCH(1,('Limit raise'!$A:$A=$C135)*('Limit raise'!$D:$D=K$16), 0),
MATCH(K$17,'Limit raise'!$1:$1,0))</f>
        <v>0.8438366718746646</v>
      </c>
      <c r="L135" s="18">
        <f>INDEX('Limit raise'!$A:$O,
MATCH($C135, 'Limit raise'!$A:$A, 0),
MATCH(L$17,'Limit raise'!$1:$1,0))</f>
        <v>7.0025753394860529E-2</v>
      </c>
      <c r="M135" s="18">
        <v>0.15</v>
      </c>
      <c r="N135" s="18"/>
      <c r="P135" s="37" t="s">
        <v>163</v>
      </c>
      <c r="Q135" s="37" t="s">
        <v>313</v>
      </c>
      <c r="R135" s="38" t="s">
        <v>161</v>
      </c>
      <c r="S135" s="39">
        <v>135</v>
      </c>
      <c r="T135" s="40">
        <v>0.50207396052112974</v>
      </c>
      <c r="U135" s="40">
        <v>0.89662444741348379</v>
      </c>
      <c r="V135" s="42">
        <v>0.81413389958009419</v>
      </c>
      <c r="W135" s="40">
        <v>0.75431578947368916</v>
      </c>
      <c r="X135" s="40">
        <v>0.70610526315790079</v>
      </c>
      <c r="Y135" s="40">
        <v>5.1368421052632028E-2</v>
      </c>
      <c r="Z135" s="41">
        <v>2.3718561995634714E-4</v>
      </c>
    </row>
    <row r="136" spans="3:26" s="13" customFormat="1" ht="7.2" customHeight="1" x14ac:dyDescent="0.3">
      <c r="C136" s="17">
        <v>118</v>
      </c>
      <c r="D136" s="18" cm="1">
        <f t="array" ref="D136">INDEX('New credit'!$A:$O,
MATCH(1,('New credit'!$A:$A=$C136)*('New credit'!$D:$D=D$16), 0),
MATCH(D$17,'New credit'!$1:$1,0))</f>
        <v>0.71212121212121215</v>
      </c>
      <c r="E136" s="18" cm="1">
        <f t="array" ref="E136">INDEX('New credit'!$A:$O,
MATCH(1,('New credit'!$A:$A=$C136)*('New credit'!$D:$D=E$16), 0),
MATCH(E$17,'New credit'!$1:$1,0))</f>
        <v>0.88884615384615395</v>
      </c>
      <c r="F136" s="18" cm="1">
        <f t="array" ref="F136">INDEX('New credit'!$A:$O,
MATCH(1,('New credit'!$A:$A=$C136)*('New credit'!$D:$D=F$16), 0),
MATCH(F$17,'New credit'!$1:$1,0))</f>
        <v>0.73171749875409564</v>
      </c>
      <c r="G136" s="18">
        <f>INDEX('New credit'!$A:$O,
MATCH($C136, 'New credit'!$A:$A, 0),
MATCH(G$17, 'New credit'!$1:$1, 0))</f>
        <v>0.1731922152442596</v>
      </c>
      <c r="H136" s="18">
        <v>0.15</v>
      </c>
      <c r="I136" s="18" cm="1">
        <f t="array" ref="I136">INDEX('Limit raise'!$A:$O,
MATCH(1,('Limit raise'!$A:$A=$C136)*('Limit raise'!$D:$D=I$16), 0),
MATCH(I$17,'Limit raise'!$1:$1,0))</f>
        <v>0.67213114754098358</v>
      </c>
      <c r="J136" s="18" cm="1">
        <f t="array" ref="J136">INDEX('Limit raise'!$A:$O,
MATCH(1,('Limit raise'!$A:$A=$C136)*('Limit raise'!$D:$D=J$16), 0),
MATCH(J$17,'Limit raise'!$1:$1,0))</f>
        <v>0.9265000000000001</v>
      </c>
      <c r="K136" s="18" cm="1">
        <f t="array" ref="K136">INDEX('Limit raise'!$A:$O,
MATCH(1,('Limit raise'!$A:$A=$C136)*('Limit raise'!$D:$D=K$16), 0),
MATCH(K$17,'Limit raise'!$1:$1,0))</f>
        <v>0.83879100712905841</v>
      </c>
      <c r="L136" s="18">
        <f>INDEX('Limit raise'!$A:$O,
MATCH($C136, 'Limit raise'!$A:$A, 0),
MATCH(L$17,'Limit raise'!$1:$1,0))</f>
        <v>6.5423438781988058E-2</v>
      </c>
      <c r="M136" s="18">
        <v>0.15</v>
      </c>
      <c r="N136" s="18"/>
      <c r="P136" s="37" t="s">
        <v>15</v>
      </c>
      <c r="Q136" s="37" t="s">
        <v>314</v>
      </c>
      <c r="R136" s="38" t="s">
        <v>16</v>
      </c>
      <c r="S136" s="39">
        <v>50</v>
      </c>
      <c r="T136" s="42">
        <v>0.69718105263157837</v>
      </c>
      <c r="U136" s="40">
        <v>0.78717263157894735</v>
      </c>
      <c r="V136" s="40">
        <v>0.65664842105263166</v>
      </c>
      <c r="W136" s="40">
        <v>0.27540210526315978</v>
      </c>
      <c r="X136" s="40">
        <v>0.55920631578947655</v>
      </c>
      <c r="Y136" s="40">
        <v>5.6242105263158357E-2</v>
      </c>
      <c r="Z136" s="41">
        <v>7.1855157894736895E-3</v>
      </c>
    </row>
    <row r="137" spans="3:26" s="13" customFormat="1" ht="7.2" customHeight="1" x14ac:dyDescent="0.3">
      <c r="C137" s="17">
        <v>119</v>
      </c>
      <c r="D137" s="18" cm="1">
        <f t="array" ref="D137">INDEX('New credit'!$A:$O,
MATCH(1,('New credit'!$A:$A=$C137)*('New credit'!$D:$D=D$16), 0),
MATCH(D$17,'New credit'!$1:$1,0))</f>
        <v>0.75384615384615383</v>
      </c>
      <c r="E137" s="18" cm="1">
        <f t="array" ref="E137">INDEX('New credit'!$A:$O,
MATCH(1,('New credit'!$A:$A=$C137)*('New credit'!$D:$D=E$16), 0),
MATCH(E$17,'New credit'!$1:$1,0))</f>
        <v>0.85692307692307679</v>
      </c>
      <c r="F137" s="18" cm="1">
        <f t="array" ref="F137">INDEX('New credit'!$A:$O,
MATCH(1,('New credit'!$A:$A=$C137)*('New credit'!$D:$D=F$16), 0),
MATCH(F$17,'New credit'!$1:$1,0))</f>
        <v>0.69309450904921854</v>
      </c>
      <c r="G137" s="18">
        <f>INDEX('New credit'!$A:$O,
MATCH($C137, 'New credit'!$A:$A, 0),
MATCH(G$17, 'New credit'!$1:$1, 0))</f>
        <v>0.1163421712088321</v>
      </c>
      <c r="H137" s="18">
        <v>0.15</v>
      </c>
      <c r="I137" s="18" cm="1">
        <f t="array" ref="I137">INDEX('Limit raise'!$A:$O,
MATCH(1,('Limit raise'!$A:$A=$C137)*('Limit raise'!$D:$D=I$16), 0),
MATCH(I$17,'Limit raise'!$1:$1,0))</f>
        <v>0.68333333333333335</v>
      </c>
      <c r="J137" s="18" cm="1">
        <f t="array" ref="J137">INDEX('Limit raise'!$A:$O,
MATCH(1,('Limit raise'!$A:$A=$C137)*('Limit raise'!$D:$D=J$16), 0),
MATCH(J$17,'Limit raise'!$1:$1,0))</f>
        <v>0.92599999999999993</v>
      </c>
      <c r="K137" s="18" cm="1">
        <f t="array" ref="K137">INDEX('Limit raise'!$A:$O,
MATCH(1,('Limit raise'!$A:$A=$C137)*('Limit raise'!$D:$D=K$16), 0),
MATCH(K$17,'Limit raise'!$1:$1,0))</f>
        <v>0.8481182926384101</v>
      </c>
      <c r="L137" s="18">
        <f>INDEX('Limit raise'!$A:$O,
MATCH($C137, 'Limit raise'!$A:$A, 0),
MATCH(L$17,'Limit raise'!$1:$1,0))</f>
        <v>6.7229489028879055E-2</v>
      </c>
      <c r="M137" s="18">
        <v>0.15</v>
      </c>
      <c r="N137" s="18"/>
      <c r="P137" s="37" t="s">
        <v>15</v>
      </c>
      <c r="Q137" s="37" t="s">
        <v>314</v>
      </c>
      <c r="R137" s="38" t="s">
        <v>162</v>
      </c>
      <c r="S137" s="39">
        <v>50</v>
      </c>
      <c r="T137" s="40">
        <v>0.47263157894736813</v>
      </c>
      <c r="U137" s="42">
        <v>0.86224842105263166</v>
      </c>
      <c r="V137" s="40">
        <v>0.70288842105263072</v>
      </c>
      <c r="W137" s="40">
        <v>0.83754526315789934</v>
      </c>
      <c r="X137" s="40">
        <v>0.63526105263158072</v>
      </c>
      <c r="Y137" s="40">
        <v>5.7490526315789992E-2</v>
      </c>
      <c r="Z137" s="41">
        <v>8.885663157894734E-3</v>
      </c>
    </row>
    <row r="138" spans="3:26" s="13" customFormat="1" ht="7.2" customHeight="1" x14ac:dyDescent="0.3">
      <c r="C138" s="17">
        <v>120</v>
      </c>
      <c r="D138" s="18" cm="1">
        <f t="array" ref="D138">INDEX('New credit'!$A:$O,
MATCH(1,('New credit'!$A:$A=$C138)*('New credit'!$D:$D=D$16), 0),
MATCH(D$17,'New credit'!$1:$1,0))</f>
        <v>0.71875</v>
      </c>
      <c r="E138" s="18" cm="1">
        <f t="array" ref="E138">INDEX('New credit'!$A:$O,
MATCH(1,('New credit'!$A:$A=$C138)*('New credit'!$D:$D=E$16), 0),
MATCH(E$17,'New credit'!$1:$1,0))</f>
        <v>0.86424242424242403</v>
      </c>
      <c r="F138" s="18" cm="1">
        <f t="array" ref="F138">INDEX('New credit'!$A:$O,
MATCH(1,('New credit'!$A:$A=$C138)*('New credit'!$D:$D=F$16), 0),
MATCH(F$17,'New credit'!$1:$1,0))</f>
        <v>0.63931889813683151</v>
      </c>
      <c r="G138" s="18">
        <f>INDEX('New credit'!$A:$O,
MATCH($C138, 'New credit'!$A:$A, 0),
MATCH(G$17, 'New credit'!$1:$1, 0))</f>
        <v>0.18093004683249009</v>
      </c>
      <c r="H138" s="18">
        <v>0.15</v>
      </c>
      <c r="I138" s="18" cm="1">
        <f t="array" ref="I138">INDEX('Limit raise'!$A:$O,
MATCH(1,('Limit raise'!$A:$A=$C138)*('Limit raise'!$D:$D=I$16), 0),
MATCH(I$17,'Limit raise'!$1:$1,0))</f>
        <v>0.66666666666666663</v>
      </c>
      <c r="J138" s="18" cm="1">
        <f t="array" ref="J138">INDEX('Limit raise'!$A:$O,
MATCH(1,('Limit raise'!$A:$A=$C138)*('Limit raise'!$D:$D=J$16), 0),
MATCH(J$17,'Limit raise'!$1:$1,0))</f>
        <v>0.9257142857142856</v>
      </c>
      <c r="K138" s="18" cm="1">
        <f t="array" ref="K138">INDEX('Limit raise'!$A:$O,
MATCH(1,('Limit raise'!$A:$A=$C138)*('Limit raise'!$D:$D=K$16), 0),
MATCH(K$17,'Limit raise'!$1:$1,0))</f>
        <v>0.83688091820681954</v>
      </c>
      <c r="L138" s="18">
        <f>INDEX('Limit raise'!$A:$O,
MATCH($C138, 'Limit raise'!$A:$A, 0),
MATCH(L$17,'Limit raise'!$1:$1,0))</f>
        <v>6.7576008902523022E-2</v>
      </c>
      <c r="M138" s="18">
        <v>0.15</v>
      </c>
      <c r="N138" s="18"/>
      <c r="P138" s="37" t="s">
        <v>15</v>
      </c>
      <c r="Q138" s="37" t="s">
        <v>314</v>
      </c>
      <c r="R138" s="38" t="s">
        <v>161</v>
      </c>
      <c r="S138" s="39">
        <v>50</v>
      </c>
      <c r="T138" s="40">
        <v>0.57489894736842084</v>
      </c>
      <c r="U138" s="40">
        <v>0.83495578947368432</v>
      </c>
      <c r="V138" s="42">
        <v>0.73415157894736716</v>
      </c>
      <c r="W138" s="40">
        <v>0.58960421052631651</v>
      </c>
      <c r="X138" s="40">
        <v>0.58054105263158173</v>
      </c>
      <c r="Y138" s="40">
        <v>6.8823157894737266E-2</v>
      </c>
      <c r="Z138" s="41">
        <v>7.7659157894736852E-3</v>
      </c>
    </row>
    <row r="139" spans="3:26" s="13" customFormat="1" ht="7.2" customHeight="1" x14ac:dyDescent="0.3">
      <c r="C139" s="17">
        <v>121</v>
      </c>
      <c r="D139" s="18" cm="1">
        <f t="array" ref="D139">INDEX('New credit'!$A:$O,
MATCH(1,('New credit'!$A:$A=$C139)*('New credit'!$D:$D=D$16), 0),
MATCH(D$17,'New credit'!$1:$1,0))</f>
        <v>0.69354838709677424</v>
      </c>
      <c r="E139" s="18" cm="1">
        <f t="array" ref="E139">INDEX('New credit'!$A:$O,
MATCH(1,('New credit'!$A:$A=$C139)*('New credit'!$D:$D=E$16), 0),
MATCH(E$17,'New credit'!$1:$1,0))</f>
        <v>0.86205882352941154</v>
      </c>
      <c r="F139" s="18" cm="1">
        <f t="array" ref="F139">INDEX('New credit'!$A:$O,
MATCH(1,('New credit'!$A:$A=$C139)*('New credit'!$D:$D=F$16), 0),
MATCH(F$17,'New credit'!$1:$1,0))</f>
        <v>0.70183236740040811</v>
      </c>
      <c r="G139" s="18">
        <f>INDEX('New credit'!$A:$O,
MATCH($C139, 'New credit'!$A:$A, 0),
MATCH(G$17, 'New credit'!$1:$1, 0))</f>
        <v>0.1016781687887412</v>
      </c>
      <c r="H139" s="18">
        <v>0.15</v>
      </c>
      <c r="I139" s="18" cm="1">
        <f t="array" ref="I139">INDEX('Limit raise'!$A:$O,
MATCH(1,('Limit raise'!$A:$A=$C139)*('Limit raise'!$D:$D=I$16), 0),
MATCH(I$17,'Limit raise'!$1:$1,0))</f>
        <v>0.64516129032258063</v>
      </c>
      <c r="J139" s="18" cm="1">
        <f t="array" ref="J139">INDEX('Limit raise'!$A:$O,
MATCH(1,('Limit raise'!$A:$A=$C139)*('Limit raise'!$D:$D=J$16), 0),
MATCH(J$17,'Limit raise'!$1:$1,0))</f>
        <v>0.92666666666666653</v>
      </c>
      <c r="K139" s="18" cm="1">
        <f t="array" ref="K139">INDEX('Limit raise'!$A:$O,
MATCH(1,('Limit raise'!$A:$A=$C139)*('Limit raise'!$D:$D=K$16), 0),
MATCH(K$17,'Limit raise'!$1:$1,0))</f>
        <v>0.83354116710596204</v>
      </c>
      <c r="L139" s="18">
        <f>INDEX('Limit raise'!$A:$O,
MATCH($C139, 'Limit raise'!$A:$A, 0),
MATCH(L$17,'Limit raise'!$1:$1,0))</f>
        <v>6.6857916092296202E-2</v>
      </c>
      <c r="M139" s="18">
        <v>0.15</v>
      </c>
      <c r="N139" s="18"/>
      <c r="P139" s="37" t="s">
        <v>163</v>
      </c>
      <c r="Q139" s="37" t="s">
        <v>314</v>
      </c>
      <c r="R139" s="38" t="s">
        <v>16</v>
      </c>
      <c r="S139" s="39">
        <v>50</v>
      </c>
      <c r="T139" s="42">
        <v>0.64460631578947414</v>
      </c>
      <c r="U139" s="40">
        <v>0.81395578947368352</v>
      </c>
      <c r="V139" s="40">
        <v>0.6759431578947368</v>
      </c>
      <c r="W139" s="40">
        <v>0.33562105263157754</v>
      </c>
      <c r="X139" s="40">
        <v>0.50219368421053079</v>
      </c>
      <c r="Y139" s="40">
        <v>5.5435789473684827E-2</v>
      </c>
      <c r="Z139" s="41">
        <v>5.4738947368421058E-4</v>
      </c>
    </row>
    <row r="140" spans="3:26" s="13" customFormat="1" ht="7.2" customHeight="1" x14ac:dyDescent="0.3">
      <c r="C140" s="17">
        <v>122</v>
      </c>
      <c r="D140" s="18" cm="1">
        <f t="array" ref="D140">INDEX('New credit'!$A:$O,
MATCH(1,('New credit'!$A:$A=$C140)*('New credit'!$D:$D=D$16), 0),
MATCH(D$17,'New credit'!$1:$1,0))</f>
        <v>0.7142857142857143</v>
      </c>
      <c r="E140" s="18" cm="1">
        <f t="array" ref="E140">INDEX('New credit'!$A:$O,
MATCH(1,('New credit'!$A:$A=$C140)*('New credit'!$D:$D=E$16), 0),
MATCH(E$17,'New credit'!$1:$1,0))</f>
        <v>0.86111111111111072</v>
      </c>
      <c r="F140" s="18" cm="1">
        <f t="array" ref="F140">INDEX('New credit'!$A:$O,
MATCH(1,('New credit'!$A:$A=$C140)*('New credit'!$D:$D=F$16), 0),
MATCH(F$17,'New credit'!$1:$1,0))</f>
        <v>0.6510520079198302</v>
      </c>
      <c r="G140" s="18">
        <f>INDEX('New credit'!$A:$O,
MATCH($C140, 'New credit'!$A:$A, 0),
MATCH(G$17, 'New credit'!$1:$1, 0))</f>
        <v>1</v>
      </c>
      <c r="H140" s="18">
        <v>0.15</v>
      </c>
      <c r="I140" s="18" cm="1">
        <f t="array" ref="I140">INDEX('Limit raise'!$A:$O,
MATCH(1,('Limit raise'!$A:$A=$C140)*('Limit raise'!$D:$D=I$16), 0),
MATCH(I$17,'Limit raise'!$1:$1,0))</f>
        <v>0.66129032258064513</v>
      </c>
      <c r="J140" s="18" cm="1">
        <f t="array" ref="J140">INDEX('Limit raise'!$A:$O,
MATCH(1,('Limit raise'!$A:$A=$C140)*('Limit raise'!$D:$D=J$16), 0),
MATCH(J$17,'Limit raise'!$1:$1,0))</f>
        <v>0.92666666666666653</v>
      </c>
      <c r="K140" s="18" cm="1">
        <f t="array" ref="K140">INDEX('Limit raise'!$A:$O,
MATCH(1,('Limit raise'!$A:$A=$C140)*('Limit raise'!$D:$D=K$16), 0),
MATCH(K$17,'Limit raise'!$1:$1,0))</f>
        <v>0.84861607661356719</v>
      </c>
      <c r="L140" s="18">
        <f>INDEX('Limit raise'!$A:$O,
MATCH($C140, 'Limit raise'!$A:$A, 0),
MATCH(L$17,'Limit raise'!$1:$1,0))</f>
        <v>6.8087160135268221E-2</v>
      </c>
      <c r="M140" s="18">
        <v>0.15</v>
      </c>
      <c r="N140" s="18"/>
      <c r="P140" s="37" t="s">
        <v>163</v>
      </c>
      <c r="Q140" s="37" t="s">
        <v>314</v>
      </c>
      <c r="R140" s="38" t="s">
        <v>162</v>
      </c>
      <c r="S140" s="39">
        <v>50</v>
      </c>
      <c r="T140" s="40">
        <v>0.38406315789473677</v>
      </c>
      <c r="U140" s="42">
        <v>0.91116210526315788</v>
      </c>
      <c r="V140" s="40">
        <v>0.70499157894736797</v>
      </c>
      <c r="W140" s="40">
        <v>0.84011789473684673</v>
      </c>
      <c r="X140" s="40">
        <v>0.70486736842104958</v>
      </c>
      <c r="Y140" s="40">
        <v>0.13113052631578834</v>
      </c>
      <c r="Z140" s="41">
        <v>7.1181052631578967E-4</v>
      </c>
    </row>
    <row r="141" spans="3:26" s="13" customFormat="1" ht="7.2" customHeight="1" x14ac:dyDescent="0.3">
      <c r="C141" s="17">
        <v>123</v>
      </c>
      <c r="D141" s="18" cm="1">
        <f t="array" ref="D141">INDEX('New credit'!$A:$O,
MATCH(1,('New credit'!$A:$A=$C141)*('New credit'!$D:$D=D$16), 0),
MATCH(D$17,'New credit'!$1:$1,0))</f>
        <v>0.76271186440677963</v>
      </c>
      <c r="E141" s="18" cm="1">
        <f t="array" ref="E141">INDEX('New credit'!$A:$O,
MATCH(1,('New credit'!$A:$A=$C141)*('New credit'!$D:$D=E$16), 0),
MATCH(E$17,'New credit'!$1:$1,0))</f>
        <v>0.86482758620689648</v>
      </c>
      <c r="F141" s="18" cm="1">
        <f t="array" ref="F141">INDEX('New credit'!$A:$O,
MATCH(1,('New credit'!$A:$A=$C141)*('New credit'!$D:$D=F$16), 0),
MATCH(F$17,'New credit'!$1:$1,0))</f>
        <v>0.70500915900799332</v>
      </c>
      <c r="G141" s="18">
        <f>INDEX('New credit'!$A:$O,
MATCH($C141, 'New credit'!$A:$A, 0),
MATCH(G$17, 'New credit'!$1:$1, 0))</f>
        <v>1</v>
      </c>
      <c r="H141" s="18">
        <v>0.15</v>
      </c>
      <c r="I141" s="18" cm="1">
        <f t="array" ref="I141">INDEX('Limit raise'!$A:$O,
MATCH(1,('Limit raise'!$A:$A=$C141)*('Limit raise'!$D:$D=I$16), 0),
MATCH(I$17,'Limit raise'!$1:$1,0))</f>
        <v>0.66129032258064513</v>
      </c>
      <c r="J141" s="18" cm="1">
        <f t="array" ref="J141">INDEX('Limit raise'!$A:$O,
MATCH(1,('Limit raise'!$A:$A=$C141)*('Limit raise'!$D:$D=J$16), 0),
MATCH(J$17,'Limit raise'!$1:$1,0))</f>
        <v>0.92809523809523797</v>
      </c>
      <c r="K141" s="18" cm="1">
        <f t="array" ref="K141">INDEX('Limit raise'!$A:$O,
MATCH(1,('Limit raise'!$A:$A=$C141)*('Limit raise'!$D:$D=K$16), 0),
MATCH(K$17,'Limit raise'!$1:$1,0))</f>
        <v>0.84828282580503767</v>
      </c>
      <c r="L141" s="18">
        <f>INDEX('Limit raise'!$A:$O,
MATCH($C141, 'Limit raise'!$A:$A, 0),
MATCH(L$17,'Limit raise'!$1:$1,0))</f>
        <v>7.2554972729347675E-2</v>
      </c>
      <c r="M141" s="18">
        <v>0.15</v>
      </c>
      <c r="N141" s="18"/>
      <c r="P141" s="37" t="s">
        <v>163</v>
      </c>
      <c r="Q141" s="37" t="s">
        <v>314</v>
      </c>
      <c r="R141" s="38" t="s">
        <v>161</v>
      </c>
      <c r="S141" s="39">
        <v>50</v>
      </c>
      <c r="T141" s="40">
        <v>0.49015789473684135</v>
      </c>
      <c r="U141" s="40">
        <v>0.87206947368421173</v>
      </c>
      <c r="V141" s="42">
        <v>0.75040842105263161</v>
      </c>
      <c r="W141" s="40">
        <v>0.54708631578947242</v>
      </c>
      <c r="X141" s="40">
        <v>0.643063157894738</v>
      </c>
      <c r="Y141" s="40">
        <v>0.11465473684210441</v>
      </c>
      <c r="Z141" s="41">
        <v>5.9216842105263168E-4</v>
      </c>
    </row>
    <row r="142" spans="3:26" s="13" customFormat="1" ht="7.2" customHeight="1" x14ac:dyDescent="0.3">
      <c r="C142" s="17">
        <v>124</v>
      </c>
      <c r="D142" s="18" cm="1">
        <f t="array" ref="D142">INDEX('New credit'!$A:$O,
MATCH(1,('New credit'!$A:$A=$C142)*('New credit'!$D:$D=D$16), 0),
MATCH(D$17,'New credit'!$1:$1,0))</f>
        <v>0.80701754385964908</v>
      </c>
      <c r="E142" s="18" cm="1">
        <f t="array" ref="E142">INDEX('New credit'!$A:$O,
MATCH(1,('New credit'!$A:$A=$C142)*('New credit'!$D:$D=E$16), 0),
MATCH(E$17,'New credit'!$1:$1,0))</f>
        <v>0.85636363636363633</v>
      </c>
      <c r="F142" s="18" cm="1">
        <f t="array" ref="F142">INDEX('New credit'!$A:$O,
MATCH(1,('New credit'!$A:$A=$C142)*('New credit'!$D:$D=F$16), 0),
MATCH(F$17,'New credit'!$1:$1,0))</f>
        <v>0.78477349163951271</v>
      </c>
      <c r="G142" s="18">
        <f>INDEX('New credit'!$A:$O,
MATCH($C142, 'New credit'!$A:$A, 0),
MATCH(G$17, 'New credit'!$1:$1, 0))</f>
        <v>1</v>
      </c>
      <c r="H142" s="18">
        <v>0.15</v>
      </c>
      <c r="I142" s="18" cm="1">
        <f t="array" ref="I142">INDEX('Limit raise'!$A:$O,
MATCH(1,('Limit raise'!$A:$A=$C142)*('Limit raise'!$D:$D=I$16), 0),
MATCH(I$17,'Limit raise'!$1:$1,0))</f>
        <v>0.64516129032258063</v>
      </c>
      <c r="J142" s="18" cm="1">
        <f t="array" ref="J142">INDEX('Limit raise'!$A:$O,
MATCH(1,('Limit raise'!$A:$A=$C142)*('Limit raise'!$D:$D=J$16), 0),
MATCH(J$17,'Limit raise'!$1:$1,0))</f>
        <v>0.92899999999999994</v>
      </c>
      <c r="K142" s="18" cm="1">
        <f t="array" ref="K142">INDEX('Limit raise'!$A:$O,
MATCH(1,('Limit raise'!$A:$A=$C142)*('Limit raise'!$D:$D=K$16), 0),
MATCH(K$17,'Limit raise'!$1:$1,0))</f>
        <v>0.82819532806851326</v>
      </c>
      <c r="L142" s="18">
        <f>INDEX('Limit raise'!$A:$O,
MATCH($C142, 'Limit raise'!$A:$A, 0),
MATCH(L$17,'Limit raise'!$1:$1,0))</f>
        <v>7.2554873263382613E-2</v>
      </c>
      <c r="M142" s="18">
        <v>0.15</v>
      </c>
      <c r="N142" s="18"/>
      <c r="P142" s="37" t="s">
        <v>15</v>
      </c>
      <c r="Q142" s="37" t="s">
        <v>315</v>
      </c>
      <c r="R142" s="38" t="s">
        <v>16</v>
      </c>
      <c r="S142" s="39">
        <v>25</v>
      </c>
      <c r="T142" s="42">
        <v>0.69081263157894701</v>
      </c>
      <c r="U142" s="40">
        <v>0.79089052631578904</v>
      </c>
      <c r="V142" s="40">
        <v>0.66116842105263152</v>
      </c>
      <c r="W142" s="40">
        <v>0.33238315789473605</v>
      </c>
      <c r="X142" s="40">
        <v>0.62324210526315749</v>
      </c>
      <c r="Y142" s="40">
        <v>5.7797894736842062E-2</v>
      </c>
      <c r="Z142" s="41">
        <v>1.4262589473684211E-2</v>
      </c>
    </row>
    <row r="143" spans="3:26" s="13" customFormat="1" ht="7.2" customHeight="1" x14ac:dyDescent="0.3">
      <c r="C143" s="17">
        <v>125</v>
      </c>
      <c r="D143" s="18" cm="1">
        <f t="array" ref="D143">INDEX('New credit'!$A:$O,
MATCH(1,('New credit'!$A:$A=$C143)*('New credit'!$D:$D=D$16), 0),
MATCH(D$17,'New credit'!$1:$1,0))</f>
        <v>0.80327868852459017</v>
      </c>
      <c r="E143" s="18" cm="1">
        <f t="array" ref="E143">INDEX('New credit'!$A:$O,
MATCH(1,('New credit'!$A:$A=$C143)*('New credit'!$D:$D=E$16), 0),
MATCH(E$17,'New credit'!$1:$1,0))</f>
        <v>0.88454545454545441</v>
      </c>
      <c r="F143" s="18" cm="1">
        <f t="array" ref="F143">INDEX('New credit'!$A:$O,
MATCH(1,('New credit'!$A:$A=$C143)*('New credit'!$D:$D=F$16), 0),
MATCH(F$17,'New credit'!$1:$1,0))</f>
        <v>0.77868610741243105</v>
      </c>
      <c r="G143" s="18">
        <f>INDEX('New credit'!$A:$O,
MATCH($C143, 'New credit'!$A:$A, 0),
MATCH(G$17, 'New credit'!$1:$1, 0))</f>
        <v>1</v>
      </c>
      <c r="H143" s="18">
        <v>0.15</v>
      </c>
      <c r="I143" s="18" cm="1">
        <f t="array" ref="I143">INDEX('Limit raise'!$A:$O,
MATCH(1,('Limit raise'!$A:$A=$C143)*('Limit raise'!$D:$D=I$16), 0),
MATCH(I$17,'Limit raise'!$1:$1,0))</f>
        <v>0.67213114754098358</v>
      </c>
      <c r="J143" s="18" cm="1">
        <f t="array" ref="J143">INDEX('Limit raise'!$A:$O,
MATCH(1,('Limit raise'!$A:$A=$C143)*('Limit raise'!$D:$D=J$16), 0),
MATCH(J$17,'Limit raise'!$1:$1,0))</f>
        <v>0.92809523809523797</v>
      </c>
      <c r="K143" s="18" cm="1">
        <f t="array" ref="K143">INDEX('Limit raise'!$A:$O,
MATCH(1,('Limit raise'!$A:$A=$C143)*('Limit raise'!$D:$D=K$16), 0),
MATCH(K$17,'Limit raise'!$1:$1,0))</f>
        <v>0.8293725168152094</v>
      </c>
      <c r="L143" s="18">
        <f>INDEX('Limit raise'!$A:$O,
MATCH($C143, 'Limit raise'!$A:$A, 0),
MATCH(L$17,'Limit raise'!$1:$1,0))</f>
        <v>7.3353197595371941E-2</v>
      </c>
      <c r="M143" s="18">
        <v>0.15</v>
      </c>
      <c r="N143" s="18"/>
      <c r="P143" s="37" t="s">
        <v>15</v>
      </c>
      <c r="Q143" s="37" t="s">
        <v>315</v>
      </c>
      <c r="R143" s="38" t="s">
        <v>162</v>
      </c>
      <c r="S143" s="39">
        <v>25</v>
      </c>
      <c r="T143" s="40">
        <v>0.46353263157894764</v>
      </c>
      <c r="U143" s="42">
        <v>0.85724000000000078</v>
      </c>
      <c r="V143" s="40">
        <v>0.67411157894736917</v>
      </c>
      <c r="W143" s="40">
        <v>0.81929473684210496</v>
      </c>
      <c r="X143" s="40">
        <v>0.60403157894736759</v>
      </c>
      <c r="Y143" s="40">
        <v>8.7637894736841984E-2</v>
      </c>
      <c r="Z143" s="41">
        <v>1.7703978947368398E-2</v>
      </c>
    </row>
    <row r="144" spans="3:26" s="13" customFormat="1" ht="7.2" customHeight="1" x14ac:dyDescent="0.3">
      <c r="C144" s="17">
        <v>126</v>
      </c>
      <c r="D144" s="18" cm="1">
        <f t="array" ref="D144">INDEX('New credit'!$A:$O,
MATCH(1,('New credit'!$A:$A=$C144)*('New credit'!$D:$D=D$16), 0),
MATCH(D$17,'New credit'!$1:$1,0))</f>
        <v>0.76119402985074625</v>
      </c>
      <c r="E144" s="18" cm="1">
        <f t="array" ref="E144">INDEX('New credit'!$A:$O,
MATCH(1,('New credit'!$A:$A=$C144)*('New credit'!$D:$D=E$16), 0),
MATCH(E$17,'New credit'!$1:$1,0))</f>
        <v>0.85322580645161261</v>
      </c>
      <c r="F144" s="18" cm="1">
        <f t="array" ref="F144">INDEX('New credit'!$A:$O,
MATCH(1,('New credit'!$A:$A=$C144)*('New credit'!$D:$D=F$16), 0),
MATCH(F$17,'New credit'!$1:$1,0))</f>
        <v>0.7420182451032894</v>
      </c>
      <c r="G144" s="18">
        <f>INDEX('New credit'!$A:$O,
MATCH($C144, 'New credit'!$A:$A, 0),
MATCH(G$17, 'New credit'!$1:$1, 0))</f>
        <v>0.15601943328617759</v>
      </c>
      <c r="H144" s="18">
        <v>0.15</v>
      </c>
      <c r="I144" s="18" cm="1">
        <f t="array" ref="I144">INDEX('Limit raise'!$A:$O,
MATCH(1,('Limit raise'!$A:$A=$C144)*('Limit raise'!$D:$D=I$16), 0),
MATCH(I$17,'Limit raise'!$1:$1,0))</f>
        <v>0.66666666666666663</v>
      </c>
      <c r="J144" s="18" cm="1">
        <f t="array" ref="J144">INDEX('Limit raise'!$A:$O,
MATCH(1,('Limit raise'!$A:$A=$C144)*('Limit raise'!$D:$D=J$16), 0),
MATCH(J$17,'Limit raise'!$1:$1,0))</f>
        <v>0.9290476190476189</v>
      </c>
      <c r="K144" s="18" cm="1">
        <f t="array" ref="K144">INDEX('Limit raise'!$A:$O,
MATCH(1,('Limit raise'!$A:$A=$C144)*('Limit raise'!$D:$D=K$16), 0),
MATCH(K$17,'Limit raise'!$1:$1,0))</f>
        <v>0.82892068426136845</v>
      </c>
      <c r="L144" s="18">
        <f>INDEX('Limit raise'!$A:$O,
MATCH($C144, 'Limit raise'!$A:$A, 0),
MATCH(L$17,'Limit raise'!$1:$1,0))</f>
        <v>8.0816511095576624E-2</v>
      </c>
      <c r="M144" s="18">
        <v>0.15</v>
      </c>
      <c r="N144" s="18"/>
      <c r="P144" s="37" t="s">
        <v>15</v>
      </c>
      <c r="Q144" s="37" t="s">
        <v>315</v>
      </c>
      <c r="R144" s="38" t="s">
        <v>161</v>
      </c>
      <c r="S144" s="39">
        <v>25</v>
      </c>
      <c r="T144" s="40">
        <v>0.56257894736842129</v>
      </c>
      <c r="U144" s="40">
        <v>0.8374147368421051</v>
      </c>
      <c r="V144" s="42">
        <v>0.73307999999999918</v>
      </c>
      <c r="W144" s="40">
        <v>0.61371578947368366</v>
      </c>
      <c r="X144" s="40">
        <v>0.62183789473684203</v>
      </c>
      <c r="Y144" s="40">
        <v>7.5482105263157892E-2</v>
      </c>
      <c r="Z144" s="41">
        <v>1.5493915789473687E-2</v>
      </c>
    </row>
    <row r="145" spans="3:26" s="13" customFormat="1" ht="7.2" customHeight="1" x14ac:dyDescent="0.3">
      <c r="C145" s="17">
        <v>127</v>
      </c>
      <c r="D145" s="18" cm="1">
        <f t="array" ref="D145">INDEX('New credit'!$A:$O,
MATCH(1,('New credit'!$A:$A=$C145)*('New credit'!$D:$D=D$16), 0),
MATCH(D$17,'New credit'!$1:$1,0))</f>
        <v>0.676056338028169</v>
      </c>
      <c r="E145" s="18" cm="1">
        <f t="array" ref="E145">INDEX('New credit'!$A:$O,
MATCH(1,('New credit'!$A:$A=$C145)*('New credit'!$D:$D=E$16), 0),
MATCH(E$17,'New credit'!$1:$1,0))</f>
        <v>0.8117142857142855</v>
      </c>
      <c r="F145" s="18" cm="1">
        <f t="array" ref="F145">INDEX('New credit'!$A:$O,
MATCH(1,('New credit'!$A:$A=$C145)*('New credit'!$D:$D=F$16), 0),
MATCH(F$17,'New credit'!$1:$1,0))</f>
        <v>0.69841270392661803</v>
      </c>
      <c r="G145" s="18">
        <f>INDEX('New credit'!$A:$O,
MATCH($C145, 'New credit'!$A:$A, 0),
MATCH(G$17, 'New credit'!$1:$1, 0))</f>
        <v>0.11153750597299809</v>
      </c>
      <c r="H145" s="18">
        <v>0.15</v>
      </c>
      <c r="I145" s="18" cm="1">
        <f t="array" ref="I145">INDEX('Limit raise'!$A:$O,
MATCH(1,('Limit raise'!$A:$A=$C145)*('Limit raise'!$D:$D=I$16), 0),
MATCH(I$17,'Limit raise'!$1:$1,0))</f>
        <v>0.66666666666666663</v>
      </c>
      <c r="J145" s="18" cm="1">
        <f t="array" ref="J145">INDEX('Limit raise'!$A:$O,
MATCH(1,('Limit raise'!$A:$A=$C145)*('Limit raise'!$D:$D=J$16), 0),
MATCH(J$17,'Limit raise'!$1:$1,0))</f>
        <v>0.9285714285714286</v>
      </c>
      <c r="K145" s="18" cm="1">
        <f t="array" ref="K145">INDEX('Limit raise'!$A:$O,
MATCH(1,('Limit raise'!$A:$A=$C145)*('Limit raise'!$D:$D=K$16), 0),
MATCH(K$17,'Limit raise'!$1:$1,0))</f>
        <v>0.78182751887393009</v>
      </c>
      <c r="L145" s="18">
        <f>INDEX('Limit raise'!$A:$O,
MATCH($C145, 'Limit raise'!$A:$A, 0),
MATCH(L$17,'Limit raise'!$1:$1,0))</f>
        <v>8.0141815015089005E-2</v>
      </c>
      <c r="M145" s="18">
        <v>0.15</v>
      </c>
      <c r="N145" s="18"/>
      <c r="P145" s="37" t="s">
        <v>163</v>
      </c>
      <c r="Q145" s="37" t="s">
        <v>315</v>
      </c>
      <c r="R145" s="38" t="s">
        <v>16</v>
      </c>
      <c r="S145" s="39">
        <v>25</v>
      </c>
      <c r="T145" s="42">
        <v>0.62276421052631659</v>
      </c>
      <c r="U145" s="40">
        <v>0.830195789473684</v>
      </c>
      <c r="V145" s="40">
        <v>0.69093052631578922</v>
      </c>
      <c r="W145" s="40">
        <v>0.34163789473684009</v>
      </c>
      <c r="X145" s="40">
        <v>0.65010736842105643</v>
      </c>
      <c r="Y145" s="40">
        <v>5.6412631578947083E-2</v>
      </c>
      <c r="Z145" s="41">
        <v>1.0572210526315789E-3</v>
      </c>
    </row>
    <row r="146" spans="3:26" s="13" customFormat="1" ht="7.2" customHeight="1" x14ac:dyDescent="0.3">
      <c r="C146" s="17">
        <v>128</v>
      </c>
      <c r="D146" s="18" cm="1">
        <f t="array" ref="D146">INDEX('New credit'!$A:$O,
MATCH(1,('New credit'!$A:$A=$C146)*('New credit'!$D:$D=D$16), 0),
MATCH(D$17,'New credit'!$1:$1,0))</f>
        <v>0.625</v>
      </c>
      <c r="E146" s="18" cm="1">
        <f t="array" ref="E146">INDEX('New credit'!$A:$O,
MATCH(1,('New credit'!$A:$A=$C146)*('New credit'!$D:$D=E$16), 0),
MATCH(E$17,'New credit'!$1:$1,0))</f>
        <v>0.85851851851851846</v>
      </c>
      <c r="F146" s="18" cm="1">
        <f t="array" ref="F146">INDEX('New credit'!$A:$O,
MATCH(1,('New credit'!$A:$A=$C146)*('New credit'!$D:$D=F$16), 0),
MATCH(F$17,'New credit'!$1:$1,0))</f>
        <v>0.74780506951053627</v>
      </c>
      <c r="G146" s="18">
        <f>INDEX('New credit'!$A:$O,
MATCH($C146, 'New credit'!$A:$A, 0),
MATCH(G$17, 'New credit'!$1:$1, 0))</f>
        <v>0.1567810405957879</v>
      </c>
      <c r="H146" s="18">
        <v>0.15</v>
      </c>
      <c r="I146" s="18" cm="1">
        <f t="array" ref="I146">INDEX('Limit raise'!$A:$O,
MATCH(1,('Limit raise'!$A:$A=$C146)*('Limit raise'!$D:$D=I$16), 0),
MATCH(I$17,'Limit raise'!$1:$1,0))</f>
        <v>0.66666666666666663</v>
      </c>
      <c r="J146" s="18" cm="1">
        <f t="array" ref="J146">INDEX('Limit raise'!$A:$O,
MATCH(1,('Limit raise'!$A:$A=$C146)*('Limit raise'!$D:$D=J$16), 0),
MATCH(J$17,'Limit raise'!$1:$1,0))</f>
        <v>0.92608695652173911</v>
      </c>
      <c r="K146" s="18" cm="1">
        <f t="array" ref="K146">INDEX('Limit raise'!$A:$O,
MATCH(1,('Limit raise'!$A:$A=$C146)*('Limit raise'!$D:$D=K$16), 0),
MATCH(K$17,'Limit raise'!$1:$1,0))</f>
        <v>0.77636901158774607</v>
      </c>
      <c r="L146" s="18">
        <f>INDEX('Limit raise'!$A:$O,
MATCH($C146, 'Limit raise'!$A:$A, 0),
MATCH(L$17,'Limit raise'!$1:$1,0))</f>
        <v>8.1987653488290069E-2</v>
      </c>
      <c r="M146" s="18">
        <v>0.15</v>
      </c>
      <c r="N146" s="18"/>
      <c r="P146" s="37" t="s">
        <v>163</v>
      </c>
      <c r="Q146" s="37" t="s">
        <v>315</v>
      </c>
      <c r="R146" s="38" t="s">
        <v>162</v>
      </c>
      <c r="S146" s="39">
        <v>25</v>
      </c>
      <c r="T146" s="40">
        <v>0.34992000000000006</v>
      </c>
      <c r="U146" s="42">
        <v>0.90598105263157847</v>
      </c>
      <c r="V146" s="40">
        <v>0.62201894736842078</v>
      </c>
      <c r="W146" s="40">
        <v>0.81791789473684429</v>
      </c>
      <c r="X146" s="40">
        <v>0.71653263157894909</v>
      </c>
      <c r="Y146" s="40">
        <v>0.21281684210526217</v>
      </c>
      <c r="Z146" s="41">
        <v>1.4249684210526315E-3</v>
      </c>
    </row>
    <row r="147" spans="3:26" s="13" customFormat="1" ht="7.2" customHeight="1" x14ac:dyDescent="0.3">
      <c r="C147" s="17">
        <v>129</v>
      </c>
      <c r="D147" s="18" cm="1">
        <f t="array" ref="D147">INDEX('New credit'!$A:$O,
MATCH(1,('New credit'!$A:$A=$C147)*('New credit'!$D:$D=D$16), 0),
MATCH(D$17,'New credit'!$1:$1,0))</f>
        <v>0.71875</v>
      </c>
      <c r="E147" s="18" cm="1">
        <f t="array" ref="E147">INDEX('New credit'!$A:$O,
MATCH(1,('New credit'!$A:$A=$C147)*('New credit'!$D:$D=E$16), 0),
MATCH(E$17,'New credit'!$1:$1,0))</f>
        <v>0.86657142857142833</v>
      </c>
      <c r="F147" s="18" cm="1">
        <f t="array" ref="F147">INDEX('New credit'!$A:$O,
MATCH(1,('New credit'!$A:$A=$C147)*('New credit'!$D:$D=F$16), 0),
MATCH(F$17,'New credit'!$1:$1,0))</f>
        <v>0.69354287535346693</v>
      </c>
      <c r="G147" s="18">
        <f>INDEX('New credit'!$A:$O,
MATCH($C147, 'New credit'!$A:$A, 0),
MATCH(G$17, 'New credit'!$1:$1, 0))</f>
        <v>1</v>
      </c>
      <c r="H147" s="18">
        <v>0.15</v>
      </c>
      <c r="I147" s="18" cm="1">
        <f t="array" ref="I147">INDEX('Limit raise'!$A:$O,
MATCH(1,('Limit raise'!$A:$A=$C147)*('Limit raise'!$D:$D=I$16), 0),
MATCH(I$17,'Limit raise'!$1:$1,0))</f>
        <v>0.73333333333333328</v>
      </c>
      <c r="J147" s="18" cm="1">
        <f t="array" ref="J147">INDEX('Limit raise'!$A:$O,
MATCH(1,('Limit raise'!$A:$A=$C147)*('Limit raise'!$D:$D=J$16), 0),
MATCH(J$17,'Limit raise'!$1:$1,0))</f>
        <v>0.9263636363636365</v>
      </c>
      <c r="K147" s="18" cm="1">
        <f t="array" ref="K147">INDEX('Limit raise'!$A:$O,
MATCH(1,('Limit raise'!$A:$A=$C147)*('Limit raise'!$D:$D=K$16), 0),
MATCH(K$17,'Limit raise'!$1:$1,0))</f>
        <v>0.7744843344600203</v>
      </c>
      <c r="L147" s="18">
        <f>INDEX('Limit raise'!$A:$O,
MATCH($C147, 'Limit raise'!$A:$A, 0),
MATCH(L$17,'Limit raise'!$1:$1,0))</f>
        <v>8.2576079277345699E-2</v>
      </c>
      <c r="M147" s="18">
        <v>0.15</v>
      </c>
      <c r="N147" s="18"/>
      <c r="P147" s="37" t="s">
        <v>163</v>
      </c>
      <c r="Q147" s="37" t="s">
        <v>315</v>
      </c>
      <c r="R147" s="38" t="s">
        <v>161</v>
      </c>
      <c r="S147" s="39">
        <v>25</v>
      </c>
      <c r="T147" s="40">
        <v>0.46244842105263129</v>
      </c>
      <c r="U147" s="40">
        <v>0.88343578947368517</v>
      </c>
      <c r="V147" s="42">
        <v>0.75068421052631562</v>
      </c>
      <c r="W147" s="40">
        <v>0.64062526315789114</v>
      </c>
      <c r="X147" s="40">
        <v>0.69564210526316095</v>
      </c>
      <c r="Y147" s="40">
        <v>0.13513052631578884</v>
      </c>
      <c r="Z147" s="41">
        <v>1.1802947368421053E-3</v>
      </c>
    </row>
    <row r="148" spans="3:26" s="13" customFormat="1" ht="7.2" customHeight="1" x14ac:dyDescent="0.3">
      <c r="C148" s="17">
        <v>130</v>
      </c>
      <c r="D148" s="18" cm="1">
        <f t="array" ref="D148">INDEX('New credit'!$A:$O,
MATCH(1,('New credit'!$A:$A=$C148)*('New credit'!$D:$D=D$16), 0),
MATCH(D$17,'New credit'!$1:$1,0))</f>
        <v>0.72580645161290325</v>
      </c>
      <c r="E148" s="18" cm="1">
        <f t="array" ref="E148">INDEX('New credit'!$A:$O,
MATCH(1,('New credit'!$A:$A=$C148)*('New credit'!$D:$D=E$16), 0),
MATCH(E$17,'New credit'!$1:$1,0))</f>
        <v>0.87142857142857133</v>
      </c>
      <c r="F148" s="18" cm="1">
        <f t="array" ref="F148">INDEX('New credit'!$A:$O,
MATCH(1,('New credit'!$A:$A=$C148)*('New credit'!$D:$D=F$16), 0),
MATCH(F$17,'New credit'!$1:$1,0))</f>
        <v>0.6458567665454702</v>
      </c>
      <c r="G148" s="18">
        <f>INDEX('New credit'!$A:$O,
MATCH($C148, 'New credit'!$A:$A, 0),
MATCH(G$17, 'New credit'!$1:$1, 0))</f>
        <v>7.8638647522137672E-2</v>
      </c>
      <c r="H148" s="18">
        <v>0.15</v>
      </c>
      <c r="I148" s="18" cm="1">
        <f t="array" ref="I148">INDEX('Limit raise'!$A:$O,
MATCH(1,('Limit raise'!$A:$A=$C148)*('Limit raise'!$D:$D=I$16), 0),
MATCH(I$17,'Limit raise'!$1:$1,0))</f>
        <v>0.71186440677966101</v>
      </c>
      <c r="J148" s="18" cm="1">
        <f t="array" ref="J148">INDEX('Limit raise'!$A:$O,
MATCH(1,('Limit raise'!$A:$A=$C148)*('Limit raise'!$D:$D=J$16), 0),
MATCH(J$17,'Limit raise'!$1:$1,0))</f>
        <v>0.92666666666666675</v>
      </c>
      <c r="K148" s="18" cm="1">
        <f t="array" ref="K148">INDEX('Limit raise'!$A:$O,
MATCH(1,('Limit raise'!$A:$A=$C148)*('Limit raise'!$D:$D=K$16), 0),
MATCH(K$17,'Limit raise'!$1:$1,0))</f>
        <v>0.76620411297936353</v>
      </c>
      <c r="L148" s="18">
        <f>INDEX('Limit raise'!$A:$O,
MATCH($C148, 'Limit raise'!$A:$A, 0),
MATCH(L$17,'Limit raise'!$1:$1,0))</f>
        <v>8.4531064932100719E-2</v>
      </c>
      <c r="M148" s="18">
        <v>0.15</v>
      </c>
      <c r="N148" s="18"/>
    </row>
    <row r="149" spans="3:26" s="13" customFormat="1" ht="7.2" customHeight="1" x14ac:dyDescent="0.3">
      <c r="C149" s="17">
        <v>131</v>
      </c>
      <c r="D149" s="18" cm="1">
        <f t="array" ref="D149">INDEX('New credit'!$A:$O,
MATCH(1,('New credit'!$A:$A=$C149)*('New credit'!$D:$D=D$16), 0),
MATCH(D$17,'New credit'!$1:$1,0))</f>
        <v>0.75409836065573765</v>
      </c>
      <c r="E149" s="18" cm="1">
        <f t="array" ref="E149">INDEX('New credit'!$A:$O,
MATCH(1,('New credit'!$A:$A=$C149)*('New credit'!$D:$D=E$16), 0),
MATCH(E$17,'New credit'!$1:$1,0))</f>
        <v>0.86944444444444446</v>
      </c>
      <c r="F149" s="18" cm="1">
        <f t="array" ref="F149">INDEX('New credit'!$A:$O,
MATCH(1,('New credit'!$A:$A=$C149)*('New credit'!$D:$D=F$16), 0),
MATCH(F$17,'New credit'!$1:$1,0))</f>
        <v>0.67304063329027952</v>
      </c>
      <c r="G149" s="18">
        <f>INDEX('New credit'!$A:$O,
MATCH($C149, 'New credit'!$A:$A, 0),
MATCH(G$17, 'New credit'!$1:$1, 0))</f>
        <v>0.1136321622391555</v>
      </c>
      <c r="H149" s="18">
        <v>0.15</v>
      </c>
      <c r="I149" s="18" cm="1">
        <f t="array" ref="I149">INDEX('Limit raise'!$A:$O,
MATCH(1,('Limit raise'!$A:$A=$C149)*('Limit raise'!$D:$D=I$16), 0),
MATCH(I$17,'Limit raise'!$1:$1,0))</f>
        <v>0.71186440677966101</v>
      </c>
      <c r="J149" s="18" cm="1">
        <f t="array" ref="J149">INDEX('Limit raise'!$A:$O,
MATCH(1,('Limit raise'!$A:$A=$C149)*('Limit raise'!$D:$D=J$16), 0),
MATCH(J$17,'Limit raise'!$1:$1,0))</f>
        <v>0.9263636363636365</v>
      </c>
      <c r="K149" s="18" cm="1">
        <f t="array" ref="K149">INDEX('Limit raise'!$A:$O,
MATCH(1,('Limit raise'!$A:$A=$C149)*('Limit raise'!$D:$D=K$16), 0),
MATCH(K$17,'Limit raise'!$1:$1,0))</f>
        <v>0.79253656734953004</v>
      </c>
      <c r="L149" s="18">
        <f>INDEX('Limit raise'!$A:$O,
MATCH($C149, 'Limit raise'!$A:$A, 0),
MATCH(L$17,'Limit raise'!$1:$1,0))</f>
        <v>8.4085657641697023E-2</v>
      </c>
      <c r="M149" s="18">
        <v>0.15</v>
      </c>
      <c r="N149" s="18"/>
    </row>
    <row r="150" spans="3:26" s="13" customFormat="1" ht="7.2" customHeight="1" x14ac:dyDescent="0.3">
      <c r="C150" s="17">
        <v>132</v>
      </c>
      <c r="D150" s="18" cm="1">
        <f t="array" ref="D150">INDEX('New credit'!$A:$O,
MATCH(1,('New credit'!$A:$A=$C150)*('New credit'!$D:$D=D$16), 0),
MATCH(D$17,'New credit'!$1:$1,0))</f>
        <v>0.7931034482758621</v>
      </c>
      <c r="E150" s="18" cm="1">
        <f t="array" ref="E150">INDEX('New credit'!$A:$O,
MATCH(1,('New credit'!$A:$A=$C150)*('New credit'!$D:$D=E$16), 0),
MATCH(E$17,'New credit'!$1:$1,0))</f>
        <v>0.88848484848484854</v>
      </c>
      <c r="F150" s="18" cm="1">
        <f t="array" ref="F150">INDEX('New credit'!$A:$O,
MATCH(1,('New credit'!$A:$A=$C150)*('New credit'!$D:$D=F$16), 0),
MATCH(F$17,'New credit'!$1:$1,0))</f>
        <v>0.57381268562480059</v>
      </c>
      <c r="G150" s="18">
        <f>INDEX('New credit'!$A:$O,
MATCH($C150, 'New credit'!$A:$A, 0),
MATCH(G$17, 'New credit'!$1:$1, 0))</f>
        <v>0.13566424530252269</v>
      </c>
      <c r="H150" s="18">
        <v>0.15</v>
      </c>
      <c r="I150" s="18" cm="1">
        <f t="array" ref="I150">INDEX('Limit raise'!$A:$O,
MATCH(1,('Limit raise'!$A:$A=$C150)*('Limit raise'!$D:$D=I$16), 0),
MATCH(I$17,'Limit raise'!$1:$1,0))</f>
        <v>0.69491525423728817</v>
      </c>
      <c r="J150" s="18" cm="1">
        <f t="array" ref="J150">INDEX('Limit raise'!$A:$O,
MATCH(1,('Limit raise'!$A:$A=$C150)*('Limit raise'!$D:$D=J$16), 0),
MATCH(J$17,'Limit raise'!$1:$1,0))</f>
        <v>0.92666666666666675</v>
      </c>
      <c r="K150" s="18" cm="1">
        <f t="array" ref="K150">INDEX('Limit raise'!$A:$O,
MATCH(1,('Limit raise'!$A:$A=$C150)*('Limit raise'!$D:$D=K$16), 0),
MATCH(K$17,'Limit raise'!$1:$1,0))</f>
        <v>0.79790424015854677</v>
      </c>
      <c r="L150" s="18">
        <f>INDEX('Limit raise'!$A:$O,
MATCH($C150, 'Limit raise'!$A:$A, 0),
MATCH(L$17,'Limit raise'!$1:$1,0))</f>
        <v>7.8845648104426527E-2</v>
      </c>
      <c r="M150" s="18">
        <v>0.15</v>
      </c>
      <c r="N150" s="18"/>
    </row>
    <row r="151" spans="3:26" s="13" customFormat="1" ht="7.2" customHeight="1" x14ac:dyDescent="0.3">
      <c r="C151" s="17">
        <v>133</v>
      </c>
      <c r="D151" s="18" cm="1">
        <f t="array" ref="D151">INDEX('New credit'!$A:$O,
MATCH(1,('New credit'!$A:$A=$C151)*('New credit'!$D:$D=D$16), 0),
MATCH(D$17,'New credit'!$1:$1,0))</f>
        <v>0.7142857142857143</v>
      </c>
      <c r="E151" s="18" cm="1">
        <f t="array" ref="E151">INDEX('New credit'!$A:$O,
MATCH(1,('New credit'!$A:$A=$C151)*('New credit'!$D:$D=E$16), 0),
MATCH(E$17,'New credit'!$1:$1,0))</f>
        <v>0.89307692307692321</v>
      </c>
      <c r="F151" s="18" cm="1">
        <f t="array" ref="F151">INDEX('New credit'!$A:$O,
MATCH(1,('New credit'!$A:$A=$C151)*('New credit'!$D:$D=F$16), 0),
MATCH(F$17,'New credit'!$1:$1,0))</f>
        <v>0.76488442670031609</v>
      </c>
      <c r="G151" s="18">
        <f>INDEX('New credit'!$A:$O,
MATCH($C151, 'New credit'!$A:$A, 0),
MATCH(G$17, 'New credit'!$1:$1, 0))</f>
        <v>1</v>
      </c>
      <c r="H151" s="18">
        <v>0.15</v>
      </c>
      <c r="I151" s="18" cm="1">
        <f t="array" ref="I151">INDEX('Limit raise'!$A:$O,
MATCH(1,('Limit raise'!$A:$A=$C151)*('Limit raise'!$D:$D=I$16), 0),
MATCH(I$17,'Limit raise'!$1:$1,0))</f>
        <v>0.67241379310344829</v>
      </c>
      <c r="J151" s="18" cm="1">
        <f t="array" ref="J151">INDEX('Limit raise'!$A:$O,
MATCH(1,('Limit raise'!$A:$A=$C151)*('Limit raise'!$D:$D=J$16), 0),
MATCH(J$17,'Limit raise'!$1:$1,0))</f>
        <v>0.92619047619047612</v>
      </c>
      <c r="K151" s="18" cm="1">
        <f t="array" ref="K151">INDEX('Limit raise'!$A:$O,
MATCH(1,('Limit raise'!$A:$A=$C151)*('Limit raise'!$D:$D=K$16), 0),
MATCH(K$17,'Limit raise'!$1:$1,0))</f>
        <v>0.78161006328226912</v>
      </c>
      <c r="L151" s="18">
        <f>INDEX('Limit raise'!$A:$O,
MATCH($C151, 'Limit raise'!$A:$A, 0),
MATCH(L$17,'Limit raise'!$1:$1,0))</f>
        <v>7.7710649834858828E-2</v>
      </c>
      <c r="M151" s="18">
        <v>0.15</v>
      </c>
      <c r="N151" s="18"/>
    </row>
    <row r="152" spans="3:26" s="13" customFormat="1" ht="7.2" customHeight="1" x14ac:dyDescent="0.3">
      <c r="C152" s="17">
        <v>134</v>
      </c>
      <c r="D152" s="18" cm="1">
        <f t="array" ref="D152">INDEX('New credit'!$A:$O,
MATCH(1,('New credit'!$A:$A=$C152)*('New credit'!$D:$D=D$16), 0),
MATCH(D$17,'New credit'!$1:$1,0))</f>
        <v>0.74137931034482762</v>
      </c>
      <c r="E152" s="18" cm="1">
        <f t="array" ref="E152">INDEX('New credit'!$A:$O,
MATCH(1,('New credit'!$A:$A=$C152)*('New credit'!$D:$D=E$16), 0),
MATCH(E$17,'New credit'!$1:$1,0))</f>
        <v>0.89714285714285702</v>
      </c>
      <c r="F152" s="18" cm="1">
        <f t="array" ref="F152">INDEX('New credit'!$A:$O,
MATCH(1,('New credit'!$A:$A=$C152)*('New credit'!$D:$D=F$16), 0),
MATCH(F$17,'New credit'!$1:$1,0))</f>
        <v>0.76563444655839297</v>
      </c>
      <c r="G152" s="18">
        <f>INDEX('New credit'!$A:$O,
MATCH($C152, 'New credit'!$A:$A, 0),
MATCH(G$17, 'New credit'!$1:$1, 0))</f>
        <v>1</v>
      </c>
      <c r="H152" s="18">
        <v>0.15</v>
      </c>
      <c r="I152" s="18" cm="1">
        <f t="array" ref="I152">INDEX('Limit raise'!$A:$O,
MATCH(1,('Limit raise'!$A:$A=$C152)*('Limit raise'!$D:$D=I$16), 0),
MATCH(I$17,'Limit raise'!$1:$1,0))</f>
        <v>0.66666666666666663</v>
      </c>
      <c r="J152" s="18" cm="1">
        <f t="array" ref="J152">INDEX('Limit raise'!$A:$O,
MATCH(1,('Limit raise'!$A:$A=$C152)*('Limit raise'!$D:$D=J$16), 0),
MATCH(J$17,'Limit raise'!$1:$1,0))</f>
        <v>0.92619047619047612</v>
      </c>
      <c r="K152" s="18" cm="1">
        <f t="array" ref="K152">INDEX('Limit raise'!$A:$O,
MATCH(1,('Limit raise'!$A:$A=$C152)*('Limit raise'!$D:$D=K$16), 0),
MATCH(K$17,'Limit raise'!$1:$1,0))</f>
        <v>0.80052028014355558</v>
      </c>
      <c r="L152" s="18">
        <f>INDEX('Limit raise'!$A:$O,
MATCH($C152, 'Limit raise'!$A:$A, 0),
MATCH(L$17,'Limit raise'!$1:$1,0))</f>
        <v>8.1853964004279675E-2</v>
      </c>
      <c r="M152" s="18">
        <v>0.15</v>
      </c>
      <c r="N152" s="18"/>
    </row>
    <row r="153" spans="3:26" s="13" customFormat="1" ht="7.2" customHeight="1" x14ac:dyDescent="0.3">
      <c r="C153" s="17">
        <v>135</v>
      </c>
      <c r="D153" s="18" cm="1">
        <f t="array" ref="D153">INDEX('New credit'!$A:$O,
MATCH(1,('New credit'!$A:$A=$C153)*('New credit'!$D:$D=D$16), 0),
MATCH(D$17,'New credit'!$1:$1,0))</f>
        <v>0.77611940298507465</v>
      </c>
      <c r="E153" s="18" cm="1">
        <f t="array" ref="E153">INDEX('New credit'!$A:$O,
MATCH(1,('New credit'!$A:$A=$C153)*('New credit'!$D:$D=E$16), 0),
MATCH(E$17,'New credit'!$1:$1,0))</f>
        <v>0.87225806451612886</v>
      </c>
      <c r="F153" s="18" cm="1">
        <f t="array" ref="F153">INDEX('New credit'!$A:$O,
MATCH(1,('New credit'!$A:$A=$C153)*('New credit'!$D:$D=F$16), 0),
MATCH(F$17,'New credit'!$1:$1,0))</f>
        <v>0.74983962689762029</v>
      </c>
      <c r="G153" s="18">
        <f>INDEX('New credit'!$A:$O,
MATCH($C153, 'New credit'!$A:$A, 0),
MATCH(G$17, 'New credit'!$1:$1, 0))</f>
        <v>1</v>
      </c>
      <c r="H153" s="18">
        <v>0.15</v>
      </c>
      <c r="I153" s="18" cm="1">
        <f t="array" ref="I153">INDEX('Limit raise'!$A:$O,
MATCH(1,('Limit raise'!$A:$A=$C153)*('Limit raise'!$D:$D=I$16), 0),
MATCH(I$17,'Limit raise'!$1:$1,0))</f>
        <v>0.66666666666666663</v>
      </c>
      <c r="J153" s="18" cm="1">
        <f t="array" ref="J153">INDEX('Limit raise'!$A:$O,
MATCH(1,('Limit raise'!$A:$A=$C153)*('Limit raise'!$D:$D=J$16), 0),
MATCH(J$17,'Limit raise'!$1:$1,0))</f>
        <v>0.92714285714285694</v>
      </c>
      <c r="K153" s="18" cm="1">
        <f t="array" ref="K153">INDEX('Limit raise'!$A:$O,
MATCH(1,('Limit raise'!$A:$A=$C153)*('Limit raise'!$D:$D=K$16), 0),
MATCH(K$17,'Limit raise'!$1:$1,0))</f>
        <v>0.80193140303281263</v>
      </c>
      <c r="L153" s="18">
        <f>INDEX('Limit raise'!$A:$O,
MATCH($C153, 'Limit raise'!$A:$A, 0),
MATCH(L$17,'Limit raise'!$1:$1,0))</f>
        <v>7.9958567879297712E-2</v>
      </c>
      <c r="M153" s="18">
        <v>0.15</v>
      </c>
      <c r="N153" s="18"/>
    </row>
    <row r="154" spans="3:26" s="13" customFormat="1" ht="7.2" customHeight="1" x14ac:dyDescent="0.3">
      <c r="C154" s="17">
        <v>136</v>
      </c>
      <c r="D154" s="18" cm="1">
        <f t="array" ref="D154">INDEX('New credit'!$A:$O,
MATCH(1,('New credit'!$A:$A=$C154)*('New credit'!$D:$D=D$16), 0),
MATCH(D$17,'New credit'!$1:$1,0))</f>
        <v>0.73913043478260865</v>
      </c>
      <c r="E154" s="18" cm="1">
        <f t="array" ref="E154">INDEX('New credit'!$A:$O,
MATCH(1,('New credit'!$A:$A=$C154)*('New credit'!$D:$D=E$16), 0),
MATCH(E$17,'New credit'!$1:$1,0))</f>
        <v>0.89838709677419359</v>
      </c>
      <c r="F154" s="18" cm="1">
        <f t="array" ref="F154">INDEX('New credit'!$A:$O,
MATCH(1,('New credit'!$A:$A=$C154)*('New credit'!$D:$D=F$16), 0),
MATCH(F$17,'New credit'!$1:$1,0))</f>
        <v>0.76332481069942804</v>
      </c>
      <c r="G154" s="18">
        <f>INDEX('New credit'!$A:$O,
MATCH($C154, 'New credit'!$A:$A, 0),
MATCH(G$17, 'New credit'!$1:$1, 0))</f>
        <v>9.5542677158155898E-2</v>
      </c>
      <c r="H154" s="18">
        <v>0.15</v>
      </c>
      <c r="I154" s="18" cm="1">
        <f t="array" ref="I154">INDEX('Limit raise'!$A:$O,
MATCH(1,('Limit raise'!$A:$A=$C154)*('Limit raise'!$D:$D=I$16), 0),
MATCH(I$17,'Limit raise'!$1:$1,0))</f>
        <v>0.66666666666666663</v>
      </c>
      <c r="J154" s="18" cm="1">
        <f t="array" ref="J154">INDEX('Limit raise'!$A:$O,
MATCH(1,('Limit raise'!$A:$A=$C154)*('Limit raise'!$D:$D=J$16), 0),
MATCH(J$17,'Limit raise'!$1:$1,0))</f>
        <v>0.92619047619047612</v>
      </c>
      <c r="K154" s="18" cm="1">
        <f t="array" ref="K154">INDEX('Limit raise'!$A:$O,
MATCH(1,('Limit raise'!$A:$A=$C154)*('Limit raise'!$D:$D=K$16), 0),
MATCH(K$17,'Limit raise'!$1:$1,0))</f>
        <v>0.79864273859543122</v>
      </c>
      <c r="L154" s="18">
        <f>INDEX('Limit raise'!$A:$O,
MATCH($C154, 'Limit raise'!$A:$A, 0),
MATCH(L$17,'Limit raise'!$1:$1,0))</f>
        <v>7.863954230956717E-2</v>
      </c>
      <c r="M154" s="18">
        <v>0.15</v>
      </c>
      <c r="N154" s="18"/>
    </row>
    <row r="155" spans="3:26" s="13" customFormat="1" ht="7.2" customHeight="1" x14ac:dyDescent="0.3">
      <c r="C155" s="17">
        <v>137</v>
      </c>
      <c r="D155" s="18" cm="1">
        <f t="array" ref="D155">INDEX('New credit'!$A:$O,
MATCH(1,('New credit'!$A:$A=$C155)*('New credit'!$D:$D=D$16), 0),
MATCH(D$17,'New credit'!$1:$1,0))</f>
        <v>0.73913043478260865</v>
      </c>
      <c r="E155" s="18" cm="1">
        <f t="array" ref="E155">INDEX('New credit'!$A:$O,
MATCH(1,('New credit'!$A:$A=$C155)*('New credit'!$D:$D=E$16), 0),
MATCH(E$17,'New credit'!$1:$1,0))</f>
        <v>0.87312499999999971</v>
      </c>
      <c r="F155" s="18" cm="1">
        <f t="array" ref="F155">INDEX('New credit'!$A:$O,
MATCH(1,('New credit'!$A:$A=$C155)*('New credit'!$D:$D=F$16), 0),
MATCH(F$17,'New credit'!$1:$1,0))</f>
        <v>0.76997319968309419</v>
      </c>
      <c r="G155" s="18">
        <f>INDEX('New credit'!$A:$O,
MATCH($C155, 'New credit'!$A:$A, 0),
MATCH(G$17, 'New credit'!$1:$1, 0))</f>
        <v>0.1073141516168869</v>
      </c>
      <c r="H155" s="18">
        <v>0.15</v>
      </c>
      <c r="I155" s="18" cm="1">
        <f t="array" ref="I155">INDEX('Limit raise'!$A:$O,
MATCH(1,('Limit raise'!$A:$A=$C155)*('Limit raise'!$D:$D=I$16), 0),
MATCH(I$17,'Limit raise'!$1:$1,0))</f>
        <v>0.65</v>
      </c>
      <c r="J155" s="18" cm="1">
        <f t="array" ref="J155">INDEX('Limit raise'!$A:$O,
MATCH(1,('Limit raise'!$A:$A=$C155)*('Limit raise'!$D:$D=J$16), 0),
MATCH(J$17,'Limit raise'!$1:$1,0))</f>
        <v>0.92714285714285705</v>
      </c>
      <c r="K155" s="18" cm="1">
        <f t="array" ref="K155">INDEX('Limit raise'!$A:$O,
MATCH(1,('Limit raise'!$A:$A=$C155)*('Limit raise'!$D:$D=K$16), 0),
MATCH(K$17,'Limit raise'!$1:$1,0))</f>
        <v>0.79528059278340157</v>
      </c>
      <c r="L155" s="18">
        <f>INDEX('Limit raise'!$A:$O,
MATCH($C155, 'Limit raise'!$A:$A, 0),
MATCH(L$17,'Limit raise'!$1:$1,0))</f>
        <v>8.5825519791288232E-2</v>
      </c>
      <c r="M155" s="18">
        <v>0.15</v>
      </c>
      <c r="N155" s="18"/>
    </row>
    <row r="156" spans="3:26" s="13" customFormat="1" ht="7.2" customHeight="1" x14ac:dyDescent="0.3">
      <c r="C156" s="17">
        <v>138</v>
      </c>
      <c r="D156" s="18" cm="1">
        <f t="array" ref="D156">INDEX('New credit'!$A:$O,
MATCH(1,('New credit'!$A:$A=$C156)*('New credit'!$D:$D=D$16), 0),
MATCH(D$17,'New credit'!$1:$1,0))</f>
        <v>0.75384615384615383</v>
      </c>
      <c r="E156" s="18" cm="1">
        <f t="array" ref="E156">INDEX('New credit'!$A:$O,
MATCH(1,('New credit'!$A:$A=$C156)*('New credit'!$D:$D=E$16), 0),
MATCH(E$17,'New credit'!$1:$1,0))</f>
        <v>0.89259259259259227</v>
      </c>
      <c r="F156" s="18" cm="1">
        <f t="array" ref="F156">INDEX('New credit'!$A:$O,
MATCH(1,('New credit'!$A:$A=$C156)*('New credit'!$D:$D=F$16), 0),
MATCH(F$17,'New credit'!$1:$1,0))</f>
        <v>0.79120611689474707</v>
      </c>
      <c r="G156" s="18">
        <f>INDEX('New credit'!$A:$O,
MATCH($C156, 'New credit'!$A:$A, 0),
MATCH(G$17, 'New credit'!$1:$1, 0))</f>
        <v>1</v>
      </c>
      <c r="H156" s="18">
        <v>0.15</v>
      </c>
      <c r="I156" s="18" cm="1">
        <f t="array" ref="I156">INDEX('Limit raise'!$A:$O,
MATCH(1,('Limit raise'!$A:$A=$C156)*('Limit raise'!$D:$D=I$16), 0),
MATCH(I$17,'Limit raise'!$1:$1,0))</f>
        <v>0.66666666666666663</v>
      </c>
      <c r="J156" s="18" cm="1">
        <f t="array" ref="J156">INDEX('Limit raise'!$A:$O,
MATCH(1,('Limit raise'!$A:$A=$C156)*('Limit raise'!$D:$D=J$16), 0),
MATCH(J$17,'Limit raise'!$1:$1,0))</f>
        <v>0.9285714285714286</v>
      </c>
      <c r="K156" s="18" cm="1">
        <f t="array" ref="K156">INDEX('Limit raise'!$A:$O,
MATCH(1,('Limit raise'!$A:$A=$C156)*('Limit raise'!$D:$D=K$16), 0),
MATCH(K$17,'Limit raise'!$1:$1,0))</f>
        <v>0.81822895974069709</v>
      </c>
      <c r="L156" s="18">
        <f>INDEX('Limit raise'!$A:$O,
MATCH($C156, 'Limit raise'!$A:$A, 0),
MATCH(L$17,'Limit raise'!$1:$1,0))</f>
        <v>8.5410168960750835E-2</v>
      </c>
      <c r="M156" s="18">
        <v>0.15</v>
      </c>
      <c r="N156" s="18"/>
    </row>
    <row r="157" spans="3:26" s="13" customFormat="1" ht="7.2" customHeight="1" x14ac:dyDescent="0.3">
      <c r="C157" s="17">
        <v>139</v>
      </c>
      <c r="D157" s="18" cm="1">
        <f t="array" ref="D157">INDEX('New credit'!$A:$O,
MATCH(1,('New credit'!$A:$A=$C157)*('New credit'!$D:$D=D$16), 0),
MATCH(D$17,'New credit'!$1:$1,0))</f>
        <v>0.75862068965517238</v>
      </c>
      <c r="E157" s="18" cm="1">
        <f t="array" ref="E157">INDEX('New credit'!$A:$O,
MATCH(1,('New credit'!$A:$A=$C157)*('New credit'!$D:$D=E$16), 0),
MATCH(E$17,'New credit'!$1:$1,0))</f>
        <v>0.86111111111111094</v>
      </c>
      <c r="F157" s="18" cm="1">
        <f t="array" ref="F157">INDEX('New credit'!$A:$O,
MATCH(1,('New credit'!$A:$A=$C157)*('New credit'!$D:$D=F$16), 0),
MATCH(F$17,'New credit'!$1:$1,0))</f>
        <v>0.6957389533852627</v>
      </c>
      <c r="G157" s="18">
        <f>INDEX('New credit'!$A:$O,
MATCH($C157, 'New credit'!$A:$A, 0),
MATCH(G$17, 'New credit'!$1:$1, 0))</f>
        <v>1</v>
      </c>
      <c r="H157" s="18">
        <v>0.15</v>
      </c>
      <c r="I157" s="18" cm="1">
        <f t="array" ref="I157">INDEX('Limit raise'!$A:$O,
MATCH(1,('Limit raise'!$A:$A=$C157)*('Limit raise'!$D:$D=I$16), 0),
MATCH(I$17,'Limit raise'!$1:$1,0))</f>
        <v>0.66666666666666663</v>
      </c>
      <c r="J157" s="18" cm="1">
        <f t="array" ref="J157">INDEX('Limit raise'!$A:$O,
MATCH(1,('Limit raise'!$A:$A=$C157)*('Limit raise'!$D:$D=J$16), 0),
MATCH(J$17,'Limit raise'!$1:$1,0))</f>
        <v>0.93105263157894746</v>
      </c>
      <c r="K157" s="18" cm="1">
        <f t="array" ref="K157">INDEX('Limit raise'!$A:$O,
MATCH(1,('Limit raise'!$A:$A=$C157)*('Limit raise'!$D:$D=K$16), 0),
MATCH(K$17,'Limit raise'!$1:$1,0))</f>
        <v>0.81871016548049724</v>
      </c>
      <c r="L157" s="18">
        <f>INDEX('Limit raise'!$A:$O,
MATCH($C157, 'Limit raise'!$A:$A, 0),
MATCH(L$17,'Limit raise'!$1:$1,0))</f>
        <v>8.4604655949373206E-2</v>
      </c>
      <c r="M157" s="18">
        <v>0.15</v>
      </c>
      <c r="N157" s="18"/>
    </row>
    <row r="158" spans="3:26" s="13" customFormat="1" ht="7.2" customHeight="1" x14ac:dyDescent="0.3">
      <c r="C158" s="17">
        <v>140</v>
      </c>
      <c r="D158" s="18" cm="1">
        <f t="array" ref="D158">INDEX('New credit'!$A:$O,
MATCH(1,('New credit'!$A:$A=$C158)*('New credit'!$D:$D=D$16), 0),
MATCH(D$17,'New credit'!$1:$1,0))</f>
        <v>0.72131147540983609</v>
      </c>
      <c r="E158" s="18" cm="1">
        <f t="array" ref="E158">INDEX('New credit'!$A:$O,
MATCH(1,('New credit'!$A:$A=$C158)*('New credit'!$D:$D=E$16), 0),
MATCH(E$17,'New credit'!$1:$1,0))</f>
        <v>0.88958333333333306</v>
      </c>
      <c r="F158" s="18" cm="1">
        <f t="array" ref="F158">INDEX('New credit'!$A:$O,
MATCH(1,('New credit'!$A:$A=$C158)*('New credit'!$D:$D=F$16), 0),
MATCH(F$17,'New credit'!$1:$1,0))</f>
        <v>0.74356622429487629</v>
      </c>
      <c r="G158" s="18">
        <f>INDEX('New credit'!$A:$O,
MATCH($C158, 'New credit'!$A:$A, 0),
MATCH(G$17, 'New credit'!$1:$1, 0))</f>
        <v>1</v>
      </c>
      <c r="H158" s="18">
        <v>0.15</v>
      </c>
      <c r="I158" s="18" cm="1">
        <f t="array" ref="I158">INDEX('Limit raise'!$A:$O,
MATCH(1,('Limit raise'!$A:$A=$C158)*('Limit raise'!$D:$D=I$16), 0),
MATCH(I$17,'Limit raise'!$1:$1,0))</f>
        <v>0.65</v>
      </c>
      <c r="J158" s="18" cm="1">
        <f t="array" ref="J158">INDEX('Limit raise'!$A:$O,
MATCH(1,('Limit raise'!$A:$A=$C158)*('Limit raise'!$D:$D=J$16), 0),
MATCH(J$17,'Limit raise'!$1:$1,0))</f>
        <v>0.93</v>
      </c>
      <c r="K158" s="18" cm="1">
        <f t="array" ref="K158">INDEX('Limit raise'!$A:$O,
MATCH(1,('Limit raise'!$A:$A=$C158)*('Limit raise'!$D:$D=K$16), 0),
MATCH(K$17,'Limit raise'!$1:$1,0))</f>
        <v>0.80427251594131421</v>
      </c>
      <c r="L158" s="18">
        <f>INDEX('Limit raise'!$A:$O,
MATCH($C158, 'Limit raise'!$A:$A, 0),
MATCH(L$17,'Limit raise'!$1:$1,0))</f>
        <v>8.6122621260891041E-2</v>
      </c>
      <c r="M158" s="18">
        <v>0.15</v>
      </c>
      <c r="N158" s="18"/>
    </row>
    <row r="159" spans="3:26" s="13" customFormat="1" ht="7.2" customHeight="1" x14ac:dyDescent="0.3">
      <c r="C159" s="17">
        <v>141</v>
      </c>
      <c r="D159" s="18" cm="1">
        <f t="array" ref="D159">INDEX('New credit'!$A:$O,
MATCH(1,('New credit'!$A:$A=$C159)*('New credit'!$D:$D=D$16), 0),
MATCH(D$17,'New credit'!$1:$1,0))</f>
        <v>0.71875</v>
      </c>
      <c r="E159" s="18" cm="1">
        <f t="array" ref="E159">INDEX('New credit'!$A:$O,
MATCH(1,('New credit'!$A:$A=$C159)*('New credit'!$D:$D=E$16), 0),
MATCH(E$17,'New credit'!$1:$1,0))</f>
        <v>0.86303030303030281</v>
      </c>
      <c r="F159" s="18" cm="1">
        <f t="array" ref="F159">INDEX('New credit'!$A:$O,
MATCH(1,('New credit'!$A:$A=$C159)*('New credit'!$D:$D=F$16), 0),
MATCH(F$17,'New credit'!$1:$1,0))</f>
        <v>0.68103355708755253</v>
      </c>
      <c r="G159" s="18">
        <f>INDEX('New credit'!$A:$O,
MATCH($C159, 'New credit'!$A:$A, 0),
MATCH(G$17, 'New credit'!$1:$1, 0))</f>
        <v>1</v>
      </c>
      <c r="H159" s="18">
        <v>0.15</v>
      </c>
      <c r="I159" s="18" cm="1">
        <f t="array" ref="I159">INDEX('Limit raise'!$A:$O,
MATCH(1,('Limit raise'!$A:$A=$C159)*('Limit raise'!$D:$D=I$16), 0),
MATCH(I$17,'Limit raise'!$1:$1,0))</f>
        <v>0.66666666666666663</v>
      </c>
      <c r="J159" s="18" cm="1">
        <f t="array" ref="J159">INDEX('Limit raise'!$A:$O,
MATCH(1,('Limit raise'!$A:$A=$C159)*('Limit raise'!$D:$D=J$16), 0),
MATCH(J$17,'Limit raise'!$1:$1,0))</f>
        <v>0.93</v>
      </c>
      <c r="K159" s="18" cm="1">
        <f t="array" ref="K159">INDEX('Limit raise'!$A:$O,
MATCH(1,('Limit raise'!$A:$A=$C159)*('Limit raise'!$D:$D=K$16), 0),
MATCH(K$17,'Limit raise'!$1:$1,0))</f>
        <v>0.82025234462880692</v>
      </c>
      <c r="L159" s="18">
        <f>INDEX('Limit raise'!$A:$O,
MATCH($C159, 'Limit raise'!$A:$A, 0),
MATCH(L$17,'Limit raise'!$1:$1,0))</f>
        <v>8.6873513196618998E-2</v>
      </c>
      <c r="M159" s="18">
        <v>0.15</v>
      </c>
      <c r="N159" s="18"/>
    </row>
    <row r="160" spans="3:26" s="13" customFormat="1" ht="7.2" customHeight="1" x14ac:dyDescent="0.3">
      <c r="C160" s="17">
        <v>142</v>
      </c>
      <c r="D160" s="18" cm="1">
        <f t="array" ref="D160">INDEX('New credit'!$A:$O,
MATCH(1,('New credit'!$A:$A=$C160)*('New credit'!$D:$D=D$16), 0),
MATCH(D$17,'New credit'!$1:$1,0))</f>
        <v>0.74242424242424243</v>
      </c>
      <c r="E160" s="18" cm="1">
        <f t="array" ref="E160">INDEX('New credit'!$A:$O,
MATCH(1,('New credit'!$A:$A=$C160)*('New credit'!$D:$D=E$16), 0),
MATCH(E$17,'New credit'!$1:$1,0))</f>
        <v>0.86942857142857122</v>
      </c>
      <c r="F160" s="18" cm="1">
        <f t="array" ref="F160">INDEX('New credit'!$A:$O,
MATCH(1,('New credit'!$A:$A=$C160)*('New credit'!$D:$D=F$16), 0),
MATCH(F$17,'New credit'!$1:$1,0))</f>
        <v>0.72053074375028248</v>
      </c>
      <c r="G160" s="18">
        <f>INDEX('New credit'!$A:$O,
MATCH($C160, 'New credit'!$A:$A, 0),
MATCH(G$17, 'New credit'!$1:$1, 0))</f>
        <v>0.11986917503843331</v>
      </c>
      <c r="H160" s="18">
        <v>0.15</v>
      </c>
      <c r="I160" s="18" cm="1">
        <f t="array" ref="I160">INDEX('Limit raise'!$A:$O,
MATCH(1,('Limit raise'!$A:$A=$C160)*('Limit raise'!$D:$D=I$16), 0),
MATCH(I$17,'Limit raise'!$1:$1,0))</f>
        <v>0.63934426229508201</v>
      </c>
      <c r="J160" s="18" cm="1">
        <f t="array" ref="J160">INDEX('Limit raise'!$A:$O,
MATCH(1,('Limit raise'!$A:$A=$C160)*('Limit raise'!$D:$D=J$16), 0),
MATCH(J$17,'Limit raise'!$1:$1,0))</f>
        <v>0.92950000000000021</v>
      </c>
      <c r="K160" s="18" cm="1">
        <f t="array" ref="K160">INDEX('Limit raise'!$A:$O,
MATCH(1,('Limit raise'!$A:$A=$C160)*('Limit raise'!$D:$D=K$16), 0),
MATCH(K$17,'Limit raise'!$1:$1,0))</f>
        <v>0.80685812588387718</v>
      </c>
      <c r="L160" s="18">
        <f>INDEX('Limit raise'!$A:$O,
MATCH($C160, 'Limit raise'!$A:$A, 0),
MATCH(L$17,'Limit raise'!$1:$1,0))</f>
        <v>8.8004582989886074E-2</v>
      </c>
      <c r="M160" s="18">
        <v>0.15</v>
      </c>
      <c r="N160" s="18"/>
    </row>
    <row r="161" spans="3:14" s="13" customFormat="1" ht="7.2" customHeight="1" x14ac:dyDescent="0.3">
      <c r="C161" s="17">
        <v>143</v>
      </c>
      <c r="D161" s="18" cm="1">
        <f t="array" ref="D161">INDEX('New credit'!$A:$O,
MATCH(1,('New credit'!$A:$A=$C161)*('New credit'!$D:$D=D$16), 0),
MATCH(D$17,'New credit'!$1:$1,0))</f>
        <v>0.734375</v>
      </c>
      <c r="E161" s="18" cm="1">
        <f t="array" ref="E161">INDEX('New credit'!$A:$O,
MATCH(1,('New credit'!$A:$A=$C161)*('New credit'!$D:$D=E$16), 0),
MATCH(E$17,'New credit'!$1:$1,0))</f>
        <v>0.86999999999999977</v>
      </c>
      <c r="F161" s="18" cm="1">
        <f t="array" ref="F161">INDEX('New credit'!$A:$O,
MATCH(1,('New credit'!$A:$A=$C161)*('New credit'!$D:$D=F$16), 0),
MATCH(F$17,'New credit'!$1:$1,0))</f>
        <v>0.75295971091409186</v>
      </c>
      <c r="G161" s="18">
        <f>INDEX('New credit'!$A:$O,
MATCH($C161, 'New credit'!$A:$A, 0),
MATCH(G$17, 'New credit'!$1:$1, 0))</f>
        <v>0.14738287396568869</v>
      </c>
      <c r="H161" s="18">
        <v>0.15</v>
      </c>
      <c r="I161" s="18" cm="1">
        <f t="array" ref="I161">INDEX('Limit raise'!$A:$O,
MATCH(1,('Limit raise'!$A:$A=$C161)*('Limit raise'!$D:$D=I$16), 0),
MATCH(I$17,'Limit raise'!$1:$1,0))</f>
        <v>0.65573770491803274</v>
      </c>
      <c r="J161" s="18" cm="1">
        <f t="array" ref="J161">INDEX('Limit raise'!$A:$O,
MATCH(1,('Limit raise'!$A:$A=$C161)*('Limit raise'!$D:$D=J$16), 0),
MATCH(J$17,'Limit raise'!$1:$1,0))</f>
        <v>0.93</v>
      </c>
      <c r="K161" s="18" cm="1">
        <f t="array" ref="K161">INDEX('Limit raise'!$A:$O,
MATCH(1,('Limit raise'!$A:$A=$C161)*('Limit raise'!$D:$D=K$16), 0),
MATCH(K$17,'Limit raise'!$1:$1,0))</f>
        <v>0.81812785561004597</v>
      </c>
      <c r="L161" s="18">
        <f>INDEX('Limit raise'!$A:$O,
MATCH($C161, 'Limit raise'!$A:$A, 0),
MATCH(L$17,'Limit raise'!$1:$1,0))</f>
        <v>8.3773979592476053E-2</v>
      </c>
      <c r="M161" s="18">
        <v>0.15</v>
      </c>
      <c r="N161" s="18"/>
    </row>
    <row r="162" spans="3:14" s="13" customFormat="1" ht="7.2" customHeight="1" x14ac:dyDescent="0.3">
      <c r="C162" s="17">
        <v>144</v>
      </c>
      <c r="D162" s="18" cm="1">
        <f t="array" ref="D162">INDEX('New credit'!$A:$O,
MATCH(1,('New credit'!$A:$A=$C162)*('New credit'!$D:$D=D$16), 0),
MATCH(D$17,'New credit'!$1:$1,0))</f>
        <v>0.7384615384615385</v>
      </c>
      <c r="E162" s="18" cm="1">
        <f t="array" ref="E162">INDEX('New credit'!$A:$O,
MATCH(1,('New credit'!$A:$A=$C162)*('New credit'!$D:$D=E$16), 0),
MATCH(E$17,'New credit'!$1:$1,0))</f>
        <v>0.84829268292682913</v>
      </c>
      <c r="F162" s="18" cm="1">
        <f t="array" ref="F162">INDEX('New credit'!$A:$O,
MATCH(1,('New credit'!$A:$A=$C162)*('New credit'!$D:$D=F$16), 0),
MATCH(F$17,'New credit'!$1:$1,0))</f>
        <v>0.75557150940803686</v>
      </c>
      <c r="G162" s="18">
        <f>INDEX('New credit'!$A:$O,
MATCH($C162, 'New credit'!$A:$A, 0),
MATCH(G$17, 'New credit'!$1:$1, 0))</f>
        <v>0.1405399499442066</v>
      </c>
      <c r="H162" s="18">
        <v>0.15</v>
      </c>
      <c r="I162" s="18" cm="1">
        <f t="array" ref="I162">INDEX('Limit raise'!$A:$O,
MATCH(1,('Limit raise'!$A:$A=$C162)*('Limit raise'!$D:$D=I$16), 0),
MATCH(I$17,'Limit raise'!$1:$1,0))</f>
        <v>0.63934426229508201</v>
      </c>
      <c r="J162" s="18" cm="1">
        <f t="array" ref="J162">INDEX('Limit raise'!$A:$O,
MATCH(1,('Limit raise'!$A:$A=$C162)*('Limit raise'!$D:$D=J$16), 0),
MATCH(J$17,'Limit raise'!$1:$1,0))</f>
        <v>0.93</v>
      </c>
      <c r="K162" s="18" cm="1">
        <f t="array" ref="K162">INDEX('Limit raise'!$A:$O,
MATCH(1,('Limit raise'!$A:$A=$C162)*('Limit raise'!$D:$D=K$16), 0),
MATCH(K$17,'Limit raise'!$1:$1,0))</f>
        <v>0.80574816182993936</v>
      </c>
      <c r="L162" s="18">
        <f>INDEX('Limit raise'!$A:$O,
MATCH($C162, 'Limit raise'!$A:$A, 0),
MATCH(L$17,'Limit raise'!$1:$1,0))</f>
        <v>8.3390593606256558E-2</v>
      </c>
      <c r="M162" s="18">
        <v>0.15</v>
      </c>
      <c r="N162" s="18"/>
    </row>
    <row r="163" spans="3:14" s="13" customFormat="1" ht="7.2" customHeight="1" x14ac:dyDescent="0.3">
      <c r="C163" s="17">
        <v>145</v>
      </c>
      <c r="D163" s="18" cm="1">
        <f t="array" ref="D163">INDEX('New credit'!$A:$O,
MATCH(1,('New credit'!$A:$A=$C163)*('New credit'!$D:$D=D$16), 0),
MATCH(D$17,'New credit'!$1:$1,0))</f>
        <v>0.70422535211267601</v>
      </c>
      <c r="E163" s="18" cm="1">
        <f t="array" ref="E163">INDEX('New credit'!$A:$O,
MATCH(1,('New credit'!$A:$A=$C163)*('New credit'!$D:$D=E$16), 0),
MATCH(E$17,'New credit'!$1:$1,0))</f>
        <v>0.82351351351351343</v>
      </c>
      <c r="F163" s="18" cm="1">
        <f t="array" ref="F163">INDEX('New credit'!$A:$O,
MATCH(1,('New credit'!$A:$A=$C163)*('New credit'!$D:$D=F$16), 0),
MATCH(F$17,'New credit'!$1:$1,0))</f>
        <v>0.76473287109462396</v>
      </c>
      <c r="G163" s="18">
        <f>INDEX('New credit'!$A:$O,
MATCH($C163, 'New credit'!$A:$A, 0),
MATCH(G$17, 'New credit'!$1:$1, 0))</f>
        <v>0.13958242833007581</v>
      </c>
      <c r="H163" s="18">
        <v>0.15</v>
      </c>
      <c r="I163" s="18" cm="1">
        <f t="array" ref="I163">INDEX('Limit raise'!$A:$O,
MATCH(1,('Limit raise'!$A:$A=$C163)*('Limit raise'!$D:$D=I$16), 0),
MATCH(I$17,'Limit raise'!$1:$1,0))</f>
        <v>0.62295081967213117</v>
      </c>
      <c r="J163" s="18" cm="1">
        <f t="array" ref="J163">INDEX('Limit raise'!$A:$O,
MATCH(1,('Limit raise'!$A:$A=$C163)*('Limit raise'!$D:$D=J$16), 0),
MATCH(J$17,'Limit raise'!$1:$1,0))</f>
        <v>0.93099999999999983</v>
      </c>
      <c r="K163" s="18" cm="1">
        <f t="array" ref="K163">INDEX('Limit raise'!$A:$O,
MATCH(1,('Limit raise'!$A:$A=$C163)*('Limit raise'!$D:$D=K$16), 0),
MATCH(K$17,'Limit raise'!$1:$1,0))</f>
        <v>0.78158092582328975</v>
      </c>
      <c r="L163" s="18">
        <f>INDEX('Limit raise'!$A:$O,
MATCH($C163, 'Limit raise'!$A:$A, 0),
MATCH(L$17,'Limit raise'!$1:$1,0))</f>
        <v>8.1996489889006582E-2</v>
      </c>
      <c r="M163" s="18">
        <v>0.15</v>
      </c>
      <c r="N163" s="18"/>
    </row>
    <row r="164" spans="3:14" s="13" customFormat="1" ht="7.2" customHeight="1" x14ac:dyDescent="0.3">
      <c r="C164" s="17">
        <v>146</v>
      </c>
      <c r="D164" s="18" cm="1">
        <f t="array" ref="D164">INDEX('New credit'!$A:$O,
MATCH(1,('New credit'!$A:$A=$C164)*('New credit'!$D:$D=D$16), 0),
MATCH(D$17,'New credit'!$1:$1,0))</f>
        <v>0.74285714285714288</v>
      </c>
      <c r="E164" s="18" cm="1">
        <f t="array" ref="E164">INDEX('New credit'!$A:$O,
MATCH(1,('New credit'!$A:$A=$C164)*('New credit'!$D:$D=E$16), 0),
MATCH(E$17,'New credit'!$1:$1,0))</f>
        <v>0.80323529411764694</v>
      </c>
      <c r="F164" s="18" cm="1">
        <f t="array" ref="F164">INDEX('New credit'!$A:$O,
MATCH(1,('New credit'!$A:$A=$C164)*('New credit'!$D:$D=F$16), 0),
MATCH(F$17,'New credit'!$1:$1,0))</f>
        <v>0.71681127222524155</v>
      </c>
      <c r="G164" s="18">
        <f>INDEX('New credit'!$A:$O,
MATCH($C164, 'New credit'!$A:$A, 0),
MATCH(G$17, 'New credit'!$1:$1, 0))</f>
        <v>0.14029258683721799</v>
      </c>
      <c r="H164" s="18">
        <v>0.15</v>
      </c>
      <c r="I164" s="18" cm="1">
        <f t="array" ref="I164">INDEX('Limit raise'!$A:$O,
MATCH(1,('Limit raise'!$A:$A=$C164)*('Limit raise'!$D:$D=I$16), 0),
MATCH(I$17,'Limit raise'!$1:$1,0))</f>
        <v>0.62295081967213117</v>
      </c>
      <c r="J164" s="18" cm="1">
        <f t="array" ref="J164">INDEX('Limit raise'!$A:$O,
MATCH(1,('Limit raise'!$A:$A=$C164)*('Limit raise'!$D:$D=J$16), 0),
MATCH(J$17,'Limit raise'!$1:$1,0))</f>
        <v>0.93099999999999983</v>
      </c>
      <c r="K164" s="18" cm="1">
        <f t="array" ref="K164">INDEX('Limit raise'!$A:$O,
MATCH(1,('Limit raise'!$A:$A=$C164)*('Limit raise'!$D:$D=K$16), 0),
MATCH(K$17,'Limit raise'!$1:$1,0))</f>
        <v>0.78138961817431729</v>
      </c>
      <c r="L164" s="18">
        <f>INDEX('Limit raise'!$A:$O,
MATCH($C164, 'Limit raise'!$A:$A, 0),
MATCH(L$17,'Limit raise'!$1:$1,0))</f>
        <v>8.496828531530834E-2</v>
      </c>
      <c r="M164" s="18">
        <v>0.15</v>
      </c>
      <c r="N164" s="18"/>
    </row>
    <row r="165" spans="3:14" s="13" customFormat="1" ht="7.2" customHeight="1" x14ac:dyDescent="0.3">
      <c r="C165" s="17">
        <v>147</v>
      </c>
      <c r="D165" s="18" cm="1">
        <f t="array" ref="D165">INDEX('New credit'!$A:$O,
MATCH(1,('New credit'!$A:$A=$C165)*('New credit'!$D:$D=D$16), 0),
MATCH(D$17,'New credit'!$1:$1,0))</f>
        <v>0.71014492753623193</v>
      </c>
      <c r="E165" s="18" cm="1">
        <f t="array" ref="E165">INDEX('New credit'!$A:$O,
MATCH(1,('New credit'!$A:$A=$C165)*('New credit'!$D:$D=E$16), 0),
MATCH(E$17,'New credit'!$1:$1,0))</f>
        <v>0.82838709677419342</v>
      </c>
      <c r="F165" s="18" cm="1">
        <f t="array" ref="F165">INDEX('New credit'!$A:$O,
MATCH(1,('New credit'!$A:$A=$C165)*('New credit'!$D:$D=F$16), 0),
MATCH(F$17,'New credit'!$1:$1,0))</f>
        <v>0.69543787941093371</v>
      </c>
      <c r="G165" s="18">
        <f>INDEX('New credit'!$A:$O,
MATCH($C165, 'New credit'!$A:$A, 0),
MATCH(G$17, 'New credit'!$1:$1, 0))</f>
        <v>0.13358818929863411</v>
      </c>
      <c r="H165" s="18">
        <v>0.15</v>
      </c>
      <c r="I165" s="18" cm="1">
        <f t="array" ref="I165">INDEX('Limit raise'!$A:$O,
MATCH(1,('Limit raise'!$A:$A=$C165)*('Limit raise'!$D:$D=I$16), 0),
MATCH(I$17,'Limit raise'!$1:$1,0))</f>
        <v>0.62295081967213117</v>
      </c>
      <c r="J165" s="18" cm="1">
        <f t="array" ref="J165">INDEX('Limit raise'!$A:$O,
MATCH(1,('Limit raise'!$A:$A=$C165)*('Limit raise'!$D:$D=J$16), 0),
MATCH(J$17,'Limit raise'!$1:$1,0))</f>
        <v>0.93099999999999983</v>
      </c>
      <c r="K165" s="18" cm="1">
        <f t="array" ref="K165">INDEX('Limit raise'!$A:$O,
MATCH(1,('Limit raise'!$A:$A=$C165)*('Limit raise'!$D:$D=K$16), 0),
MATCH(K$17,'Limit raise'!$1:$1,0))</f>
        <v>0.78277132872079269</v>
      </c>
      <c r="L165" s="18">
        <f>INDEX('Limit raise'!$A:$O,
MATCH($C165, 'Limit raise'!$A:$A, 0),
MATCH(L$17,'Limit raise'!$1:$1,0))</f>
        <v>8.5694187904422819E-2</v>
      </c>
      <c r="M165" s="18">
        <v>0.15</v>
      </c>
      <c r="N165" s="18"/>
    </row>
    <row r="166" spans="3:14" s="13" customFormat="1" ht="7.2" customHeight="1" x14ac:dyDescent="0.3">
      <c r="C166" s="17">
        <v>148</v>
      </c>
      <c r="D166" s="18" cm="1">
        <f t="array" ref="D166">INDEX('New credit'!$A:$O,
MATCH(1,('New credit'!$A:$A=$C166)*('New credit'!$D:$D=D$16), 0),
MATCH(D$17,'New credit'!$1:$1,0))</f>
        <v>0.69354838709677424</v>
      </c>
      <c r="E166" s="18" cm="1">
        <f t="array" ref="E166">INDEX('New credit'!$A:$O,
MATCH(1,('New credit'!$A:$A=$C166)*('New credit'!$D:$D=E$16), 0),
MATCH(E$17,'New credit'!$1:$1,0))</f>
        <v>0.85233333333333294</v>
      </c>
      <c r="F166" s="18" cm="1">
        <f t="array" ref="F166">INDEX('New credit'!$A:$O,
MATCH(1,('New credit'!$A:$A=$C166)*('New credit'!$D:$D=F$16), 0),
MATCH(F$17,'New credit'!$1:$1,0))</f>
        <v>0.71747017062289364</v>
      </c>
      <c r="G166" s="18">
        <f>INDEX('New credit'!$A:$O,
MATCH($C166, 'New credit'!$A:$A, 0),
MATCH(G$17, 'New credit'!$1:$1, 0))</f>
        <v>0.1480997246995063</v>
      </c>
      <c r="H166" s="18">
        <v>0.15</v>
      </c>
      <c r="I166" s="18" cm="1">
        <f t="array" ref="I166">INDEX('Limit raise'!$A:$O,
MATCH(1,('Limit raise'!$A:$A=$C166)*('Limit raise'!$D:$D=I$16), 0),
MATCH(I$17,'Limit raise'!$1:$1,0))</f>
        <v>0.64406779661016944</v>
      </c>
      <c r="J166" s="18" cm="1">
        <f t="array" ref="J166">INDEX('Limit raise'!$A:$O,
MATCH(1,('Limit raise'!$A:$A=$C166)*('Limit raise'!$D:$D=J$16), 0),
MATCH(J$17,'Limit raise'!$1:$1,0))</f>
        <v>0.8872727272727271</v>
      </c>
      <c r="K166" s="18" cm="1">
        <f t="array" ref="K166">INDEX('Limit raise'!$A:$O,
MATCH(1,('Limit raise'!$A:$A=$C166)*('Limit raise'!$D:$D=K$16), 0),
MATCH(K$17,'Limit raise'!$1:$1,0))</f>
        <v>0.7860371930290051</v>
      </c>
      <c r="L166" s="18">
        <f>INDEX('Limit raise'!$A:$O,
MATCH($C166, 'Limit raise'!$A:$A, 0),
MATCH(L$17,'Limit raise'!$1:$1,0))</f>
        <v>8.753092066543583E-2</v>
      </c>
      <c r="M166" s="18">
        <v>0.15</v>
      </c>
      <c r="N166" s="18"/>
    </row>
    <row r="167" spans="3:14" s="13" customFormat="1" ht="7.2" customHeight="1" x14ac:dyDescent="0.3">
      <c r="C167" s="17">
        <v>149</v>
      </c>
      <c r="D167" s="18" cm="1">
        <f t="array" ref="D167">INDEX('New credit'!$A:$O,
MATCH(1,('New credit'!$A:$A=$C167)*('New credit'!$D:$D=D$16), 0),
MATCH(D$17,'New credit'!$1:$1,0))</f>
        <v>0.67164179104477617</v>
      </c>
      <c r="E167" s="18" cm="1">
        <f t="array" ref="E167">INDEX('New credit'!$A:$O,
MATCH(1,('New credit'!$A:$A=$C167)*('New credit'!$D:$D=E$16), 0),
MATCH(E$17,'New credit'!$1:$1,0))</f>
        <v>0.86705882352941166</v>
      </c>
      <c r="F167" s="18" cm="1">
        <f t="array" ref="F167">INDEX('New credit'!$A:$O,
MATCH(1,('New credit'!$A:$A=$C167)*('New credit'!$D:$D=F$16), 0),
MATCH(F$17,'New credit'!$1:$1,0))</f>
        <v>0.69739451779998785</v>
      </c>
      <c r="G167" s="18">
        <f>INDEX('New credit'!$A:$O,
MATCH($C167, 'New credit'!$A:$A, 0),
MATCH(G$17, 'New credit'!$1:$1, 0))</f>
        <v>0.16732809246073729</v>
      </c>
      <c r="H167" s="18">
        <v>0.15</v>
      </c>
      <c r="I167" s="18" cm="1">
        <f t="array" ref="I167">INDEX('Limit raise'!$A:$O,
MATCH(1,('Limit raise'!$A:$A=$C167)*('Limit raise'!$D:$D=I$16), 0),
MATCH(I$17,'Limit raise'!$1:$1,0))</f>
        <v>0.70909090909090911</v>
      </c>
      <c r="J167" s="18" cm="1">
        <f t="array" ref="J167">INDEX('Limit raise'!$A:$O,
MATCH(1,('Limit raise'!$A:$A=$C167)*('Limit raise'!$D:$D=J$16), 0),
MATCH(J$17,'Limit raise'!$1:$1,0))</f>
        <v>0.92954545454545434</v>
      </c>
      <c r="K167" s="18" cm="1">
        <f t="array" ref="K167">INDEX('Limit raise'!$A:$O,
MATCH(1,('Limit raise'!$A:$A=$C167)*('Limit raise'!$D:$D=K$16), 0),
MATCH(K$17,'Limit raise'!$1:$1,0))</f>
        <v>0.71225115354726176</v>
      </c>
      <c r="L167" s="18">
        <f>INDEX('Limit raise'!$A:$O,
MATCH($C167, 'Limit raise'!$A:$A, 0),
MATCH(L$17,'Limit raise'!$1:$1,0))</f>
        <v>8.8275912937589185E-2</v>
      </c>
      <c r="M167" s="18">
        <v>0.15</v>
      </c>
      <c r="N167" s="18"/>
    </row>
    <row r="168" spans="3:14" s="13" customFormat="1" ht="7.2" customHeight="1" x14ac:dyDescent="0.3">
      <c r="C168" s="17">
        <v>150</v>
      </c>
      <c r="D168" s="18" cm="1">
        <f t="array" ref="D168">INDEX('New credit'!$A:$O,
MATCH(1,('New credit'!$A:$A=$C168)*('New credit'!$D:$D=D$16), 0),
MATCH(D$17,'New credit'!$1:$1,0))</f>
        <v>0.68493150684931503</v>
      </c>
      <c r="E168" s="18" cm="1">
        <f t="array" ref="E168">INDEX('New credit'!$A:$O,
MATCH(1,('New credit'!$A:$A=$C168)*('New credit'!$D:$D=E$16), 0),
MATCH(E$17,'New credit'!$1:$1,0))</f>
        <v>0.82842105263157884</v>
      </c>
      <c r="F168" s="18" cm="1">
        <f t="array" ref="F168">INDEX('New credit'!$A:$O,
MATCH(1,('New credit'!$A:$A=$C168)*('New credit'!$D:$D=F$16), 0),
MATCH(F$17,'New credit'!$1:$1,0))</f>
        <v>0.6761817914501248</v>
      </c>
      <c r="G168" s="18">
        <f>INDEX('New credit'!$A:$O,
MATCH($C168, 'New credit'!$A:$A, 0),
MATCH(G$17, 'New credit'!$1:$1, 0))</f>
        <v>8.9962135282265571E-2</v>
      </c>
      <c r="H168" s="18">
        <v>0.15</v>
      </c>
      <c r="I168" s="18" cm="1">
        <f t="array" ref="I168">INDEX('Limit raise'!$A:$O,
MATCH(1,('Limit raise'!$A:$A=$C168)*('Limit raise'!$D:$D=I$16), 0),
MATCH(I$17,'Limit raise'!$1:$1,0))</f>
        <v>0.65454545454545454</v>
      </c>
      <c r="J168" s="18" cm="1">
        <f t="array" ref="J168">INDEX('Limit raise'!$A:$O,
MATCH(1,('Limit raise'!$A:$A=$C168)*('Limit raise'!$D:$D=J$16), 0),
MATCH(J$17,'Limit raise'!$1:$1,0))</f>
        <v>0.92863636363636348</v>
      </c>
      <c r="K168" s="18" cm="1">
        <f t="array" ref="K168">INDEX('Limit raise'!$A:$O,
MATCH(1,('Limit raise'!$A:$A=$C168)*('Limit raise'!$D:$D=K$16), 0),
MATCH(K$17,'Limit raise'!$1:$1,0))</f>
        <v>0.78753055042475284</v>
      </c>
      <c r="L168" s="18">
        <f>INDEX('Limit raise'!$A:$O,
MATCH($C168, 'Limit raise'!$A:$A, 0),
MATCH(L$17,'Limit raise'!$1:$1,0))</f>
        <v>1</v>
      </c>
      <c r="M168" s="18">
        <v>0.15</v>
      </c>
      <c r="N168" s="18"/>
    </row>
    <row r="169" spans="3:14" s="13" customFormat="1" ht="7.2" customHeight="1" x14ac:dyDescent="0.3">
      <c r="C169" s="17">
        <v>151</v>
      </c>
      <c r="D169" s="18" cm="1">
        <f t="array" ref="D169">INDEX('New credit'!$A:$O,
MATCH(1,('New credit'!$A:$A=$C169)*('New credit'!$D:$D=D$16), 0),
MATCH(D$17,'New credit'!$1:$1,0))</f>
        <v>0.74647887323943662</v>
      </c>
      <c r="E169" s="18" cm="1">
        <f t="array" ref="E169">INDEX('New credit'!$A:$O,
MATCH(1,('New credit'!$A:$A=$C169)*('New credit'!$D:$D=E$16), 0),
MATCH(E$17,'New credit'!$1:$1,0))</f>
        <v>0.83128205128205113</v>
      </c>
      <c r="F169" s="18" cm="1">
        <f t="array" ref="F169">INDEX('New credit'!$A:$O,
MATCH(1,('New credit'!$A:$A=$C169)*('New credit'!$D:$D=F$16), 0),
MATCH(F$17,'New credit'!$1:$1,0))</f>
        <v>0.72368723143250469</v>
      </c>
      <c r="G169" s="18">
        <f>INDEX('New credit'!$A:$O,
MATCH($C169, 'New credit'!$A:$A, 0),
MATCH(G$17, 'New credit'!$1:$1, 0))</f>
        <v>0.1424765987688944</v>
      </c>
      <c r="H169" s="18">
        <v>0.15</v>
      </c>
      <c r="I169" s="18" cm="1">
        <f t="array" ref="I169">INDEX('Limit raise'!$A:$O,
MATCH(1,('Limit raise'!$A:$A=$C169)*('Limit raise'!$D:$D=I$16), 0),
MATCH(I$17,'Limit raise'!$1:$1,0))</f>
        <v>0.65454545454545454</v>
      </c>
      <c r="J169" s="18" cm="1">
        <f t="array" ref="J169">INDEX('Limit raise'!$A:$O,
MATCH(1,('Limit raise'!$A:$A=$C169)*('Limit raise'!$D:$D=J$16), 0),
MATCH(J$17,'Limit raise'!$1:$1,0))</f>
        <v>0.92999999999999994</v>
      </c>
      <c r="K169" s="18" cm="1">
        <f t="array" ref="K169">INDEX('Limit raise'!$A:$O,
MATCH(1,('Limit raise'!$A:$A=$C169)*('Limit raise'!$D:$D=K$16), 0),
MATCH(K$17,'Limit raise'!$1:$1,0))</f>
        <v>0.79085746545187929</v>
      </c>
      <c r="L169" s="18">
        <f>INDEX('Limit raise'!$A:$O,
MATCH($C169, 'Limit raise'!$A:$A, 0),
MATCH(L$17,'Limit raise'!$1:$1,0))</f>
        <v>1.8021611510471991E-2</v>
      </c>
      <c r="M169" s="18">
        <v>0.15</v>
      </c>
      <c r="N169" s="18"/>
    </row>
    <row r="170" spans="3:14" s="13" customFormat="1" ht="7.2" customHeight="1" x14ac:dyDescent="0.3">
      <c r="C170" s="17">
        <v>152</v>
      </c>
      <c r="D170" s="18" cm="1">
        <f t="array" ref="D170">INDEX('New credit'!$A:$O,
MATCH(1,('New credit'!$A:$A=$C170)*('New credit'!$D:$D=D$16), 0),
MATCH(D$17,'New credit'!$1:$1,0))</f>
        <v>0.76470588235294112</v>
      </c>
      <c r="E170" s="18" cm="1">
        <f t="array" ref="E170">INDEX('New credit'!$A:$O,
MATCH(1,('New credit'!$A:$A=$C170)*('New credit'!$D:$D=E$16), 0),
MATCH(E$17,'New credit'!$1:$1,0))</f>
        <v>0.87096774193548376</v>
      </c>
      <c r="F170" s="18" cm="1">
        <f t="array" ref="F170">INDEX('New credit'!$A:$O,
MATCH(1,('New credit'!$A:$A=$C170)*('New credit'!$D:$D=F$16), 0),
MATCH(F$17,'New credit'!$1:$1,0))</f>
        <v>0.76336303667674865</v>
      </c>
      <c r="G170" s="18">
        <f>INDEX('New credit'!$A:$O,
MATCH($C170, 'New credit'!$A:$A, 0),
MATCH(G$17, 'New credit'!$1:$1, 0))</f>
        <v>0.18939049124439081</v>
      </c>
      <c r="H170" s="18">
        <v>0.15</v>
      </c>
      <c r="I170" s="18" cm="1">
        <f t="array" ref="I170">INDEX('Limit raise'!$A:$O,
MATCH(1,('Limit raise'!$A:$A=$C170)*('Limit raise'!$D:$D=I$16), 0),
MATCH(I$17,'Limit raise'!$1:$1,0))</f>
        <v>0.66666666666666663</v>
      </c>
      <c r="J170" s="18" cm="1">
        <f t="array" ref="J170">INDEX('Limit raise'!$A:$O,
MATCH(1,('Limit raise'!$A:$A=$C170)*('Limit raise'!$D:$D=J$16), 0),
MATCH(J$17,'Limit raise'!$1:$1,0))</f>
        <v>0.92909090909090897</v>
      </c>
      <c r="K170" s="18" cm="1">
        <f t="array" ref="K170">INDEX('Limit raise'!$A:$O,
MATCH(1,('Limit raise'!$A:$A=$C170)*('Limit raise'!$D:$D=K$16), 0),
MATCH(K$17,'Limit raise'!$1:$1,0))</f>
        <v>0.82069984677761254</v>
      </c>
      <c r="L170" s="18">
        <f>INDEX('Limit raise'!$A:$O,
MATCH($C170, 'Limit raise'!$A:$A, 0),
MATCH(L$17,'Limit raise'!$1:$1,0))</f>
        <v>2.9755480432446552E-2</v>
      </c>
      <c r="M170" s="18">
        <v>0.15</v>
      </c>
      <c r="N170" s="18"/>
    </row>
    <row r="171" spans="3:14" s="13" customFormat="1" ht="7.2" customHeight="1" x14ac:dyDescent="0.3">
      <c r="C171" s="17">
        <v>153</v>
      </c>
      <c r="D171" s="18" cm="1">
        <f t="array" ref="D171">INDEX('New credit'!$A:$O,
MATCH(1,('New credit'!$A:$A=$C171)*('New credit'!$D:$D=D$16), 0),
MATCH(D$17,'New credit'!$1:$1,0))</f>
        <v>0.73134328358208955</v>
      </c>
      <c r="E171" s="18" cm="1">
        <f t="array" ref="E171">INDEX('New credit'!$A:$O,
MATCH(1,('New credit'!$A:$A=$C171)*('New credit'!$D:$D=E$16), 0),
MATCH(E$17,'New credit'!$1:$1,0))</f>
        <v>0.86965517241379298</v>
      </c>
      <c r="F171" s="18" cm="1">
        <f t="array" ref="F171">INDEX('New credit'!$A:$O,
MATCH(1,('New credit'!$A:$A=$C171)*('New credit'!$D:$D=F$16), 0),
MATCH(F$17,'New credit'!$1:$1,0))</f>
        <v>0.75027218118582617</v>
      </c>
      <c r="G171" s="18">
        <f>INDEX('New credit'!$A:$O,
MATCH($C171, 'New credit'!$A:$A, 0),
MATCH(G$17, 'New credit'!$1:$1, 0))</f>
        <v>0.15758323905698399</v>
      </c>
      <c r="H171" s="18">
        <v>0.15</v>
      </c>
      <c r="I171" s="18" cm="1">
        <f t="array" ref="I171">INDEX('Limit raise'!$A:$O,
MATCH(1,('Limit raise'!$A:$A=$C171)*('Limit raise'!$D:$D=I$16), 0),
MATCH(I$17,'Limit raise'!$1:$1,0))</f>
        <v>0.66666666666666663</v>
      </c>
      <c r="J171" s="18" cm="1">
        <f t="array" ref="J171">INDEX('Limit raise'!$A:$O,
MATCH(1,('Limit raise'!$A:$A=$C171)*('Limit raise'!$D:$D=J$16), 0),
MATCH(J$17,'Limit raise'!$1:$1,0))</f>
        <v>0.92909090909090897</v>
      </c>
      <c r="K171" s="18" cm="1">
        <f t="array" ref="K171">INDEX('Limit raise'!$A:$O,
MATCH(1,('Limit raise'!$A:$A=$C171)*('Limit raise'!$D:$D=K$16), 0),
MATCH(K$17,'Limit raise'!$1:$1,0))</f>
        <v>0.79434156635235709</v>
      </c>
      <c r="L171" s="18">
        <f>INDEX('Limit raise'!$A:$O,
MATCH($C171, 'Limit raise'!$A:$A, 0),
MATCH(L$17,'Limit raise'!$1:$1,0))</f>
        <v>3.3749986039905658E-2</v>
      </c>
      <c r="M171" s="18">
        <v>0.15</v>
      </c>
      <c r="N171" s="18"/>
    </row>
    <row r="172" spans="3:14" s="13" customFormat="1" ht="7.2" customHeight="1" x14ac:dyDescent="0.3">
      <c r="C172" s="17">
        <v>154</v>
      </c>
      <c r="D172" s="18" cm="1">
        <f t="array" ref="D172">INDEX('New credit'!$A:$O,
MATCH(1,('New credit'!$A:$A=$C172)*('New credit'!$D:$D=D$16), 0),
MATCH(D$17,'New credit'!$1:$1,0))</f>
        <v>0.71212121212121215</v>
      </c>
      <c r="E172" s="18" cm="1">
        <f t="array" ref="E172">INDEX('New credit'!$A:$O,
MATCH(1,('New credit'!$A:$A=$C172)*('New credit'!$D:$D=E$16), 0),
MATCH(E$17,'New credit'!$1:$1,0))</f>
        <v>0.86724137931034495</v>
      </c>
      <c r="F172" s="18" cm="1">
        <f t="array" ref="F172">INDEX('New credit'!$A:$O,
MATCH(1,('New credit'!$A:$A=$C172)*('New credit'!$D:$D=F$16), 0),
MATCH(F$17,'New credit'!$1:$1,0))</f>
        <v>0.78298573819615402</v>
      </c>
      <c r="G172" s="18">
        <f>INDEX('New credit'!$A:$O,
MATCH($C172, 'New credit'!$A:$A, 0),
MATCH(G$17, 'New credit'!$1:$1, 0))</f>
        <v>0.11915433875232211</v>
      </c>
      <c r="H172" s="18">
        <v>0.15</v>
      </c>
      <c r="I172" s="18" cm="1">
        <f t="array" ref="I172">INDEX('Limit raise'!$A:$O,
MATCH(1,('Limit raise'!$A:$A=$C172)*('Limit raise'!$D:$D=I$16), 0),
MATCH(I$17,'Limit raise'!$1:$1,0))</f>
        <v>0.66666666666666663</v>
      </c>
      <c r="J172" s="18" cm="1">
        <f t="array" ref="J172">INDEX('Limit raise'!$A:$O,
MATCH(1,('Limit raise'!$A:$A=$C172)*('Limit raise'!$D:$D=J$16), 0),
MATCH(J$17,'Limit raise'!$1:$1,0))</f>
        <v>0.92869565217391303</v>
      </c>
      <c r="K172" s="18" cm="1">
        <f t="array" ref="K172">INDEX('Limit raise'!$A:$O,
MATCH(1,('Limit raise'!$A:$A=$C172)*('Limit raise'!$D:$D=K$16), 0),
MATCH(K$17,'Limit raise'!$1:$1,0))</f>
        <v>0.79427785122041372</v>
      </c>
      <c r="L172" s="18">
        <f>INDEX('Limit raise'!$A:$O,
MATCH($C172, 'Limit raise'!$A:$A, 0),
MATCH(L$17,'Limit raise'!$1:$1,0))</f>
        <v>3.5776614024227951E-2</v>
      </c>
      <c r="M172" s="18">
        <v>0.15</v>
      </c>
      <c r="N172" s="18"/>
    </row>
    <row r="173" spans="3:14" s="13" customFormat="1" ht="7.2" customHeight="1" x14ac:dyDescent="0.3">
      <c r="C173" s="17">
        <v>155</v>
      </c>
      <c r="D173" s="18" cm="1">
        <f t="array" ref="D173">INDEX('New credit'!$A:$O,
MATCH(1,('New credit'!$A:$A=$C173)*('New credit'!$D:$D=D$16), 0),
MATCH(D$17,'New credit'!$1:$1,0))</f>
        <v>0.70422535211267601</v>
      </c>
      <c r="E173" s="18" cm="1">
        <f t="array" ref="E173">INDEX('New credit'!$A:$O,
MATCH(1,('New credit'!$A:$A=$C173)*('New credit'!$D:$D=E$16), 0),
MATCH(E$17,'New credit'!$1:$1,0))</f>
        <v>0.87161290322580642</v>
      </c>
      <c r="F173" s="18" cm="1">
        <f t="array" ref="F173">INDEX('New credit'!$A:$O,
MATCH(1,('New credit'!$A:$A=$C173)*('New credit'!$D:$D=F$16), 0),
MATCH(F$17,'New credit'!$1:$1,0))</f>
        <v>0.80732411519994174</v>
      </c>
      <c r="G173" s="18">
        <f>INDEX('New credit'!$A:$O,
MATCH($C173, 'New credit'!$A:$A, 0),
MATCH(G$17, 'New credit'!$1:$1, 0))</f>
        <v>0.1419623830124776</v>
      </c>
      <c r="H173" s="18">
        <v>0.15</v>
      </c>
      <c r="I173" s="18" cm="1">
        <f t="array" ref="I173">INDEX('Limit raise'!$A:$O,
MATCH(1,('Limit raise'!$A:$A=$C173)*('Limit raise'!$D:$D=I$16), 0),
MATCH(I$17,'Limit raise'!$1:$1,0))</f>
        <v>0.65517241379310343</v>
      </c>
      <c r="J173" s="18" cm="1">
        <f t="array" ref="J173">INDEX('Limit raise'!$A:$O,
MATCH(1,('Limit raise'!$A:$A=$C173)*('Limit raise'!$D:$D=J$16), 0),
MATCH(J$17,'Limit raise'!$1:$1,0))</f>
        <v>0.92999999999999983</v>
      </c>
      <c r="K173" s="18" cm="1">
        <f t="array" ref="K173">INDEX('Limit raise'!$A:$O,
MATCH(1,('Limit raise'!$A:$A=$C173)*('Limit raise'!$D:$D=K$16), 0),
MATCH(K$17,'Limit raise'!$1:$1,0))</f>
        <v>0.80948462876404081</v>
      </c>
      <c r="L173" s="18">
        <f>INDEX('Limit raise'!$A:$O,
MATCH($C173, 'Limit raise'!$A:$A, 0),
MATCH(L$17,'Limit raise'!$1:$1,0))</f>
        <v>4.069470174837627E-2</v>
      </c>
      <c r="M173" s="18">
        <v>0.15</v>
      </c>
      <c r="N173" s="18"/>
    </row>
    <row r="174" spans="3:14" s="13" customFormat="1" ht="7.2" customHeight="1" x14ac:dyDescent="0.3">
      <c r="C174" s="17">
        <v>156</v>
      </c>
      <c r="D174" s="18" cm="1">
        <f t="array" ref="D174">INDEX('New credit'!$A:$O,
MATCH(1,('New credit'!$A:$A=$C174)*('New credit'!$D:$D=D$16), 0),
MATCH(D$17,'New credit'!$1:$1,0))</f>
        <v>0.72222222222222221</v>
      </c>
      <c r="E174" s="18" cm="1">
        <f t="array" ref="E174">INDEX('New credit'!$A:$O,
MATCH(1,('New credit'!$A:$A=$C174)*('New credit'!$D:$D=E$16), 0),
MATCH(E$17,'New credit'!$1:$1,0))</f>
        <v>0.87290322580645141</v>
      </c>
      <c r="F174" s="18" cm="1">
        <f t="array" ref="F174">INDEX('New credit'!$A:$O,
MATCH(1,('New credit'!$A:$A=$C174)*('New credit'!$D:$D=F$16), 0),
MATCH(F$17,'New credit'!$1:$1,0))</f>
        <v>0.75745301353090611</v>
      </c>
      <c r="G174" s="18">
        <f>INDEX('New credit'!$A:$O,
MATCH($C174, 'New credit'!$A:$A, 0),
MATCH(G$17, 'New credit'!$1:$1, 0))</f>
        <v>0.19198531779501901</v>
      </c>
      <c r="H174" s="18">
        <v>0.15</v>
      </c>
      <c r="I174" s="18" cm="1">
        <f t="array" ref="I174">INDEX('Limit raise'!$A:$O,
MATCH(1,('Limit raise'!$A:$A=$C174)*('Limit raise'!$D:$D=I$16), 0),
MATCH(I$17,'Limit raise'!$1:$1,0))</f>
        <v>0.64406779661016944</v>
      </c>
      <c r="J174" s="18" cm="1">
        <f t="array" ref="J174">INDEX('Limit raise'!$A:$O,
MATCH(1,('Limit raise'!$A:$A=$C174)*('Limit raise'!$D:$D=J$16), 0),
MATCH(J$17,'Limit raise'!$1:$1,0))</f>
        <v>0.92913043478260859</v>
      </c>
      <c r="K174" s="18" cm="1">
        <f t="array" ref="K174">INDEX('Limit raise'!$A:$O,
MATCH(1,('Limit raise'!$A:$A=$C174)*('Limit raise'!$D:$D=K$16), 0),
MATCH(K$17,'Limit raise'!$1:$1,0))</f>
        <v>0.8297216869090086</v>
      </c>
      <c r="L174" s="18">
        <f>INDEX('Limit raise'!$A:$O,
MATCH($C174, 'Limit raise'!$A:$A, 0),
MATCH(L$17,'Limit raise'!$1:$1,0))</f>
        <v>1</v>
      </c>
      <c r="M174" s="18">
        <v>0.15</v>
      </c>
      <c r="N174" s="18"/>
    </row>
    <row r="175" spans="3:14" s="13" customFormat="1" ht="7.2" customHeight="1" x14ac:dyDescent="0.3">
      <c r="C175" s="17">
        <v>157</v>
      </c>
      <c r="D175" s="18" cm="1">
        <f t="array" ref="D175">INDEX('New credit'!$A:$O,
MATCH(1,('New credit'!$A:$A=$C175)*('New credit'!$D:$D=D$16), 0),
MATCH(D$17,'New credit'!$1:$1,0))</f>
        <v>0.70833333333333337</v>
      </c>
      <c r="E175" s="18" cm="1">
        <f t="array" ref="E175">INDEX('New credit'!$A:$O,
MATCH(1,('New credit'!$A:$A=$C175)*('New credit'!$D:$D=E$16), 0),
MATCH(E$17,'New credit'!$1:$1,0))</f>
        <v>0.87499999999999989</v>
      </c>
      <c r="F175" s="18" cm="1">
        <f t="array" ref="F175">INDEX('New credit'!$A:$O,
MATCH(1,('New credit'!$A:$A=$C175)*('New credit'!$D:$D=F$16), 0),
MATCH(F$17,'New credit'!$1:$1,0))</f>
        <v>0.69984378088030252</v>
      </c>
      <c r="G175" s="18">
        <f>INDEX('New credit'!$A:$O,
MATCH($C175, 'New credit'!$A:$A, 0),
MATCH(G$17, 'New credit'!$1:$1, 0))</f>
        <v>0.1066352119789961</v>
      </c>
      <c r="H175" s="18">
        <v>0.15</v>
      </c>
      <c r="I175" s="18" cm="1">
        <f t="array" ref="I175">INDEX('Limit raise'!$A:$O,
MATCH(1,('Limit raise'!$A:$A=$C175)*('Limit raise'!$D:$D=I$16), 0),
MATCH(I$17,'Limit raise'!$1:$1,0))</f>
        <v>0.66101694915254239</v>
      </c>
      <c r="J175" s="18" cm="1">
        <f t="array" ref="J175">INDEX('Limit raise'!$A:$O,
MATCH(1,('Limit raise'!$A:$A=$C175)*('Limit raise'!$D:$D=J$16), 0),
MATCH(J$17,'Limit raise'!$1:$1,0))</f>
        <v>0.92874999999999996</v>
      </c>
      <c r="K175" s="18" cm="1">
        <f t="array" ref="K175">INDEX('Limit raise'!$A:$O,
MATCH(1,('Limit raise'!$A:$A=$C175)*('Limit raise'!$D:$D=K$16), 0),
MATCH(K$17,'Limit raise'!$1:$1,0))</f>
        <v>0.84056953209962182</v>
      </c>
      <c r="L175" s="18">
        <f>INDEX('Limit raise'!$A:$O,
MATCH($C175, 'Limit raise'!$A:$A, 0),
MATCH(L$17,'Limit raise'!$1:$1,0))</f>
        <v>1.6857122904947439E-2</v>
      </c>
      <c r="M175" s="18">
        <v>0.15</v>
      </c>
      <c r="N175" s="18"/>
    </row>
    <row r="176" spans="3:14" s="13" customFormat="1" ht="7.2" customHeight="1" x14ac:dyDescent="0.3">
      <c r="C176" s="17">
        <v>158</v>
      </c>
      <c r="D176" s="18" cm="1">
        <f t="array" ref="D176">INDEX('New credit'!$A:$O,
MATCH(1,('New credit'!$A:$A=$C176)*('New credit'!$D:$D=D$16), 0),
MATCH(D$17,'New credit'!$1:$1,0))</f>
        <v>0.6901408450704225</v>
      </c>
      <c r="E176" s="18" cm="1">
        <f t="array" ref="E176">INDEX('New credit'!$A:$O,
MATCH(1,('New credit'!$A:$A=$C176)*('New credit'!$D:$D=E$16), 0),
MATCH(E$17,'New credit'!$1:$1,0))</f>
        <v>0.87874999999999981</v>
      </c>
      <c r="F176" s="18" cm="1">
        <f t="array" ref="F176">INDEX('New credit'!$A:$O,
MATCH(1,('New credit'!$A:$A=$C176)*('New credit'!$D:$D=F$16), 0),
MATCH(F$17,'New credit'!$1:$1,0))</f>
        <v>0.70307066188022194</v>
      </c>
      <c r="G176" s="18">
        <f>INDEX('New credit'!$A:$O,
MATCH($C176, 'New credit'!$A:$A, 0),
MATCH(G$17, 'New credit'!$1:$1, 0))</f>
        <v>0.1047441203561605</v>
      </c>
      <c r="H176" s="18">
        <v>0.15</v>
      </c>
      <c r="I176" s="18" cm="1">
        <f t="array" ref="I176">INDEX('Limit raise'!$A:$O,
MATCH(1,('Limit raise'!$A:$A=$C176)*('Limit raise'!$D:$D=I$16), 0),
MATCH(I$17,'Limit raise'!$1:$1,0))</f>
        <v>0.67213114754098358</v>
      </c>
      <c r="J176" s="18" cm="1">
        <f t="array" ref="J176">INDEX('Limit raise'!$A:$O,
MATCH(1,('Limit raise'!$A:$A=$C176)*('Limit raise'!$D:$D=J$16), 0),
MATCH(J$17,'Limit raise'!$1:$1,0))</f>
        <v>0.93159999999999987</v>
      </c>
      <c r="K176" s="18" cm="1">
        <f t="array" ref="K176">INDEX('Limit raise'!$A:$O,
MATCH(1,('Limit raise'!$A:$A=$C176)*('Limit raise'!$D:$D=K$16), 0),
MATCH(K$17,'Limit raise'!$1:$1,0))</f>
        <v>0.83723782405296343</v>
      </c>
      <c r="L176" s="18">
        <f>INDEX('Limit raise'!$A:$O,
MATCH($C176, 'Limit raise'!$A:$A, 0),
MATCH(L$17,'Limit raise'!$1:$1,0))</f>
        <v>4.0812155594955997E-2</v>
      </c>
      <c r="M176" s="18">
        <v>0.15</v>
      </c>
      <c r="N176" s="18"/>
    </row>
    <row r="177" spans="3:14" s="13" customFormat="1" ht="7.2" customHeight="1" x14ac:dyDescent="0.3">
      <c r="C177" s="17">
        <v>159</v>
      </c>
      <c r="D177" s="18" cm="1">
        <f t="array" ref="D177">INDEX('New credit'!$A:$O,
MATCH(1,('New credit'!$A:$A=$C177)*('New credit'!$D:$D=D$16), 0),
MATCH(D$17,'New credit'!$1:$1,0))</f>
        <v>0.72058823529411764</v>
      </c>
      <c r="E177" s="18" cm="1">
        <f t="array" ref="E177">INDEX('New credit'!$A:$O,
MATCH(1,('New credit'!$A:$A=$C177)*('New credit'!$D:$D=E$16), 0),
MATCH(E$17,'New credit'!$1:$1,0))</f>
        <v>0.87757575757575745</v>
      </c>
      <c r="F177" s="18" cm="1">
        <f t="array" ref="F177">INDEX('New credit'!$A:$O,
MATCH(1,('New credit'!$A:$A=$C177)*('New credit'!$D:$D=F$16), 0),
MATCH(F$17,'New credit'!$1:$1,0))</f>
        <v>0.65698148006611057</v>
      </c>
      <c r="G177" s="18">
        <f>INDEX('New credit'!$A:$O,
MATCH($C177, 'New credit'!$A:$A, 0),
MATCH(G$17, 'New credit'!$1:$1, 0))</f>
        <v>0.13479755002712679</v>
      </c>
      <c r="H177" s="18">
        <v>0.15</v>
      </c>
      <c r="I177" s="18" cm="1">
        <f t="array" ref="I177">INDEX('Limit raise'!$A:$O,
MATCH(1,('Limit raise'!$A:$A=$C177)*('Limit raise'!$D:$D=I$16), 0),
MATCH(I$17,'Limit raise'!$1:$1,0))</f>
        <v>0.67741935483870963</v>
      </c>
      <c r="J177" s="18" cm="1">
        <f t="array" ref="J177">INDEX('Limit raise'!$A:$O,
MATCH(1,('Limit raise'!$A:$A=$C177)*('Limit raise'!$D:$D=J$16), 0),
MATCH(J$17,'Limit raise'!$1:$1,0))</f>
        <v>0.89538461538461511</v>
      </c>
      <c r="K177" s="18" cm="1">
        <f t="array" ref="K177">INDEX('Limit raise'!$A:$O,
MATCH(1,('Limit raise'!$A:$A=$C177)*('Limit raise'!$D:$D=K$16), 0),
MATCH(K$17,'Limit raise'!$1:$1,0))</f>
        <v>0.82516466506700825</v>
      </c>
      <c r="L177" s="18">
        <f>INDEX('Limit raise'!$A:$O,
MATCH($C177, 'Limit raise'!$A:$A, 0),
MATCH(L$17,'Limit raise'!$1:$1,0))</f>
        <v>4.6906532083887911E-2</v>
      </c>
      <c r="M177" s="18">
        <v>0.15</v>
      </c>
      <c r="N177" s="18"/>
    </row>
    <row r="178" spans="3:14" s="13" customFormat="1" ht="7.2" customHeight="1" x14ac:dyDescent="0.3">
      <c r="C178" s="17">
        <v>160</v>
      </c>
      <c r="D178" s="18" cm="1">
        <f t="array" ref="D178">INDEX('New credit'!$A:$O,
MATCH(1,('New credit'!$A:$A=$C178)*('New credit'!$D:$D=D$16), 0),
MATCH(D$17,'New credit'!$1:$1,0))</f>
        <v>0.70588235294117652</v>
      </c>
      <c r="E178" s="18" cm="1">
        <f t="array" ref="E178">INDEX('New credit'!$A:$O,
MATCH(1,('New credit'!$A:$A=$C178)*('New credit'!$D:$D=E$16), 0),
MATCH(E$17,'New credit'!$1:$1,0))</f>
        <v>0.8650000000000001</v>
      </c>
      <c r="F178" s="18" cm="1">
        <f t="array" ref="F178">INDEX('New credit'!$A:$O,
MATCH(1,('New credit'!$A:$A=$C178)*('New credit'!$D:$D=F$16), 0),
MATCH(F$17,'New credit'!$1:$1,0))</f>
        <v>0.75553438072292545</v>
      </c>
      <c r="G178" s="18">
        <f>INDEX('New credit'!$A:$O,
MATCH($C178, 'New credit'!$A:$A, 0),
MATCH(G$17, 'New credit'!$1:$1, 0))</f>
        <v>0.2406709480708816</v>
      </c>
      <c r="H178" s="18">
        <v>0.15</v>
      </c>
      <c r="I178" s="18" cm="1">
        <f t="array" ref="I178">INDEX('Limit raise'!$A:$O,
MATCH(1,('Limit raise'!$A:$A=$C178)*('Limit raise'!$D:$D=I$16), 0),
MATCH(I$17,'Limit raise'!$1:$1,0))</f>
        <v>0.67741935483870963</v>
      </c>
      <c r="J178" s="18" cm="1">
        <f t="array" ref="J178">INDEX('Limit raise'!$A:$O,
MATCH(1,('Limit raise'!$A:$A=$C178)*('Limit raise'!$D:$D=J$16), 0),
MATCH(J$17,'Limit raise'!$1:$1,0))</f>
        <v>0.89538461538461511</v>
      </c>
      <c r="K178" s="18" cm="1">
        <f t="array" ref="K178">INDEX('Limit raise'!$A:$O,
MATCH(1,('Limit raise'!$A:$A=$C178)*('Limit raise'!$D:$D=K$16), 0),
MATCH(K$17,'Limit raise'!$1:$1,0))</f>
        <v>0.82647735931879573</v>
      </c>
      <c r="L178" s="18">
        <f>INDEX('Limit raise'!$A:$O,
MATCH($C178, 'Limit raise'!$A:$A, 0),
MATCH(L$17,'Limit raise'!$1:$1,0))</f>
        <v>4.8137617007043852E-2</v>
      </c>
      <c r="M178" s="18">
        <v>0.15</v>
      </c>
      <c r="N178" s="18"/>
    </row>
    <row r="179" spans="3:14" s="13" customFormat="1" ht="7.2" customHeight="1" x14ac:dyDescent="0.3">
      <c r="C179" s="17">
        <v>161</v>
      </c>
      <c r="D179" s="18" cm="1">
        <f t="array" ref="D179">INDEX('New credit'!$A:$O,
MATCH(1,('New credit'!$A:$A=$C179)*('New credit'!$D:$D=D$16), 0),
MATCH(D$17,'New credit'!$1:$1,0))</f>
        <v>0.765625</v>
      </c>
      <c r="E179" s="18" cm="1">
        <f t="array" ref="E179">INDEX('New credit'!$A:$O,
MATCH(1,('New credit'!$A:$A=$C179)*('New credit'!$D:$D=E$16), 0),
MATCH(E$17,'New credit'!$1:$1,0))</f>
        <v>0.88</v>
      </c>
      <c r="F179" s="18" cm="1">
        <f t="array" ref="F179">INDEX('New credit'!$A:$O,
MATCH(1,('New credit'!$A:$A=$C179)*('New credit'!$D:$D=F$16), 0),
MATCH(F$17,'New credit'!$1:$1,0))</f>
        <v>0.74734018133589053</v>
      </c>
      <c r="G179" s="18">
        <f>INDEX('New credit'!$A:$O,
MATCH($C179, 'New credit'!$A:$A, 0),
MATCH(G$17, 'New credit'!$1:$1, 0))</f>
        <v>0.15014498189799441</v>
      </c>
      <c r="H179" s="18">
        <v>0.15</v>
      </c>
      <c r="I179" s="18" cm="1">
        <f t="array" ref="I179">INDEX('Limit raise'!$A:$O,
MATCH(1,('Limit raise'!$A:$A=$C179)*('Limit raise'!$D:$D=I$16), 0),
MATCH(I$17,'Limit raise'!$1:$1,0))</f>
        <v>0.67741935483870963</v>
      </c>
      <c r="J179" s="18" cm="1">
        <f t="array" ref="J179">INDEX('Limit raise'!$A:$O,
MATCH(1,('Limit raise'!$A:$A=$C179)*('Limit raise'!$D:$D=J$16), 0),
MATCH(J$17,'Limit raise'!$1:$1,0))</f>
        <v>0.8949999999999998</v>
      </c>
      <c r="K179" s="18" cm="1">
        <f t="array" ref="K179">INDEX('Limit raise'!$A:$O,
MATCH(1,('Limit raise'!$A:$A=$C179)*('Limit raise'!$D:$D=K$16), 0),
MATCH(K$17,'Limit raise'!$1:$1,0))</f>
        <v>0.825574352233021</v>
      </c>
      <c r="L179" s="18">
        <f>INDEX('Limit raise'!$A:$O,
MATCH($C179, 'Limit raise'!$A:$A, 0),
MATCH(L$17,'Limit raise'!$1:$1,0))</f>
        <v>5.2451037954199857E-2</v>
      </c>
      <c r="M179" s="18">
        <v>0.15</v>
      </c>
      <c r="N179" s="18"/>
    </row>
    <row r="180" spans="3:14" s="13" customFormat="1" ht="7.2" customHeight="1" x14ac:dyDescent="0.3">
      <c r="C180" s="17">
        <v>162</v>
      </c>
      <c r="D180" s="18" cm="1">
        <f t="array" ref="D180">INDEX('New credit'!$A:$O,
MATCH(1,('New credit'!$A:$A=$C180)*('New credit'!$D:$D=D$16), 0),
MATCH(D$17,'New credit'!$1:$1,0))</f>
        <v>0.7</v>
      </c>
      <c r="E180" s="18" cm="1">
        <f t="array" ref="E180">INDEX('New credit'!$A:$O,
MATCH(1,('New credit'!$A:$A=$C180)*('New credit'!$D:$D=E$16), 0),
MATCH(E$17,'New credit'!$1:$1,0))</f>
        <v>0.84843749999999984</v>
      </c>
      <c r="F180" s="18" cm="1">
        <f t="array" ref="F180">INDEX('New credit'!$A:$O,
MATCH(1,('New credit'!$A:$A=$C180)*('New credit'!$D:$D=F$16), 0),
MATCH(F$17,'New credit'!$1:$1,0))</f>
        <v>0.7501793474630547</v>
      </c>
      <c r="G180" s="18">
        <f>INDEX('New credit'!$A:$O,
MATCH($C180, 'New credit'!$A:$A, 0),
MATCH(G$17, 'New credit'!$1:$1, 0))</f>
        <v>1</v>
      </c>
      <c r="H180" s="18">
        <v>0.15</v>
      </c>
      <c r="I180" s="18" cm="1">
        <f t="array" ref="I180">INDEX('Limit raise'!$A:$O,
MATCH(1,('Limit raise'!$A:$A=$C180)*('Limit raise'!$D:$D=I$16), 0),
MATCH(I$17,'Limit raise'!$1:$1,0))</f>
        <v>0.66129032258064513</v>
      </c>
      <c r="J180" s="18" cm="1">
        <f t="array" ref="J180">INDEX('Limit raise'!$A:$O,
MATCH(1,('Limit raise'!$A:$A=$C180)*('Limit raise'!$D:$D=J$16), 0),
MATCH(J$17,'Limit raise'!$1:$1,0))</f>
        <v>0.89576923076923065</v>
      </c>
      <c r="K180" s="18" cm="1">
        <f t="array" ref="K180">INDEX('Limit raise'!$A:$O,
MATCH(1,('Limit raise'!$A:$A=$C180)*('Limit raise'!$D:$D=K$16), 0),
MATCH(K$17,'Limit raise'!$1:$1,0))</f>
        <v>0.81716924717952821</v>
      </c>
      <c r="L180" s="18">
        <f>INDEX('Limit raise'!$A:$O,
MATCH($C180, 'Limit raise'!$A:$A, 0),
MATCH(L$17,'Limit raise'!$1:$1,0))</f>
        <v>5.2803924413353562E-2</v>
      </c>
      <c r="M180" s="18">
        <v>0.15</v>
      </c>
      <c r="N180" s="18"/>
    </row>
    <row r="181" spans="3:14" s="13" customFormat="1" ht="7.2" customHeight="1" x14ac:dyDescent="0.3">
      <c r="C181" s="17">
        <v>163</v>
      </c>
      <c r="D181" s="18" cm="1">
        <f t="array" ref="D181">INDEX('New credit'!$A:$O,
MATCH(1,('New credit'!$A:$A=$C181)*('New credit'!$D:$D=D$16), 0),
MATCH(D$17,'New credit'!$1:$1,0))</f>
        <v>0.60869565217391308</v>
      </c>
      <c r="E181" s="18" cm="1">
        <f t="array" ref="E181">INDEX('New credit'!$A:$O,
MATCH(1,('New credit'!$A:$A=$C181)*('New credit'!$D:$D=E$16), 0),
MATCH(E$17,'New credit'!$1:$1,0))</f>
        <v>0.8600000000000001</v>
      </c>
      <c r="F181" s="18" cm="1">
        <f t="array" ref="F181">INDEX('New credit'!$A:$O,
MATCH(1,('New credit'!$A:$A=$C181)*('New credit'!$D:$D=F$16), 0),
MATCH(F$17,'New credit'!$1:$1,0))</f>
        <v>0.73124179563929537</v>
      </c>
      <c r="G181" s="18">
        <f>INDEX('New credit'!$A:$O,
MATCH($C181, 'New credit'!$A:$A, 0),
MATCH(G$17, 'New credit'!$1:$1, 0))</f>
        <v>1</v>
      </c>
      <c r="H181" s="18">
        <v>0.15</v>
      </c>
      <c r="I181" s="18" cm="1">
        <f t="array" ref="I181">INDEX('Limit raise'!$A:$O,
MATCH(1,('Limit raise'!$A:$A=$C181)*('Limit raise'!$D:$D=I$16), 0),
MATCH(I$17,'Limit raise'!$1:$1,0))</f>
        <v>0.68333333333333335</v>
      </c>
      <c r="J181" s="18" cm="1">
        <f t="array" ref="J181">INDEX('Limit raise'!$A:$O,
MATCH(1,('Limit raise'!$A:$A=$C181)*('Limit raise'!$D:$D=J$16), 0),
MATCH(J$17,'Limit raise'!$1:$1,0))</f>
        <v>0.8965384615384614</v>
      </c>
      <c r="K181" s="18" cm="1">
        <f t="array" ref="K181">INDEX('Limit raise'!$A:$O,
MATCH(1,('Limit raise'!$A:$A=$C181)*('Limit raise'!$D:$D=K$16), 0),
MATCH(K$17,'Limit raise'!$1:$1,0))</f>
        <v>0.81599903926081974</v>
      </c>
      <c r="L181" s="18">
        <f>INDEX('Limit raise'!$A:$O,
MATCH($C181, 'Limit raise'!$A:$A, 0),
MATCH(L$17,'Limit raise'!$1:$1,0))</f>
        <v>6.0257482320620073E-2</v>
      </c>
      <c r="M181" s="18">
        <v>0.15</v>
      </c>
      <c r="N181" s="18"/>
    </row>
    <row r="182" spans="3:14" s="13" customFormat="1" ht="7.2" customHeight="1" x14ac:dyDescent="0.3">
      <c r="C182" s="17">
        <v>164</v>
      </c>
      <c r="D182" s="18" cm="1">
        <f t="array" ref="D182">INDEX('New credit'!$A:$O,
MATCH(1,('New credit'!$A:$A=$C182)*('New credit'!$D:$D=D$16), 0),
MATCH(D$17,'New credit'!$1:$1,0))</f>
        <v>0.63157894736842102</v>
      </c>
      <c r="E182" s="18" cm="1">
        <f t="array" ref="E182">INDEX('New credit'!$A:$O,
MATCH(1,('New credit'!$A:$A=$C182)*('New credit'!$D:$D=E$16), 0),
MATCH(E$17,'New credit'!$1:$1,0))</f>
        <v>0.84617647058823497</v>
      </c>
      <c r="F182" s="18" cm="1">
        <f t="array" ref="F182">INDEX('New credit'!$A:$O,
MATCH(1,('New credit'!$A:$A=$C182)*('New credit'!$D:$D=F$16), 0),
MATCH(F$17,'New credit'!$1:$1,0))</f>
        <v>0.67653786725103948</v>
      </c>
      <c r="G182" s="18">
        <f>INDEX('New credit'!$A:$O,
MATCH($C182, 'New credit'!$A:$A, 0),
MATCH(G$17, 'New credit'!$1:$1, 0))</f>
        <v>1</v>
      </c>
      <c r="H182" s="18">
        <v>0.15</v>
      </c>
      <c r="I182" s="18" cm="1">
        <f t="array" ref="I182">INDEX('Limit raise'!$A:$O,
MATCH(1,('Limit raise'!$A:$A=$C182)*('Limit raise'!$D:$D=I$16), 0),
MATCH(I$17,'Limit raise'!$1:$1,0))</f>
        <v>0.67213114754098358</v>
      </c>
      <c r="J182" s="18" cm="1">
        <f t="array" ref="J182">INDEX('Limit raise'!$A:$O,
MATCH(1,('Limit raise'!$A:$A=$C182)*('Limit raise'!$D:$D=J$16), 0),
MATCH(J$17,'Limit raise'!$1:$1,0))</f>
        <v>0.89730769230769214</v>
      </c>
      <c r="K182" s="18" cm="1">
        <f t="array" ref="K182">INDEX('Limit raise'!$A:$O,
MATCH(1,('Limit raise'!$A:$A=$C182)*('Limit raise'!$D:$D=K$16), 0),
MATCH(K$17,'Limit raise'!$1:$1,0))</f>
        <v>0.81251950300952669</v>
      </c>
      <c r="L182" s="18">
        <f>INDEX('Limit raise'!$A:$O,
MATCH($C182, 'Limit raise'!$A:$A, 0),
MATCH(L$17,'Limit raise'!$1:$1,0))</f>
        <v>6.2499391843739489E-2</v>
      </c>
      <c r="M182" s="18">
        <v>0.15</v>
      </c>
      <c r="N182" s="18"/>
    </row>
    <row r="183" spans="3:14" s="13" customFormat="1" ht="7.2" customHeight="1" x14ac:dyDescent="0.3">
      <c r="C183" s="17">
        <v>165</v>
      </c>
      <c r="D183" s="18" cm="1">
        <f t="array" ref="D183">INDEX('New credit'!$A:$O,
MATCH(1,('New credit'!$A:$A=$C183)*('New credit'!$D:$D=D$16), 0),
MATCH(D$17,'New credit'!$1:$1,0))</f>
        <v>0.62337662337662336</v>
      </c>
      <c r="E183" s="18" cm="1">
        <f t="array" ref="E183">INDEX('New credit'!$A:$O,
MATCH(1,('New credit'!$A:$A=$C183)*('New credit'!$D:$D=E$16), 0),
MATCH(E$17,'New credit'!$1:$1,0))</f>
        <v>0.83558823529411741</v>
      </c>
      <c r="F183" s="18" cm="1">
        <f t="array" ref="F183">INDEX('New credit'!$A:$O,
MATCH(1,('New credit'!$A:$A=$C183)*('New credit'!$D:$D=F$16), 0),
MATCH(F$17,'New credit'!$1:$1,0))</f>
        <v>0.71901320034010563</v>
      </c>
      <c r="G183" s="18">
        <f>INDEX('New credit'!$A:$O,
MATCH($C183, 'New credit'!$A:$A, 0),
MATCH(G$17, 'New credit'!$1:$1, 0))</f>
        <v>8.6426060583563363E-2</v>
      </c>
      <c r="H183" s="18">
        <v>0.15</v>
      </c>
      <c r="I183" s="18" cm="1">
        <f t="array" ref="I183">INDEX('Limit raise'!$A:$O,
MATCH(1,('Limit raise'!$A:$A=$C183)*('Limit raise'!$D:$D=I$16), 0),
MATCH(I$17,'Limit raise'!$1:$1,0))</f>
        <v>0.68852459016393441</v>
      </c>
      <c r="J183" s="18" cm="1">
        <f t="array" ref="J183">INDEX('Limit raise'!$A:$O,
MATCH(1,('Limit raise'!$A:$A=$C183)*('Limit raise'!$D:$D=J$16), 0),
MATCH(J$17,'Limit raise'!$1:$1,0))</f>
        <v>0.89615384615384608</v>
      </c>
      <c r="K183" s="18" cm="1">
        <f t="array" ref="K183">INDEX('Limit raise'!$A:$O,
MATCH(1,('Limit raise'!$A:$A=$C183)*('Limit raise'!$D:$D=K$16), 0),
MATCH(K$17,'Limit raise'!$1:$1,0))</f>
        <v>0.79449696951160065</v>
      </c>
      <c r="L183" s="18">
        <f>INDEX('Limit raise'!$A:$O,
MATCH($C183, 'Limit raise'!$A:$A, 0),
MATCH(L$17,'Limit raise'!$1:$1,0))</f>
        <v>6.5206182173382671E-2</v>
      </c>
      <c r="M183" s="18">
        <v>0.15</v>
      </c>
      <c r="N183" s="18"/>
    </row>
    <row r="184" spans="3:14" s="13" customFormat="1" ht="7.2" customHeight="1" x14ac:dyDescent="0.3">
      <c r="C184" s="17">
        <v>166</v>
      </c>
      <c r="D184" s="18" cm="1">
        <f t="array" ref="D184">INDEX('New credit'!$A:$O,
MATCH(1,('New credit'!$A:$A=$C184)*('New credit'!$D:$D=D$16), 0),
MATCH(D$17,'New credit'!$1:$1,0))</f>
        <v>0.68571428571428572</v>
      </c>
      <c r="E184" s="18" cm="1">
        <f t="array" ref="E184">INDEX('New credit'!$A:$O,
MATCH(1,('New credit'!$A:$A=$C184)*('New credit'!$D:$D=E$16), 0),
MATCH(E$17,'New credit'!$1:$1,0))</f>
        <v>0.83888888888888868</v>
      </c>
      <c r="F184" s="18" cm="1">
        <f t="array" ref="F184">INDEX('New credit'!$A:$O,
MATCH(1,('New credit'!$A:$A=$C184)*('New credit'!$D:$D=F$16), 0),
MATCH(F$17,'New credit'!$1:$1,0))</f>
        <v>0.65252771242068708</v>
      </c>
      <c r="G184" s="18">
        <f>INDEX('New credit'!$A:$O,
MATCH($C184, 'New credit'!$A:$A, 0),
MATCH(G$17, 'New credit'!$1:$1, 0))</f>
        <v>0.12979456376795481</v>
      </c>
      <c r="H184" s="18">
        <v>0.15</v>
      </c>
      <c r="I184" s="18" cm="1">
        <f t="array" ref="I184">INDEX('Limit raise'!$A:$O,
MATCH(1,('Limit raise'!$A:$A=$C184)*('Limit raise'!$D:$D=I$16), 0),
MATCH(I$17,'Limit raise'!$1:$1,0))</f>
        <v>0.7</v>
      </c>
      <c r="J184" s="18" cm="1">
        <f t="array" ref="J184">INDEX('Limit raise'!$A:$O,
MATCH(1,('Limit raise'!$A:$A=$C184)*('Limit raise'!$D:$D=J$16), 0),
MATCH(J$17,'Limit raise'!$1:$1,0))</f>
        <v>0.89576923076923065</v>
      </c>
      <c r="K184" s="18" cm="1">
        <f t="array" ref="K184">INDEX('Limit raise'!$A:$O,
MATCH(1,('Limit raise'!$A:$A=$C184)*('Limit raise'!$D:$D=K$16), 0),
MATCH(K$17,'Limit raise'!$1:$1,0))</f>
        <v>0.79761283032373609</v>
      </c>
      <c r="L184" s="18">
        <f>INDEX('Limit raise'!$A:$O,
MATCH($C184, 'Limit raise'!$A:$A, 0),
MATCH(L$17,'Limit raise'!$1:$1,0))</f>
        <v>6.9050961716564913E-2</v>
      </c>
      <c r="M184" s="18">
        <v>0.15</v>
      </c>
      <c r="N184" s="18"/>
    </row>
    <row r="185" spans="3:14" s="13" customFormat="1" ht="7.2" customHeight="1" x14ac:dyDescent="0.3">
      <c r="C185" s="17">
        <v>167</v>
      </c>
      <c r="D185" s="18" cm="1">
        <f t="array" ref="D185">INDEX('New credit'!$A:$O,
MATCH(1,('New credit'!$A:$A=$C185)*('New credit'!$D:$D=D$16), 0),
MATCH(D$17,'New credit'!$1:$1,0))</f>
        <v>0.71641791044776115</v>
      </c>
      <c r="E185" s="18" cm="1">
        <f t="array" ref="E185">INDEX('New credit'!$A:$O,
MATCH(1,('New credit'!$A:$A=$C185)*('New credit'!$D:$D=E$16), 0),
MATCH(E$17,'New credit'!$1:$1,0))</f>
        <v>0.8408823529411763</v>
      </c>
      <c r="F185" s="18" cm="1">
        <f t="array" ref="F185">INDEX('New credit'!$A:$O,
MATCH(1,('New credit'!$A:$A=$C185)*('New credit'!$D:$D=F$16), 0),
MATCH(F$17,'New credit'!$1:$1,0))</f>
        <v>0.7268991295593954</v>
      </c>
      <c r="G185" s="18">
        <f>INDEX('New credit'!$A:$O,
MATCH($C185, 'New credit'!$A:$A, 0),
MATCH(G$17, 'New credit'!$1:$1, 0))</f>
        <v>0.16686300573888849</v>
      </c>
      <c r="H185" s="18">
        <v>0.15</v>
      </c>
      <c r="I185" s="18" cm="1">
        <f t="array" ref="I185">INDEX('Limit raise'!$A:$O,
MATCH(1,('Limit raise'!$A:$A=$C185)*('Limit raise'!$D:$D=I$16), 0),
MATCH(I$17,'Limit raise'!$1:$1,0))</f>
        <v>0.69491525423728817</v>
      </c>
      <c r="J185" s="18" cm="1">
        <f t="array" ref="J185">INDEX('Limit raise'!$A:$O,
MATCH(1,('Limit raise'!$A:$A=$C185)*('Limit raise'!$D:$D=J$16), 0),
MATCH(J$17,'Limit raise'!$1:$1,0))</f>
        <v>0.93374999999999986</v>
      </c>
      <c r="K185" s="18" cm="1">
        <f t="array" ref="K185">INDEX('Limit raise'!$A:$O,
MATCH(1,('Limit raise'!$A:$A=$C185)*('Limit raise'!$D:$D=K$16), 0),
MATCH(K$17,'Limit raise'!$1:$1,0))</f>
        <v>0.81663254217432635</v>
      </c>
      <c r="L185" s="18">
        <f>INDEX('Limit raise'!$A:$O,
MATCH($C185, 'Limit raise'!$A:$A, 0),
MATCH(L$17,'Limit raise'!$1:$1,0))</f>
        <v>7.3411323691829206E-2</v>
      </c>
      <c r="M185" s="18">
        <v>0.15</v>
      </c>
      <c r="N185" s="18"/>
    </row>
    <row r="186" spans="3:14" s="13" customFormat="1" ht="7.2" customHeight="1" x14ac:dyDescent="0.3">
      <c r="C186" s="17">
        <v>168</v>
      </c>
      <c r="D186" s="18" cm="1">
        <f t="array" ref="D186">INDEX('New credit'!$A:$O,
MATCH(1,('New credit'!$A:$A=$C186)*('New credit'!$D:$D=D$16), 0),
MATCH(D$17,'New credit'!$1:$1,0))</f>
        <v>0.70149253731343286</v>
      </c>
      <c r="E186" s="18" cm="1">
        <f t="array" ref="E186">INDEX('New credit'!$A:$O,
MATCH(1,('New credit'!$A:$A=$C186)*('New credit'!$D:$D=E$16), 0),
MATCH(E$17,'New credit'!$1:$1,0))</f>
        <v>0.8194444444444442</v>
      </c>
      <c r="F186" s="18" cm="1">
        <f t="array" ref="F186">INDEX('New credit'!$A:$O,
MATCH(1,('New credit'!$A:$A=$C186)*('New credit'!$D:$D=F$16), 0),
MATCH(F$17,'New credit'!$1:$1,0))</f>
        <v>0.73574810091169474</v>
      </c>
      <c r="G186" s="18">
        <f>INDEX('New credit'!$A:$O,
MATCH($C186, 'New credit'!$A:$A, 0),
MATCH(G$17, 'New credit'!$1:$1, 0))</f>
        <v>0.1030177204502966</v>
      </c>
      <c r="H186" s="18">
        <v>0.15</v>
      </c>
      <c r="I186" s="18" cm="1">
        <f t="array" ref="I186">INDEX('Limit raise'!$A:$O,
MATCH(1,('Limit raise'!$A:$A=$C186)*('Limit raise'!$D:$D=I$16), 0),
MATCH(I$17,'Limit raise'!$1:$1,0))</f>
        <v>0.69491525423728817</v>
      </c>
      <c r="J186" s="18" cm="1">
        <f t="array" ref="J186">INDEX('Limit raise'!$A:$O,
MATCH(1,('Limit raise'!$A:$A=$C186)*('Limit raise'!$D:$D=J$16), 0),
MATCH(J$17,'Limit raise'!$1:$1,0))</f>
        <v>0.93458333333333299</v>
      </c>
      <c r="K186" s="18" cm="1">
        <f t="array" ref="K186">INDEX('Limit raise'!$A:$O,
MATCH(1,('Limit raise'!$A:$A=$C186)*('Limit raise'!$D:$D=K$16), 0),
MATCH(K$17,'Limit raise'!$1:$1,0))</f>
        <v>0.81686040601184329</v>
      </c>
      <c r="L186" s="18">
        <f>INDEX('Limit raise'!$A:$O,
MATCH($C186, 'Limit raise'!$A:$A, 0),
MATCH(L$17,'Limit raise'!$1:$1,0))</f>
        <v>7.5606250840690239E-2</v>
      </c>
      <c r="M186" s="18">
        <v>0.15</v>
      </c>
      <c r="N186" s="18"/>
    </row>
    <row r="187" spans="3:14" s="13" customFormat="1" ht="7.2" customHeight="1" x14ac:dyDescent="0.3">
      <c r="C187" s="17">
        <v>169</v>
      </c>
      <c r="D187" s="18" cm="1">
        <f t="array" ref="D187">INDEX('New credit'!$A:$O,
MATCH(1,('New credit'!$A:$A=$C187)*('New credit'!$D:$D=D$16), 0),
MATCH(D$17,'New credit'!$1:$1,0))</f>
        <v>0.77419354838709675</v>
      </c>
      <c r="E187" s="18" cm="1">
        <f t="array" ref="E187">INDEX('New credit'!$A:$O,
MATCH(1,('New credit'!$A:$A=$C187)*('New credit'!$D:$D=E$16), 0),
MATCH(E$17,'New credit'!$1:$1,0))</f>
        <v>0.84361111111111109</v>
      </c>
      <c r="F187" s="18" cm="1">
        <f t="array" ref="F187">INDEX('New credit'!$A:$O,
MATCH(1,('New credit'!$A:$A=$C187)*('New credit'!$D:$D=F$16), 0),
MATCH(F$17,'New credit'!$1:$1,0))</f>
        <v>0.75098457300815114</v>
      </c>
      <c r="G187" s="18">
        <f>INDEX('New credit'!$A:$O,
MATCH($C187, 'New credit'!$A:$A, 0),
MATCH(G$17, 'New credit'!$1:$1, 0))</f>
        <v>1</v>
      </c>
      <c r="H187" s="18">
        <v>0.15</v>
      </c>
      <c r="I187" s="18" cm="1">
        <f t="array" ref="I187">INDEX('Limit raise'!$A:$O,
MATCH(1,('Limit raise'!$A:$A=$C187)*('Limit raise'!$D:$D=I$16), 0),
MATCH(I$17,'Limit raise'!$1:$1,0))</f>
        <v>0.7068965517241379</v>
      </c>
      <c r="J187" s="18" cm="1">
        <f t="array" ref="J187">INDEX('Limit raise'!$A:$O,
MATCH(1,('Limit raise'!$A:$A=$C187)*('Limit raise'!$D:$D=J$16), 0),
MATCH(J$17,'Limit raise'!$1:$1,0))</f>
        <v>0.93374999999999975</v>
      </c>
      <c r="K187" s="18" cm="1">
        <f t="array" ref="K187">INDEX('Limit raise'!$A:$O,
MATCH(1,('Limit raise'!$A:$A=$C187)*('Limit raise'!$D:$D=K$16), 0),
MATCH(K$17,'Limit raise'!$1:$1,0))</f>
        <v>0.7964792401154619</v>
      </c>
      <c r="L187" s="18">
        <f>INDEX('Limit raise'!$A:$O,
MATCH($C187, 'Limit raise'!$A:$A, 0),
MATCH(L$17,'Limit raise'!$1:$1,0))</f>
        <v>8.1083383740369067E-2</v>
      </c>
      <c r="M187" s="18">
        <v>0.15</v>
      </c>
      <c r="N187" s="18"/>
    </row>
    <row r="188" spans="3:14" s="13" customFormat="1" ht="7.2" customHeight="1" x14ac:dyDescent="0.3">
      <c r="C188" s="17">
        <v>170</v>
      </c>
      <c r="D188" s="18" cm="1">
        <f t="array" ref="D188">INDEX('New credit'!$A:$O,
MATCH(1,('New credit'!$A:$A=$C188)*('New credit'!$D:$D=D$16), 0),
MATCH(D$17,'New credit'!$1:$1,0))</f>
        <v>0.77419354838709675</v>
      </c>
      <c r="E188" s="18" cm="1">
        <f t="array" ref="E188">INDEX('New credit'!$A:$O,
MATCH(1,('New credit'!$A:$A=$C188)*('New credit'!$D:$D=E$16), 0),
MATCH(E$17,'New credit'!$1:$1,0))</f>
        <v>0.84485714285714264</v>
      </c>
      <c r="F188" s="18" cm="1">
        <f t="array" ref="F188">INDEX('New credit'!$A:$O,
MATCH(1,('New credit'!$A:$A=$C188)*('New credit'!$D:$D=F$16), 0),
MATCH(F$17,'New credit'!$1:$1,0))</f>
        <v>0.73587902069636513</v>
      </c>
      <c r="G188" s="18">
        <f>INDEX('New credit'!$A:$O,
MATCH($C188, 'New credit'!$A:$A, 0),
MATCH(G$17, 'New credit'!$1:$1, 0))</f>
        <v>1</v>
      </c>
      <c r="H188" s="18">
        <v>0.15</v>
      </c>
      <c r="I188" s="18" cm="1">
        <f t="array" ref="I188">INDEX('Limit raise'!$A:$O,
MATCH(1,('Limit raise'!$A:$A=$C188)*('Limit raise'!$D:$D=I$16), 0),
MATCH(I$17,'Limit raise'!$1:$1,0))</f>
        <v>0.71186440677966101</v>
      </c>
      <c r="J188" s="18" cm="1">
        <f t="array" ref="J188">INDEX('Limit raise'!$A:$O,
MATCH(1,('Limit raise'!$A:$A=$C188)*('Limit raise'!$D:$D=J$16), 0),
MATCH(J$17,'Limit raise'!$1:$1,0))</f>
        <v>0.93374999999999975</v>
      </c>
      <c r="K188" s="18" cm="1">
        <f t="array" ref="K188">INDEX('Limit raise'!$A:$O,
MATCH(1,('Limit raise'!$A:$A=$C188)*('Limit raise'!$D:$D=K$16), 0),
MATCH(K$17,'Limit raise'!$1:$1,0))</f>
        <v>0.79544090424345903</v>
      </c>
      <c r="L188" s="18">
        <f>INDEX('Limit raise'!$A:$O,
MATCH($C188, 'Limit raise'!$A:$A, 0),
MATCH(L$17,'Limit raise'!$1:$1,0))</f>
        <v>8.3335438844810164E-2</v>
      </c>
      <c r="M188" s="18">
        <v>0.15</v>
      </c>
      <c r="N188" s="18"/>
    </row>
    <row r="189" spans="3:14" s="13" customFormat="1" ht="7.2" customHeight="1" x14ac:dyDescent="0.3">
      <c r="C189" s="17">
        <v>171</v>
      </c>
      <c r="D189" s="18" cm="1">
        <f t="array" ref="D189">INDEX('New credit'!$A:$O,
MATCH(1,('New credit'!$A:$A=$C189)*('New credit'!$D:$D=D$16), 0),
MATCH(D$17,'New credit'!$1:$1,0))</f>
        <v>0.72580645161290325</v>
      </c>
      <c r="E189" s="18" cm="1">
        <f t="array" ref="E189">INDEX('New credit'!$A:$O,
MATCH(1,('New credit'!$A:$A=$C189)*('New credit'!$D:$D=E$16), 0),
MATCH(E$17,'New credit'!$1:$1,0))</f>
        <v>0.86971428571428544</v>
      </c>
      <c r="F189" s="18" cm="1">
        <f t="array" ref="F189">INDEX('New credit'!$A:$O,
MATCH(1,('New credit'!$A:$A=$C189)*('New credit'!$D:$D=F$16), 0),
MATCH(F$17,'New credit'!$1:$1,0))</f>
        <v>0.73732534843304498</v>
      </c>
      <c r="G189" s="18">
        <f>INDEX('New credit'!$A:$O,
MATCH($C189, 'New credit'!$A:$A, 0),
MATCH(G$17, 'New credit'!$1:$1, 0))</f>
        <v>0.1067960185336588</v>
      </c>
      <c r="H189" s="18">
        <v>0.15</v>
      </c>
      <c r="I189" s="18" cm="1">
        <f t="array" ref="I189">INDEX('Limit raise'!$A:$O,
MATCH(1,('Limit raise'!$A:$A=$C189)*('Limit raise'!$D:$D=I$16), 0),
MATCH(I$17,'Limit raise'!$1:$1,0))</f>
        <v>0.69491525423728817</v>
      </c>
      <c r="J189" s="18" cm="1">
        <f t="array" ref="J189">INDEX('Limit raise'!$A:$O,
MATCH(1,('Limit raise'!$A:$A=$C189)*('Limit raise'!$D:$D=J$16), 0),
MATCH(J$17,'Limit raise'!$1:$1,0))</f>
        <v>0.93478260869565188</v>
      </c>
      <c r="K189" s="18" cm="1">
        <f t="array" ref="K189">INDEX('Limit raise'!$A:$O,
MATCH(1,('Limit raise'!$A:$A=$C189)*('Limit raise'!$D:$D=K$16), 0),
MATCH(K$17,'Limit raise'!$1:$1,0))</f>
        <v>0.7676117487218026</v>
      </c>
      <c r="L189" s="18">
        <f>INDEX('Limit raise'!$A:$O,
MATCH($C189, 'Limit raise'!$A:$A, 0),
MATCH(L$17,'Limit raise'!$1:$1,0))</f>
        <v>8.2251621134379782E-2</v>
      </c>
      <c r="M189" s="18">
        <v>0.15</v>
      </c>
      <c r="N189" s="18"/>
    </row>
    <row r="190" spans="3:14" s="13" customFormat="1" ht="7.2" customHeight="1" x14ac:dyDescent="0.3">
      <c r="C190" s="17">
        <v>172</v>
      </c>
      <c r="D190" s="18" cm="1">
        <f t="array" ref="D190">INDEX('New credit'!$A:$O,
MATCH(1,('New credit'!$A:$A=$C190)*('New credit'!$D:$D=D$16), 0),
MATCH(D$17,'New credit'!$1:$1,0))</f>
        <v>0.70967741935483875</v>
      </c>
      <c r="E190" s="18" cm="1">
        <f t="array" ref="E190">INDEX('New credit'!$A:$O,
MATCH(1,('New credit'!$A:$A=$C190)*('New credit'!$D:$D=E$16), 0),
MATCH(E$17,'New credit'!$1:$1,0))</f>
        <v>0.87057142857142844</v>
      </c>
      <c r="F190" s="18" cm="1">
        <f t="array" ref="F190">INDEX('New credit'!$A:$O,
MATCH(1,('New credit'!$A:$A=$C190)*('New credit'!$D:$D=F$16), 0),
MATCH(F$17,'New credit'!$1:$1,0))</f>
        <v>0.70402465044041451</v>
      </c>
      <c r="G190" s="18">
        <f>INDEX('New credit'!$A:$O,
MATCH($C190, 'New credit'!$A:$A, 0),
MATCH(G$17, 'New credit'!$1:$1, 0))</f>
        <v>0.14739598359241921</v>
      </c>
      <c r="H190" s="18">
        <v>0.15</v>
      </c>
      <c r="I190" s="18" cm="1">
        <f t="array" ref="I190">INDEX('Limit raise'!$A:$O,
MATCH(1,('Limit raise'!$A:$A=$C190)*('Limit raise'!$D:$D=I$16), 0),
MATCH(I$17,'Limit raise'!$1:$1,0))</f>
        <v>0.68333333333333335</v>
      </c>
      <c r="J190" s="18" cm="1">
        <f t="array" ref="J190">INDEX('Limit raise'!$A:$O,
MATCH(1,('Limit raise'!$A:$A=$C190)*('Limit raise'!$D:$D=J$16), 0),
MATCH(J$17,'Limit raise'!$1:$1,0))</f>
        <v>0.9360869565217389</v>
      </c>
      <c r="K190" s="18" cm="1">
        <f t="array" ref="K190">INDEX('Limit raise'!$A:$O,
MATCH(1,('Limit raise'!$A:$A=$C190)*('Limit raise'!$D:$D=K$16), 0),
MATCH(K$17,'Limit raise'!$1:$1,0))</f>
        <v>0.77378236892973007</v>
      </c>
      <c r="L190" s="18">
        <f>INDEX('Limit raise'!$A:$O,
MATCH($C190, 'Limit raise'!$A:$A, 0),
MATCH(L$17,'Limit raise'!$1:$1,0))</f>
        <v>8.1749797665465557E-2</v>
      </c>
      <c r="M190" s="18">
        <v>0.15</v>
      </c>
      <c r="N190" s="18"/>
    </row>
    <row r="191" spans="3:14" s="13" customFormat="1" ht="7.2" customHeight="1" x14ac:dyDescent="0.3">
      <c r="C191" s="17">
        <v>173</v>
      </c>
      <c r="D191" s="18" cm="1">
        <f t="array" ref="D191">INDEX('New credit'!$A:$O,
MATCH(1,('New credit'!$A:$A=$C191)*('New credit'!$D:$D=D$16), 0),
MATCH(D$17,'New credit'!$1:$1,0))</f>
        <v>0.71212121212121215</v>
      </c>
      <c r="E191" s="18" cm="1">
        <f t="array" ref="E191">INDEX('New credit'!$A:$O,
MATCH(1,('New credit'!$A:$A=$C191)*('New credit'!$D:$D=E$16), 0),
MATCH(E$17,'New credit'!$1:$1,0))</f>
        <v>0.86783783783783741</v>
      </c>
      <c r="F191" s="18" cm="1">
        <f t="array" ref="F191">INDEX('New credit'!$A:$O,
MATCH(1,('New credit'!$A:$A=$C191)*('New credit'!$D:$D=F$16), 0),
MATCH(F$17,'New credit'!$1:$1,0))</f>
        <v>0.71980726296058029</v>
      </c>
      <c r="G191" s="18">
        <f>INDEX('New credit'!$A:$O,
MATCH($C191, 'New credit'!$A:$A, 0),
MATCH(G$17, 'New credit'!$1:$1, 0))</f>
        <v>0.1311222729861756</v>
      </c>
      <c r="H191" s="18">
        <v>0.15</v>
      </c>
      <c r="I191" s="18" cm="1">
        <f t="array" ref="I191">INDEX('Limit raise'!$A:$O,
MATCH(1,('Limit raise'!$A:$A=$C191)*('Limit raise'!$D:$D=I$16), 0),
MATCH(I$17,'Limit raise'!$1:$1,0))</f>
        <v>0.71186440677966101</v>
      </c>
      <c r="J191" s="18" cm="1">
        <f t="array" ref="J191">INDEX('Limit raise'!$A:$O,
MATCH(1,('Limit raise'!$A:$A=$C191)*('Limit raise'!$D:$D=J$16), 0),
MATCH(J$17,'Limit raise'!$1:$1,0))</f>
        <v>0.93565217391304312</v>
      </c>
      <c r="K191" s="18" cm="1">
        <f t="array" ref="K191">INDEX('Limit raise'!$A:$O,
MATCH(1,('Limit raise'!$A:$A=$C191)*('Limit raise'!$D:$D=K$16), 0),
MATCH(K$17,'Limit raise'!$1:$1,0))</f>
        <v>0.78796386101736171</v>
      </c>
      <c r="L191" s="18">
        <f>INDEX('Limit raise'!$A:$O,
MATCH($C191, 'Limit raise'!$A:$A, 0),
MATCH(L$17,'Limit raise'!$1:$1,0))</f>
        <v>8.3966784490423357E-2</v>
      </c>
      <c r="M191" s="18">
        <v>0.15</v>
      </c>
      <c r="N191" s="18"/>
    </row>
    <row r="192" spans="3:14" s="13" customFormat="1" ht="7.2" customHeight="1" x14ac:dyDescent="0.3">
      <c r="C192" s="17">
        <v>174</v>
      </c>
      <c r="D192" s="18" cm="1">
        <f t="array" ref="D192">INDEX('New credit'!$A:$O,
MATCH(1,('New credit'!$A:$A=$C192)*('New credit'!$D:$D=D$16), 0),
MATCH(D$17,'New credit'!$1:$1,0))</f>
        <v>0.74603174603174605</v>
      </c>
      <c r="E192" s="18" cm="1">
        <f t="array" ref="E192">INDEX('New credit'!$A:$O,
MATCH(1,('New credit'!$A:$A=$C192)*('New credit'!$D:$D=E$16), 0),
MATCH(E$17,'New credit'!$1:$1,0))</f>
        <v>0.86899999999999977</v>
      </c>
      <c r="F192" s="18" cm="1">
        <f t="array" ref="F192">INDEX('New credit'!$A:$O,
MATCH(1,('New credit'!$A:$A=$C192)*('New credit'!$D:$D=F$16), 0),
MATCH(F$17,'New credit'!$1:$1,0))</f>
        <v>0.75961253353218439</v>
      </c>
      <c r="G192" s="18">
        <f>INDEX('New credit'!$A:$O,
MATCH($C192, 'New credit'!$A:$A, 0),
MATCH(G$17, 'New credit'!$1:$1, 0))</f>
        <v>1</v>
      </c>
      <c r="H192" s="18">
        <v>0.15</v>
      </c>
      <c r="I192" s="18" cm="1">
        <f t="array" ref="I192">INDEX('Limit raise'!$A:$O,
MATCH(1,('Limit raise'!$A:$A=$C192)*('Limit raise'!$D:$D=I$16), 0),
MATCH(I$17,'Limit raise'!$1:$1,0))</f>
        <v>0.69491525423728817</v>
      </c>
      <c r="J192" s="18" cm="1">
        <f t="array" ref="J192">INDEX('Limit raise'!$A:$O,
MATCH(1,('Limit raise'!$A:$A=$C192)*('Limit raise'!$D:$D=J$16), 0),
MATCH(J$17,'Limit raise'!$1:$1,0))</f>
        <v>0.93708333333333316</v>
      </c>
      <c r="K192" s="18" cm="1">
        <f t="array" ref="K192">INDEX('Limit raise'!$A:$O,
MATCH(1,('Limit raise'!$A:$A=$C192)*('Limit raise'!$D:$D=K$16), 0),
MATCH(K$17,'Limit raise'!$1:$1,0))</f>
        <v>0.67459345579997709</v>
      </c>
      <c r="L192" s="18">
        <f>INDEX('Limit raise'!$A:$O,
MATCH($C192, 'Limit raise'!$A:$A, 0),
MATCH(L$17,'Limit raise'!$1:$1,0))</f>
        <v>8.6218935599776225E-2</v>
      </c>
      <c r="M192" s="18">
        <v>0.15</v>
      </c>
      <c r="N192" s="18"/>
    </row>
    <row r="193" spans="3:14" s="13" customFormat="1" ht="7.2" customHeight="1" x14ac:dyDescent="0.3">
      <c r="C193" s="17">
        <v>175</v>
      </c>
      <c r="D193" s="18" cm="1">
        <f t="array" ref="D193">INDEX('New credit'!$A:$O,
MATCH(1,('New credit'!$A:$A=$C193)*('New credit'!$D:$D=D$16), 0),
MATCH(D$17,'New credit'!$1:$1,0))</f>
        <v>0.74193548387096775</v>
      </c>
      <c r="E193" s="18" cm="1">
        <f t="array" ref="E193">INDEX('New credit'!$A:$O,
MATCH(1,('New credit'!$A:$A=$C193)*('New credit'!$D:$D=E$16), 0),
MATCH(E$17,'New credit'!$1:$1,0))</f>
        <v>0.86392857142857127</v>
      </c>
      <c r="F193" s="18" cm="1">
        <f t="array" ref="F193">INDEX('New credit'!$A:$O,
MATCH(1,('New credit'!$A:$A=$C193)*('New credit'!$D:$D=F$16), 0),
MATCH(F$17,'New credit'!$1:$1,0))</f>
        <v>0.70744576631965994</v>
      </c>
      <c r="G193" s="18">
        <f>INDEX('New credit'!$A:$O,
MATCH($C193, 'New credit'!$A:$A, 0),
MATCH(G$17, 'New credit'!$1:$1, 0))</f>
        <v>8.2751452372481729E-2</v>
      </c>
      <c r="H193" s="18">
        <v>0.15</v>
      </c>
      <c r="I193" s="18" cm="1">
        <f t="array" ref="I193">INDEX('Limit raise'!$A:$O,
MATCH(1,('Limit raise'!$A:$A=$C193)*('Limit raise'!$D:$D=I$16), 0),
MATCH(I$17,'Limit raise'!$1:$1,0))</f>
        <v>0.71186440677966101</v>
      </c>
      <c r="J193" s="18" cm="1">
        <f t="array" ref="J193">INDEX('Limit raise'!$A:$O,
MATCH(1,('Limit raise'!$A:$A=$C193)*('Limit raise'!$D:$D=J$16), 0),
MATCH(J$17,'Limit raise'!$1:$1,0))</f>
        <v>0.93599999999999961</v>
      </c>
      <c r="K193" s="18" cm="1">
        <f t="array" ref="K193">INDEX('Limit raise'!$A:$O,
MATCH(1,('Limit raise'!$A:$A=$C193)*('Limit raise'!$D:$D=K$16), 0),
MATCH(K$17,'Limit raise'!$1:$1,0))</f>
        <v>0.71055732898085078</v>
      </c>
      <c r="L193" s="18">
        <f>INDEX('Limit raise'!$A:$O,
MATCH($C193, 'Limit raise'!$A:$A, 0),
MATCH(L$17,'Limit raise'!$1:$1,0))</f>
        <v>8.8130695480413968E-2</v>
      </c>
      <c r="M193" s="18">
        <v>0.15</v>
      </c>
      <c r="N193" s="18"/>
    </row>
    <row r="194" spans="3:14" s="13" customFormat="1" ht="7.2" customHeight="1" x14ac:dyDescent="0.3">
      <c r="C194" s="17">
        <v>176</v>
      </c>
      <c r="D194" s="18" cm="1">
        <f t="array" ref="D194">INDEX('New credit'!$A:$O,
MATCH(1,('New credit'!$A:$A=$C194)*('New credit'!$D:$D=D$16), 0),
MATCH(D$17,'New credit'!$1:$1,0))</f>
        <v>0.76190476190476186</v>
      </c>
      <c r="E194" s="18" cm="1">
        <f t="array" ref="E194">INDEX('New credit'!$A:$O,
MATCH(1,('New credit'!$A:$A=$C194)*('New credit'!$D:$D=E$16), 0),
MATCH(E$17,'New credit'!$1:$1,0))</f>
        <v>0.86621621621621592</v>
      </c>
      <c r="F194" s="18" cm="1">
        <f t="array" ref="F194">INDEX('New credit'!$A:$O,
MATCH(1,('New credit'!$A:$A=$C194)*('New credit'!$D:$D=F$16), 0),
MATCH(F$17,'New credit'!$1:$1,0))</f>
        <v>0.72741443690798491</v>
      </c>
      <c r="G194" s="18">
        <f>INDEX('New credit'!$A:$O,
MATCH($C194, 'New credit'!$A:$A, 0),
MATCH(G$17, 'New credit'!$1:$1, 0))</f>
        <v>1</v>
      </c>
      <c r="H194" s="18">
        <v>0.15</v>
      </c>
      <c r="I194" s="18" cm="1">
        <f t="array" ref="I194">INDEX('Limit raise'!$A:$O,
MATCH(1,('Limit raise'!$A:$A=$C194)*('Limit raise'!$D:$D=I$16), 0),
MATCH(I$17,'Limit raise'!$1:$1,0))</f>
        <v>0.7192982456140351</v>
      </c>
      <c r="J194" s="18" cm="1">
        <f t="array" ref="J194">INDEX('Limit raise'!$A:$O,
MATCH(1,('Limit raise'!$A:$A=$C194)*('Limit raise'!$D:$D=J$16), 0),
MATCH(J$17,'Limit raise'!$1:$1,0))</f>
        <v>0.93652173913043446</v>
      </c>
      <c r="K194" s="18" cm="1">
        <f t="array" ref="K194">INDEX('Limit raise'!$A:$O,
MATCH(1,('Limit raise'!$A:$A=$C194)*('Limit raise'!$D:$D=K$16), 0),
MATCH(K$17,'Limit raise'!$1:$1,0))</f>
        <v>0.71325334698306875</v>
      </c>
      <c r="L194" s="18">
        <f>INDEX('Limit raise'!$A:$O,
MATCH($C194, 'Limit raise'!$A:$A, 0),
MATCH(L$17,'Limit raise'!$1:$1,0))</f>
        <v>9.4462023966602068E-2</v>
      </c>
      <c r="M194" s="18">
        <v>0.15</v>
      </c>
      <c r="N194" s="18"/>
    </row>
    <row r="195" spans="3:14" s="13" customFormat="1" ht="7.2" customHeight="1" x14ac:dyDescent="0.3">
      <c r="C195" s="17">
        <v>177</v>
      </c>
      <c r="D195" s="18" cm="1">
        <f t="array" ref="D195">INDEX('New credit'!$A:$O,
MATCH(1,('New credit'!$A:$A=$C195)*('New credit'!$D:$D=D$16), 0),
MATCH(D$17,'New credit'!$1:$1,0))</f>
        <v>0.75</v>
      </c>
      <c r="E195" s="18" cm="1">
        <f t="array" ref="E195">INDEX('New credit'!$A:$O,
MATCH(1,('New credit'!$A:$A=$C195)*('New credit'!$D:$D=E$16), 0),
MATCH(E$17,'New credit'!$1:$1,0))</f>
        <v>0.86305555555555535</v>
      </c>
      <c r="F195" s="18" cm="1">
        <f t="array" ref="F195">INDEX('New credit'!$A:$O,
MATCH(1,('New credit'!$A:$A=$C195)*('New credit'!$D:$D=F$16), 0),
MATCH(F$17,'New credit'!$1:$1,0))</f>
        <v>0.73392638399808729</v>
      </c>
      <c r="G195" s="18">
        <f>INDEX('New credit'!$A:$O,
MATCH($C195, 'New credit'!$A:$A, 0),
MATCH(G$17, 'New credit'!$1:$1, 0))</f>
        <v>7.6975332548627928E-2</v>
      </c>
      <c r="H195" s="18">
        <v>0.15</v>
      </c>
      <c r="I195" s="18" cm="1">
        <f t="array" ref="I195">INDEX('Limit raise'!$A:$O,
MATCH(1,('Limit raise'!$A:$A=$C195)*('Limit raise'!$D:$D=I$16), 0),
MATCH(I$17,'Limit raise'!$1:$1,0))</f>
        <v>0.69491525423728817</v>
      </c>
      <c r="J195" s="18" cm="1">
        <f t="array" ref="J195">INDEX('Limit raise'!$A:$O,
MATCH(1,('Limit raise'!$A:$A=$C195)*('Limit raise'!$D:$D=J$16), 0),
MATCH(J$17,'Limit raise'!$1:$1,0))</f>
        <v>0.93695652173913013</v>
      </c>
      <c r="K195" s="18" cm="1">
        <f t="array" ref="K195">INDEX('Limit raise'!$A:$O,
MATCH(1,('Limit raise'!$A:$A=$C195)*('Limit raise'!$D:$D=K$16), 0),
MATCH(K$17,'Limit raise'!$1:$1,0))</f>
        <v>0.70373297845821214</v>
      </c>
      <c r="L195" s="18">
        <f>INDEX('Limit raise'!$A:$O,
MATCH($C195, 'Limit raise'!$A:$A, 0),
MATCH(L$17,'Limit raise'!$1:$1,0))</f>
        <v>9.3231897149552809E-2</v>
      </c>
      <c r="M195" s="18">
        <v>0.15</v>
      </c>
      <c r="N195" s="18"/>
    </row>
    <row r="196" spans="3:14" s="13" customFormat="1" ht="7.2" customHeight="1" x14ac:dyDescent="0.3">
      <c r="C196" s="17">
        <v>178</v>
      </c>
      <c r="D196" s="18" cm="1">
        <f t="array" ref="D196">INDEX('New credit'!$A:$O,
MATCH(1,('New credit'!$A:$A=$C196)*('New credit'!$D:$D=D$16), 0),
MATCH(D$17,'New credit'!$1:$1,0))</f>
        <v>0.77192982456140347</v>
      </c>
      <c r="E196" s="18" cm="1">
        <f t="array" ref="E196">INDEX('New credit'!$A:$O,
MATCH(1,('New credit'!$A:$A=$C196)*('New credit'!$D:$D=E$16), 0),
MATCH(E$17,'New credit'!$1:$1,0))</f>
        <v>0.8616129032258063</v>
      </c>
      <c r="F196" s="18" cm="1">
        <f t="array" ref="F196">INDEX('New credit'!$A:$O,
MATCH(1,('New credit'!$A:$A=$C196)*('New credit'!$D:$D=F$16), 0),
MATCH(F$17,'New credit'!$1:$1,0))</f>
        <v>0.68478883064117757</v>
      </c>
      <c r="G196" s="18">
        <f>INDEX('New credit'!$A:$O,
MATCH($C196, 'New credit'!$A:$A, 0),
MATCH(G$17, 'New credit'!$1:$1, 0))</f>
        <v>0.1407463368429932</v>
      </c>
      <c r="H196" s="18">
        <v>0.15</v>
      </c>
      <c r="I196" s="18" cm="1">
        <f t="array" ref="I196">INDEX('Limit raise'!$A:$O,
MATCH(1,('Limit raise'!$A:$A=$C196)*('Limit raise'!$D:$D=I$16), 0),
MATCH(I$17,'Limit raise'!$1:$1,0))</f>
        <v>0.74576271186440679</v>
      </c>
      <c r="J196" s="18" cm="1">
        <f t="array" ref="J196">INDEX('Limit raise'!$A:$O,
MATCH(1,('Limit raise'!$A:$A=$C196)*('Limit raise'!$D:$D=J$16), 0),
MATCH(J$17,'Limit raise'!$1:$1,0))</f>
        <v>0.93565217391304312</v>
      </c>
      <c r="K196" s="18" cm="1">
        <f t="array" ref="K196">INDEX('Limit raise'!$A:$O,
MATCH(1,('Limit raise'!$A:$A=$C196)*('Limit raise'!$D:$D=K$16), 0),
MATCH(K$17,'Limit raise'!$1:$1,0))</f>
        <v>0.7302740035897507</v>
      </c>
      <c r="L196" s="18">
        <f>INDEX('Limit raise'!$A:$O,
MATCH($C196, 'Limit raise'!$A:$A, 0),
MATCH(L$17,'Limit raise'!$1:$1,0))</f>
        <v>9.6938616806762856E-2</v>
      </c>
      <c r="M196" s="18">
        <v>0.15</v>
      </c>
      <c r="N196" s="18"/>
    </row>
    <row r="197" spans="3:14" s="13" customFormat="1" ht="7.2" customHeight="1" x14ac:dyDescent="0.3">
      <c r="C197" s="17">
        <v>179</v>
      </c>
      <c r="D197" s="18" cm="1">
        <f t="array" ref="D197">INDEX('New credit'!$A:$O,
MATCH(1,('New credit'!$A:$A=$C197)*('New credit'!$D:$D=D$16), 0),
MATCH(D$17,'New credit'!$1:$1,0))</f>
        <v>0.72881355932203384</v>
      </c>
      <c r="E197" s="18" cm="1">
        <f t="array" ref="E197">INDEX('New credit'!$A:$O,
MATCH(1,('New credit'!$A:$A=$C197)*('New credit'!$D:$D=E$16), 0),
MATCH(E$17,'New credit'!$1:$1,0))</f>
        <v>0.85968749999999994</v>
      </c>
      <c r="F197" s="18" cm="1">
        <f t="array" ref="F197">INDEX('New credit'!$A:$O,
MATCH(1,('New credit'!$A:$A=$C197)*('New credit'!$D:$D=F$16), 0),
MATCH(F$17,'New credit'!$1:$1,0))</f>
        <v>0.75853488191660101</v>
      </c>
      <c r="G197" s="18">
        <f>INDEX('New credit'!$A:$O,
MATCH($C197, 'New credit'!$A:$A, 0),
MATCH(G$17, 'New credit'!$1:$1, 0))</f>
        <v>0.15121921763333071</v>
      </c>
      <c r="H197" s="18">
        <v>0.15</v>
      </c>
      <c r="I197" s="18" cm="1">
        <f t="array" ref="I197">INDEX('Limit raise'!$A:$O,
MATCH(1,('Limit raise'!$A:$A=$C197)*('Limit raise'!$D:$D=I$16), 0),
MATCH(I$17,'Limit raise'!$1:$1,0))</f>
        <v>0.7068965517241379</v>
      </c>
      <c r="J197" s="18" cm="1">
        <f t="array" ref="J197">INDEX('Limit raise'!$A:$O,
MATCH(1,('Limit raise'!$A:$A=$C197)*('Limit raise'!$D:$D=J$16), 0),
MATCH(J$17,'Limit raise'!$1:$1,0))</f>
        <v>0.93565217391304312</v>
      </c>
      <c r="K197" s="18" cm="1">
        <f t="array" ref="K197">INDEX('Limit raise'!$A:$O,
MATCH(1,('Limit raise'!$A:$A=$C197)*('Limit raise'!$D:$D=K$16), 0),
MATCH(K$17,'Limit raise'!$1:$1,0))</f>
        <v>0.70030176281120649</v>
      </c>
      <c r="L197" s="18">
        <f>INDEX('Limit raise'!$A:$O,
MATCH($C197, 'Limit raise'!$A:$A, 0),
MATCH(L$17,'Limit raise'!$1:$1,0))</f>
        <v>9.6629615989375084E-2</v>
      </c>
      <c r="M197" s="18">
        <v>0.15</v>
      </c>
      <c r="N197" s="18"/>
    </row>
    <row r="198" spans="3:14" s="13" customFormat="1" ht="7.2" customHeight="1" x14ac:dyDescent="0.3">
      <c r="C198" s="17">
        <v>180</v>
      </c>
      <c r="D198" s="18" cm="1">
        <f t="array" ref="D198">INDEX('New credit'!$A:$O,
MATCH(1,('New credit'!$A:$A=$C198)*('New credit'!$D:$D=D$16), 0),
MATCH(D$17,'New credit'!$1:$1,0))</f>
        <v>0.77419354838709675</v>
      </c>
      <c r="E198" s="18" cm="1">
        <f t="array" ref="E198">INDEX('New credit'!$A:$O,
MATCH(1,('New credit'!$A:$A=$C198)*('New credit'!$D:$D=E$16), 0),
MATCH(E$17,'New credit'!$1:$1,0))</f>
        <v>0.82666666666666655</v>
      </c>
      <c r="F198" s="18" cm="1">
        <f t="array" ref="F198">INDEX('New credit'!$A:$O,
MATCH(1,('New credit'!$A:$A=$C198)*('New credit'!$D:$D=F$16), 0),
MATCH(F$17,'New credit'!$1:$1,0))</f>
        <v>0.6572299680589021</v>
      </c>
      <c r="G198" s="18">
        <f>INDEX('New credit'!$A:$O,
MATCH($C198, 'New credit'!$A:$A, 0),
MATCH(G$17, 'New credit'!$1:$1, 0))</f>
        <v>9.5753930927305678E-2</v>
      </c>
      <c r="H198" s="18">
        <v>0.15</v>
      </c>
      <c r="I198" s="18" cm="1">
        <f t="array" ref="I198">INDEX('Limit raise'!$A:$O,
MATCH(1,('Limit raise'!$A:$A=$C198)*('Limit raise'!$D:$D=I$16), 0),
MATCH(I$17,'Limit raise'!$1:$1,0))</f>
        <v>0.72413793103448276</v>
      </c>
      <c r="J198" s="18" cm="1">
        <f t="array" ref="J198">INDEX('Limit raise'!$A:$O,
MATCH(1,('Limit raise'!$A:$A=$C198)*('Limit raise'!$D:$D=J$16), 0),
MATCH(J$17,'Limit raise'!$1:$1,0))</f>
        <v>0.93454545454545435</v>
      </c>
      <c r="K198" s="18" cm="1">
        <f t="array" ref="K198">INDEX('Limit raise'!$A:$O,
MATCH(1,('Limit raise'!$A:$A=$C198)*('Limit raise'!$D:$D=K$16), 0),
MATCH(K$17,'Limit raise'!$1:$1,0))</f>
        <v>0.73200842720643222</v>
      </c>
      <c r="L198" s="18">
        <f>INDEX('Limit raise'!$A:$O,
MATCH($C198, 'Limit raise'!$A:$A, 0),
MATCH(L$17,'Limit raise'!$1:$1,0))</f>
        <v>0.1007649588503453</v>
      </c>
      <c r="M198" s="18">
        <v>0.15</v>
      </c>
      <c r="N198" s="18"/>
    </row>
    <row r="199" spans="3:14" s="13" customFormat="1" ht="7.2" customHeight="1" x14ac:dyDescent="0.3">
      <c r="C199" s="17">
        <v>181</v>
      </c>
      <c r="D199" s="18" cm="1">
        <f t="array" ref="D199">INDEX('New credit'!$A:$O,
MATCH(1,('New credit'!$A:$A=$C199)*('New credit'!$D:$D=D$16), 0),
MATCH(D$17,'New credit'!$1:$1,0))</f>
        <v>0.74626865671641796</v>
      </c>
      <c r="E199" s="18" cm="1">
        <f t="array" ref="E199">INDEX('New credit'!$A:$O,
MATCH(1,('New credit'!$A:$A=$C199)*('New credit'!$D:$D=E$16), 0),
MATCH(E$17,'New credit'!$1:$1,0))</f>
        <v>0.83382352941176441</v>
      </c>
      <c r="F199" s="18" cm="1">
        <f t="array" ref="F199">INDEX('New credit'!$A:$O,
MATCH(1,('New credit'!$A:$A=$C199)*('New credit'!$D:$D=F$16), 0),
MATCH(F$17,'New credit'!$1:$1,0))</f>
        <v>0.64587913089013071</v>
      </c>
      <c r="G199" s="18">
        <f>INDEX('New credit'!$A:$O,
MATCH($C199, 'New credit'!$A:$A, 0),
MATCH(G$17, 'New credit'!$1:$1, 0))</f>
        <v>0.108892794386917</v>
      </c>
      <c r="H199" s="18">
        <v>0.15</v>
      </c>
      <c r="I199" s="18" cm="1">
        <f t="array" ref="I199">INDEX('Limit raise'!$A:$O,
MATCH(1,('Limit raise'!$A:$A=$C199)*('Limit raise'!$D:$D=I$16), 0),
MATCH(I$17,'Limit raise'!$1:$1,0))</f>
        <v>0.75</v>
      </c>
      <c r="J199" s="18" cm="1">
        <f t="array" ref="J199">INDEX('Limit raise'!$A:$O,
MATCH(1,('Limit raise'!$A:$A=$C199)*('Limit raise'!$D:$D=J$16), 0),
MATCH(J$17,'Limit raise'!$1:$1,0))</f>
        <v>0.93454545454545435</v>
      </c>
      <c r="K199" s="18" cm="1">
        <f t="array" ref="K199">INDEX('Limit raise'!$A:$O,
MATCH(1,('Limit raise'!$A:$A=$C199)*('Limit raise'!$D:$D=K$16), 0),
MATCH(K$17,'Limit raise'!$1:$1,0))</f>
        <v>0.67596362973345658</v>
      </c>
      <c r="L199" s="18">
        <f>INDEX('Limit raise'!$A:$O,
MATCH($C199, 'Limit raise'!$A:$A, 0),
MATCH(L$17,'Limit raise'!$1:$1,0))</f>
        <v>0.1054950592344774</v>
      </c>
      <c r="M199" s="18">
        <v>0.15</v>
      </c>
      <c r="N199" s="18"/>
    </row>
    <row r="200" spans="3:14" s="13" customFormat="1" ht="7.2" customHeight="1" x14ac:dyDescent="0.3">
      <c r="C200" s="17">
        <v>182</v>
      </c>
      <c r="D200" s="18" cm="1">
        <f t="array" ref="D200">INDEX('New credit'!$A:$O,
MATCH(1,('New credit'!$A:$A=$C200)*('New credit'!$D:$D=D$16), 0),
MATCH(D$17,'New credit'!$1:$1,0))</f>
        <v>0.76119402985074625</v>
      </c>
      <c r="E200" s="18" cm="1">
        <f t="array" ref="E200">INDEX('New credit'!$A:$O,
MATCH(1,('New credit'!$A:$A=$C200)*('New credit'!$D:$D=E$16), 0),
MATCH(E$17,'New credit'!$1:$1,0))</f>
        <v>0.84236842105263132</v>
      </c>
      <c r="F200" s="18" cm="1">
        <f t="array" ref="F200">INDEX('New credit'!$A:$O,
MATCH(1,('New credit'!$A:$A=$C200)*('New credit'!$D:$D=F$16), 0),
MATCH(F$17,'New credit'!$1:$1,0))</f>
        <v>0.64253552189144003</v>
      </c>
      <c r="G200" s="18">
        <f>INDEX('New credit'!$A:$O,
MATCH($C200, 'New credit'!$A:$A, 0),
MATCH(G$17, 'New credit'!$1:$1, 0))</f>
        <v>0.12619088863566649</v>
      </c>
      <c r="H200" s="18">
        <v>0.15</v>
      </c>
      <c r="I200" s="18" cm="1">
        <f t="array" ref="I200">INDEX('Limit raise'!$A:$O,
MATCH(1,('Limit raise'!$A:$A=$C200)*('Limit raise'!$D:$D=I$16), 0),
MATCH(I$17,'Limit raise'!$1:$1,0))</f>
        <v>0.75</v>
      </c>
      <c r="J200" s="18" cm="1">
        <f t="array" ref="J200">INDEX('Limit raise'!$A:$O,
MATCH(1,('Limit raise'!$A:$A=$C200)*('Limit raise'!$D:$D=J$16), 0),
MATCH(J$17,'Limit raise'!$1:$1,0))</f>
        <v>0.93363636363636349</v>
      </c>
      <c r="K200" s="18" cm="1">
        <f t="array" ref="K200">INDEX('Limit raise'!$A:$O,
MATCH(1,('Limit raise'!$A:$A=$C200)*('Limit raise'!$D:$D=K$16), 0),
MATCH(K$17,'Limit raise'!$1:$1,0))</f>
        <v>0.73465906306437001</v>
      </c>
      <c r="L200" s="18">
        <f>INDEX('Limit raise'!$A:$O,
MATCH($C200, 'Limit raise'!$A:$A, 0),
MATCH(L$17,'Limit raise'!$1:$1,0))</f>
        <v>0.10926606726245799</v>
      </c>
      <c r="M200" s="18">
        <v>0.15</v>
      </c>
      <c r="N200" s="18"/>
    </row>
    <row r="201" spans="3:14" s="13" customFormat="1" ht="7.2" customHeight="1" x14ac:dyDescent="0.3">
      <c r="C201" s="17">
        <v>183</v>
      </c>
      <c r="D201" s="18" cm="1">
        <f t="array" ref="D201">INDEX('New credit'!$A:$O,
MATCH(1,('New credit'!$A:$A=$C201)*('New credit'!$D:$D=D$16), 0),
MATCH(D$17,'New credit'!$1:$1,0))</f>
        <v>0.75806451612903225</v>
      </c>
      <c r="E201" s="18" cm="1">
        <f t="array" ref="E201">INDEX('New credit'!$A:$O,
MATCH(1,('New credit'!$A:$A=$C201)*('New credit'!$D:$D=E$16), 0),
MATCH(E$17,'New credit'!$1:$1,0))</f>
        <v>0.89379310344827556</v>
      </c>
      <c r="F201" s="18" cm="1">
        <f t="array" ref="F201">INDEX('New credit'!$A:$O,
MATCH(1,('New credit'!$A:$A=$C201)*('New credit'!$D:$D=F$16), 0),
MATCH(F$17,'New credit'!$1:$1,0))</f>
        <v>0.70432829897936977</v>
      </c>
      <c r="G201" s="18">
        <f>INDEX('New credit'!$A:$O,
MATCH($C201, 'New credit'!$A:$A, 0),
MATCH(G$17, 'New credit'!$1:$1, 0))</f>
        <v>1</v>
      </c>
      <c r="H201" s="18">
        <v>0.15</v>
      </c>
      <c r="I201" s="18" cm="1">
        <f t="array" ref="I201">INDEX('Limit raise'!$A:$O,
MATCH(1,('Limit raise'!$A:$A=$C201)*('Limit raise'!$D:$D=I$16), 0),
MATCH(I$17,'Limit raise'!$1:$1,0))</f>
        <v>0.74137931034482762</v>
      </c>
      <c r="J201" s="18" cm="1">
        <f t="array" ref="J201">INDEX('Limit raise'!$A:$O,
MATCH(1,('Limit raise'!$A:$A=$C201)*('Limit raise'!$D:$D=J$16), 0),
MATCH(J$17,'Limit raise'!$1:$1,0))</f>
        <v>0.93272727272727252</v>
      </c>
      <c r="K201" s="18" cm="1">
        <f t="array" ref="K201">INDEX('Limit raise'!$A:$O,
MATCH(1,('Limit raise'!$A:$A=$C201)*('Limit raise'!$D:$D=K$16), 0),
MATCH(K$17,'Limit raise'!$1:$1,0))</f>
        <v>0.73766185197004575</v>
      </c>
      <c r="L201" s="18">
        <f>INDEX('Limit raise'!$A:$O,
MATCH($C201, 'Limit raise'!$A:$A, 0),
MATCH(L$17,'Limit raise'!$1:$1,0))</f>
        <v>0.1094739542092984</v>
      </c>
      <c r="M201" s="18">
        <v>0.15</v>
      </c>
      <c r="N201" s="18"/>
    </row>
    <row r="202" spans="3:14" s="13" customFormat="1" ht="7.2" customHeight="1" x14ac:dyDescent="0.3">
      <c r="C202" s="17">
        <v>184</v>
      </c>
      <c r="D202" s="18" cm="1">
        <f t="array" ref="D202">INDEX('New credit'!$A:$O,
MATCH(1,('New credit'!$A:$A=$C202)*('New credit'!$D:$D=D$16), 0),
MATCH(D$17,'New credit'!$1:$1,0))</f>
        <v>0.69354838709677424</v>
      </c>
      <c r="E202" s="18" cm="1">
        <f t="array" ref="E202">INDEX('New credit'!$A:$O,
MATCH(1,('New credit'!$A:$A=$C202)*('New credit'!$D:$D=E$16), 0),
MATCH(E$17,'New credit'!$1:$1,0))</f>
        <v>0.86266666666666636</v>
      </c>
      <c r="F202" s="18" cm="1">
        <f t="array" ref="F202">INDEX('New credit'!$A:$O,
MATCH(1,('New credit'!$A:$A=$C202)*('New credit'!$D:$D=F$16), 0),
MATCH(F$17,'New credit'!$1:$1,0))</f>
        <v>0.62376452433040563</v>
      </c>
      <c r="G202" s="18">
        <f>INDEX('New credit'!$A:$O,
MATCH($C202, 'New credit'!$A:$A, 0),
MATCH(G$17, 'New credit'!$1:$1, 0))</f>
        <v>6.9593687454860081E-2</v>
      </c>
      <c r="H202" s="18">
        <v>0.15</v>
      </c>
      <c r="I202" s="18" cm="1">
        <f t="array" ref="I202">INDEX('Limit raise'!$A:$O,
MATCH(1,('Limit raise'!$A:$A=$C202)*('Limit raise'!$D:$D=I$16), 0),
MATCH(I$17,'Limit raise'!$1:$1,0))</f>
        <v>0.73684210526315785</v>
      </c>
      <c r="J202" s="18" cm="1">
        <f t="array" ref="J202">INDEX('Limit raise'!$A:$O,
MATCH(1,('Limit raise'!$A:$A=$C202)*('Limit raise'!$D:$D=J$16), 0),
MATCH(J$17,'Limit raise'!$1:$1,0))</f>
        <v>0.93272727272727252</v>
      </c>
      <c r="K202" s="18" cm="1">
        <f t="array" ref="K202">INDEX('Limit raise'!$A:$O,
MATCH(1,('Limit raise'!$A:$A=$C202)*('Limit raise'!$D:$D=K$16), 0),
MATCH(K$17,'Limit raise'!$1:$1,0))</f>
        <v>0.73893605630007142</v>
      </c>
      <c r="L202" s="18">
        <f>INDEX('Limit raise'!$A:$O,
MATCH($C202, 'Limit raise'!$A:$A, 0),
MATCH(L$17,'Limit raise'!$1:$1,0))</f>
        <v>0.1114041981899738</v>
      </c>
      <c r="M202" s="18">
        <v>0.15</v>
      </c>
      <c r="N202" s="18"/>
    </row>
    <row r="203" spans="3:14" s="13" customFormat="1" ht="7.2" customHeight="1" x14ac:dyDescent="0.3">
      <c r="C203" s="17">
        <v>185</v>
      </c>
      <c r="D203" s="18" cm="1">
        <f t="array" ref="D203">INDEX('New credit'!$A:$O,
MATCH(1,('New credit'!$A:$A=$C203)*('New credit'!$D:$D=D$16), 0),
MATCH(D$17,'New credit'!$1:$1,0))</f>
        <v>0.7</v>
      </c>
      <c r="E203" s="18" cm="1">
        <f t="array" ref="E203">INDEX('New credit'!$A:$O,
MATCH(1,('New credit'!$A:$A=$C203)*('New credit'!$D:$D=E$16), 0),
MATCH(E$17,'New credit'!$1:$1,0))</f>
        <v>0.85588235294117621</v>
      </c>
      <c r="F203" s="18" cm="1">
        <f t="array" ref="F203">INDEX('New credit'!$A:$O,
MATCH(1,('New credit'!$A:$A=$C203)*('New credit'!$D:$D=F$16), 0),
MATCH(F$17,'New credit'!$1:$1,0))</f>
        <v>0.70624197519964027</v>
      </c>
      <c r="G203" s="18">
        <f>INDEX('New credit'!$A:$O,
MATCH($C203, 'New credit'!$A:$A, 0),
MATCH(G$17, 'New credit'!$1:$1, 0))</f>
        <v>1</v>
      </c>
      <c r="H203" s="18">
        <v>0.15</v>
      </c>
      <c r="I203" s="18" cm="1">
        <f t="array" ref="I203">INDEX('Limit raise'!$A:$O,
MATCH(1,('Limit raise'!$A:$A=$C203)*('Limit raise'!$D:$D=I$16), 0),
MATCH(I$17,'Limit raise'!$1:$1,0))</f>
        <v>0.7321428571428571</v>
      </c>
      <c r="J203" s="18" cm="1">
        <f t="array" ref="J203">INDEX('Limit raise'!$A:$O,
MATCH(1,('Limit raise'!$A:$A=$C203)*('Limit raise'!$D:$D=J$16), 0),
MATCH(J$17,'Limit raise'!$1:$1,0))</f>
        <v>0.93380952380952364</v>
      </c>
      <c r="K203" s="18" cm="1">
        <f t="array" ref="K203">INDEX('Limit raise'!$A:$O,
MATCH(1,('Limit raise'!$A:$A=$C203)*('Limit raise'!$D:$D=K$16), 0),
MATCH(K$17,'Limit raise'!$1:$1,0))</f>
        <v>0.88641434942443975</v>
      </c>
      <c r="L203" s="18">
        <f>INDEX('Limit raise'!$A:$O,
MATCH($C203, 'Limit raise'!$A:$A, 0),
MATCH(L$17,'Limit raise'!$1:$1,0))</f>
        <v>1</v>
      </c>
      <c r="M203" s="18">
        <v>0.15</v>
      </c>
      <c r="N203" s="18"/>
    </row>
    <row r="204" spans="3:14" s="13" customFormat="1" ht="7.2" customHeight="1" x14ac:dyDescent="0.3">
      <c r="C204" s="17">
        <v>186</v>
      </c>
      <c r="D204" s="18" cm="1">
        <f t="array" ref="D204">INDEX('New credit'!$A:$O,
MATCH(1,('New credit'!$A:$A=$C204)*('New credit'!$D:$D=D$16), 0),
MATCH(D$17,'New credit'!$1:$1,0))</f>
        <v>0.74576271186440679</v>
      </c>
      <c r="E204" s="18" cm="1">
        <f t="array" ref="E204">INDEX('New credit'!$A:$O,
MATCH(1,('New credit'!$A:$A=$C204)*('New credit'!$D:$D=E$16), 0),
MATCH(E$17,'New credit'!$1:$1,0))</f>
        <v>0.85205882352941154</v>
      </c>
      <c r="F204" s="18" cm="1">
        <f t="array" ref="F204">INDEX('New credit'!$A:$O,
MATCH(1,('New credit'!$A:$A=$C204)*('New credit'!$D:$D=F$16), 0),
MATCH(F$17,'New credit'!$1:$1,0))</f>
        <v>0.72269634087207257</v>
      </c>
      <c r="G204" s="18">
        <f>INDEX('New credit'!$A:$O,
MATCH($C204, 'New credit'!$A:$A, 0),
MATCH(G$17, 'New credit'!$1:$1, 0))</f>
        <v>1</v>
      </c>
      <c r="H204" s="18">
        <v>0.15</v>
      </c>
      <c r="I204" s="18" cm="1">
        <f t="array" ref="I204">INDEX('Limit raise'!$A:$O,
MATCH(1,('Limit raise'!$A:$A=$C204)*('Limit raise'!$D:$D=I$16), 0),
MATCH(I$17,'Limit raise'!$1:$1,0))</f>
        <v>0.7142857142857143</v>
      </c>
      <c r="J204" s="18" cm="1">
        <f t="array" ref="J204">INDEX('Limit raise'!$A:$O,
MATCH(1,('Limit raise'!$A:$A=$C204)*('Limit raise'!$D:$D=J$16), 0),
MATCH(J$17,'Limit raise'!$1:$1,0))</f>
        <v>0.93227272727272703</v>
      </c>
      <c r="K204" s="18" cm="1">
        <f t="array" ref="K204">INDEX('Limit raise'!$A:$O,
MATCH(1,('Limit raise'!$A:$A=$C204)*('Limit raise'!$D:$D=K$16), 0),
MATCH(K$17,'Limit raise'!$1:$1,0))</f>
        <v>0.87452870827109142</v>
      </c>
      <c r="L204" s="18">
        <f>INDEX('Limit raise'!$A:$O,
MATCH($C204, 'Limit raise'!$A:$A, 0),
MATCH(L$17,'Limit raise'!$1:$1,0))</f>
        <v>1.850863906893294E-2</v>
      </c>
      <c r="M204" s="18">
        <v>0.15</v>
      </c>
      <c r="N204" s="18"/>
    </row>
    <row r="205" spans="3:14" s="13" customFormat="1" ht="7.2" customHeight="1" x14ac:dyDescent="0.3">
      <c r="C205" s="17">
        <v>187</v>
      </c>
      <c r="D205" s="18" cm="1">
        <f t="array" ref="D205">INDEX('New credit'!$A:$O,
MATCH(1,('New credit'!$A:$A=$C205)*('New credit'!$D:$D=D$16), 0),
MATCH(D$17,'New credit'!$1:$1,0))</f>
        <v>0.69491525423728817</v>
      </c>
      <c r="E205" s="18" cm="1">
        <f t="array" ref="E205">INDEX('New credit'!$A:$O,
MATCH(1,('New credit'!$A:$A=$C205)*('New credit'!$D:$D=E$16), 0),
MATCH(E$17,'New credit'!$1:$1,0))</f>
        <v>0.85161290322580618</v>
      </c>
      <c r="F205" s="18" cm="1">
        <f t="array" ref="F205">INDEX('New credit'!$A:$O,
MATCH(1,('New credit'!$A:$A=$C205)*('New credit'!$D:$D=F$16), 0),
MATCH(F$17,'New credit'!$1:$1,0))</f>
        <v>0.59829599967615377</v>
      </c>
      <c r="G205" s="18">
        <f>INDEX('New credit'!$A:$O,
MATCH($C205, 'New credit'!$A:$A, 0),
MATCH(G$17, 'New credit'!$1:$1, 0))</f>
        <v>9.3058499340247069E-2</v>
      </c>
      <c r="H205" s="18">
        <v>0.15</v>
      </c>
      <c r="I205" s="18" cm="1">
        <f t="array" ref="I205">INDEX('Limit raise'!$A:$O,
MATCH(1,('Limit raise'!$A:$A=$C205)*('Limit raise'!$D:$D=I$16), 0),
MATCH(I$17,'Limit raise'!$1:$1,0))</f>
        <v>0.70909090909090911</v>
      </c>
      <c r="J205" s="18" cm="1">
        <f t="array" ref="J205">INDEX('Limit raise'!$A:$O,
MATCH(1,('Limit raise'!$A:$A=$C205)*('Limit raise'!$D:$D=J$16), 0),
MATCH(J$17,'Limit raise'!$1:$1,0))</f>
        <v>0.93238095238095231</v>
      </c>
      <c r="K205" s="18" cm="1">
        <f t="array" ref="K205">INDEX('Limit raise'!$A:$O,
MATCH(1,('Limit raise'!$A:$A=$C205)*('Limit raise'!$D:$D=K$16), 0),
MATCH(K$17,'Limit raise'!$1:$1,0))</f>
        <v>0.87434424013311152</v>
      </c>
      <c r="L205" s="18">
        <f>INDEX('Limit raise'!$A:$O,
MATCH($C205, 'Limit raise'!$A:$A, 0),
MATCH(L$17,'Limit raise'!$1:$1,0))</f>
        <v>3.1461574628687657E-2</v>
      </c>
      <c r="M205" s="18">
        <v>0.15</v>
      </c>
      <c r="N205" s="18"/>
    </row>
    <row r="206" spans="3:14" s="13" customFormat="1" ht="7.2" customHeight="1" x14ac:dyDescent="0.3">
      <c r="C206" s="17">
        <v>188</v>
      </c>
      <c r="D206" s="18" cm="1">
        <f t="array" ref="D206">INDEX('New credit'!$A:$O,
MATCH(1,('New credit'!$A:$A=$C206)*('New credit'!$D:$D=D$16), 0),
MATCH(D$17,'New credit'!$1:$1,0))</f>
        <v>0.7</v>
      </c>
      <c r="E206" s="18" cm="1">
        <f t="array" ref="E206">INDEX('New credit'!$A:$O,
MATCH(1,('New credit'!$A:$A=$C206)*('New credit'!$D:$D=E$16), 0),
MATCH(E$17,'New credit'!$1:$1,0))</f>
        <v>0.84419354838709648</v>
      </c>
      <c r="F206" s="18" cm="1">
        <f t="array" ref="F206">INDEX('New credit'!$A:$O,
MATCH(1,('New credit'!$A:$A=$C206)*('New credit'!$D:$D=F$16), 0),
MATCH(F$17,'New credit'!$1:$1,0))</f>
        <v>0.6356533890859325</v>
      </c>
      <c r="G206" s="18">
        <f>INDEX('New credit'!$A:$O,
MATCH($C206, 'New credit'!$A:$A, 0),
MATCH(G$17, 'New credit'!$1:$1, 0))</f>
        <v>0.13894938515205499</v>
      </c>
      <c r="H206" s="18">
        <v>0.15</v>
      </c>
      <c r="I206" s="18" cm="1">
        <f t="array" ref="I206">INDEX('Limit raise'!$A:$O,
MATCH(1,('Limit raise'!$A:$A=$C206)*('Limit raise'!$D:$D=I$16), 0),
MATCH(I$17,'Limit raise'!$1:$1,0))</f>
        <v>0.72727272727272729</v>
      </c>
      <c r="J206" s="18" cm="1">
        <f t="array" ref="J206">INDEX('Limit raise'!$A:$O,
MATCH(1,('Limit raise'!$A:$A=$C206)*('Limit raise'!$D:$D=J$16), 0),
MATCH(J$17,'Limit raise'!$1:$1,0))</f>
        <v>0.93285714285714283</v>
      </c>
      <c r="K206" s="18" cm="1">
        <f t="array" ref="K206">INDEX('Limit raise'!$A:$O,
MATCH(1,('Limit raise'!$A:$A=$C206)*('Limit raise'!$D:$D=K$16), 0),
MATCH(K$17,'Limit raise'!$1:$1,0))</f>
        <v>0.87398029617850548</v>
      </c>
      <c r="L206" s="18">
        <f>INDEX('Limit raise'!$A:$O,
MATCH($C206, 'Limit raise'!$A:$A, 0),
MATCH(L$17,'Limit raise'!$1:$1,0))</f>
        <v>3.6570744711483603E-2</v>
      </c>
      <c r="M206" s="18">
        <v>0.15</v>
      </c>
      <c r="N206" s="18"/>
    </row>
    <row r="207" spans="3:14" s="13" customFormat="1" ht="7.2" customHeight="1" x14ac:dyDescent="0.3">
      <c r="C207" s="17">
        <v>189</v>
      </c>
      <c r="D207" s="18" cm="1">
        <f t="array" ref="D207">INDEX('New credit'!$A:$O,
MATCH(1,('New credit'!$A:$A=$C207)*('New credit'!$D:$D=D$16), 0),
MATCH(D$17,'New credit'!$1:$1,0))</f>
        <v>0.69354838709677424</v>
      </c>
      <c r="E207" s="18" cm="1">
        <f t="array" ref="E207">INDEX('New credit'!$A:$O,
MATCH(1,('New credit'!$A:$A=$C207)*('New credit'!$D:$D=E$16), 0),
MATCH(E$17,'New credit'!$1:$1,0))</f>
        <v>0.85071428571428542</v>
      </c>
      <c r="F207" s="18" cm="1">
        <f t="array" ref="F207">INDEX('New credit'!$A:$O,
MATCH(1,('New credit'!$A:$A=$C207)*('New credit'!$D:$D=F$16), 0),
MATCH(F$17,'New credit'!$1:$1,0))</f>
        <v>0.75717686991357036</v>
      </c>
      <c r="G207" s="18">
        <f>INDEX('New credit'!$A:$O,
MATCH($C207, 'New credit'!$A:$A, 0),
MATCH(G$17, 'New credit'!$1:$1, 0))</f>
        <v>1</v>
      </c>
      <c r="H207" s="18">
        <v>0.15</v>
      </c>
      <c r="I207" s="18" cm="1">
        <f t="array" ref="I207">INDEX('Limit raise'!$A:$O,
MATCH(1,('Limit raise'!$A:$A=$C207)*('Limit raise'!$D:$D=I$16), 0),
MATCH(I$17,'Limit raise'!$1:$1,0))</f>
        <v>0.7068965517241379</v>
      </c>
      <c r="J207" s="18" cm="1">
        <f t="array" ref="J207">INDEX('Limit raise'!$A:$O,
MATCH(1,('Limit raise'!$A:$A=$C207)*('Limit raise'!$D:$D=J$16), 0),
MATCH(J$17,'Limit raise'!$1:$1,0))</f>
        <v>0.9309090909090908</v>
      </c>
      <c r="K207" s="18" cm="1">
        <f t="array" ref="K207">INDEX('Limit raise'!$A:$O,
MATCH(1,('Limit raise'!$A:$A=$C207)*('Limit raise'!$D:$D=K$16), 0),
MATCH(K$17,'Limit raise'!$1:$1,0))</f>
        <v>0.87111242489507124</v>
      </c>
      <c r="L207" s="18">
        <f>INDEX('Limit raise'!$A:$O,
MATCH($C207, 'Limit raise'!$A:$A, 0),
MATCH(L$17,'Limit raise'!$1:$1,0))</f>
        <v>4.6334408275461862E-2</v>
      </c>
      <c r="M207" s="18">
        <v>0.15</v>
      </c>
      <c r="N207" s="18"/>
    </row>
    <row r="208" spans="3:14" s="13" customFormat="1" ht="7.2" customHeight="1" x14ac:dyDescent="0.3">
      <c r="C208" s="17">
        <v>190</v>
      </c>
      <c r="D208" s="18" cm="1">
        <f t="array" ref="D208">INDEX('New credit'!$A:$O,
MATCH(1,('New credit'!$A:$A=$C208)*('New credit'!$D:$D=D$16), 0),
MATCH(D$17,'New credit'!$1:$1,0))</f>
        <v>0.69696969696969702</v>
      </c>
      <c r="E208" s="18" cm="1">
        <f t="array" ref="E208">INDEX('New credit'!$A:$O,
MATCH(1,('New credit'!$A:$A=$C208)*('New credit'!$D:$D=E$16), 0),
MATCH(E$17,'New credit'!$1:$1,0))</f>
        <v>0.85241379310344811</v>
      </c>
      <c r="F208" s="18" cm="1">
        <f t="array" ref="F208">INDEX('New credit'!$A:$O,
MATCH(1,('New credit'!$A:$A=$C208)*('New credit'!$D:$D=F$16), 0),
MATCH(F$17,'New credit'!$1:$1,0))</f>
        <v>0.62448651976415459</v>
      </c>
      <c r="G208" s="18">
        <f>INDEX('New credit'!$A:$O,
MATCH($C208, 'New credit'!$A:$A, 0),
MATCH(G$17, 'New credit'!$1:$1, 0))</f>
        <v>8.1876463236706581E-2</v>
      </c>
      <c r="H208" s="18">
        <v>0.15</v>
      </c>
      <c r="I208" s="18" cm="1">
        <f t="array" ref="I208">INDEX('Limit raise'!$A:$O,
MATCH(1,('Limit raise'!$A:$A=$C208)*('Limit raise'!$D:$D=I$16), 0),
MATCH(I$17,'Limit raise'!$1:$1,0))</f>
        <v>0.7068965517241379</v>
      </c>
      <c r="J208" s="18" cm="1">
        <f t="array" ref="J208">INDEX('Limit raise'!$A:$O,
MATCH(1,('Limit raise'!$A:$A=$C208)*('Limit raise'!$D:$D=J$16), 0),
MATCH(J$17,'Limit raise'!$1:$1,0))</f>
        <v>0.9309090909090908</v>
      </c>
      <c r="K208" s="18" cm="1">
        <f t="array" ref="K208">INDEX('Limit raise'!$A:$O,
MATCH(1,('Limit raise'!$A:$A=$C208)*('Limit raise'!$D:$D=K$16), 0),
MATCH(K$17,'Limit raise'!$1:$1,0))</f>
        <v>0.87060804264894309</v>
      </c>
      <c r="L208" s="18">
        <f>INDEX('Limit raise'!$A:$O,
MATCH($C208, 'Limit raise'!$A:$A, 0),
MATCH(L$17,'Limit raise'!$1:$1,0))</f>
        <v>4.7468340818325253E-2</v>
      </c>
      <c r="M208" s="18">
        <v>0.15</v>
      </c>
      <c r="N208" s="18"/>
    </row>
    <row r="209" spans="3:14" s="13" customFormat="1" ht="7.2" customHeight="1" x14ac:dyDescent="0.3">
      <c r="C209" s="17">
        <v>191</v>
      </c>
      <c r="D209" s="18" cm="1">
        <f t="array" ref="D209">INDEX('New credit'!$A:$O,
MATCH(1,('New credit'!$A:$A=$C209)*('New credit'!$D:$D=D$16), 0),
MATCH(D$17,'New credit'!$1:$1,0))</f>
        <v>0.67741935483870963</v>
      </c>
      <c r="E209" s="18" cm="1">
        <f t="array" ref="E209">INDEX('New credit'!$A:$O,
MATCH(1,('New credit'!$A:$A=$C209)*('New credit'!$D:$D=E$16), 0),
MATCH(E$17,'New credit'!$1:$1,0))</f>
        <v>0.85571428571428554</v>
      </c>
      <c r="F209" s="18" cm="1">
        <f t="array" ref="F209">INDEX('New credit'!$A:$O,
MATCH(1,('New credit'!$A:$A=$C209)*('New credit'!$D:$D=F$16), 0),
MATCH(F$17,'New credit'!$1:$1,0))</f>
        <v>0.62564767995391724</v>
      </c>
      <c r="G209" s="18">
        <f>INDEX('New credit'!$A:$O,
MATCH($C209, 'New credit'!$A:$A, 0),
MATCH(G$17, 'New credit'!$1:$1, 0))</f>
        <v>0.1352415907401717</v>
      </c>
      <c r="H209" s="18">
        <v>0.15</v>
      </c>
      <c r="I209" s="18" cm="1">
        <f t="array" ref="I209">INDEX('Limit raise'!$A:$O,
MATCH(1,('Limit raise'!$A:$A=$C209)*('Limit raise'!$D:$D=I$16), 0),
MATCH(I$17,'Limit raise'!$1:$1,0))</f>
        <v>0.7068965517241379</v>
      </c>
      <c r="J209" s="18" cm="1">
        <f t="array" ref="J209">INDEX('Limit raise'!$A:$O,
MATCH(1,('Limit raise'!$A:$A=$C209)*('Limit raise'!$D:$D=J$16), 0),
MATCH(J$17,'Limit raise'!$1:$1,0))</f>
        <v>0.93090909090909058</v>
      </c>
      <c r="K209" s="18" cm="1">
        <f t="array" ref="K209">INDEX('Limit raise'!$A:$O,
MATCH(1,('Limit raise'!$A:$A=$C209)*('Limit raise'!$D:$D=K$16), 0),
MATCH(K$17,'Limit raise'!$1:$1,0))</f>
        <v>0.87060617950472186</v>
      </c>
      <c r="L209" s="18">
        <f>INDEX('Limit raise'!$A:$O,
MATCH($C209, 'Limit raise'!$A:$A, 0),
MATCH(L$17,'Limit raise'!$1:$1,0))</f>
        <v>5.0444707475372177E-2</v>
      </c>
      <c r="M209" s="18">
        <v>0.15</v>
      </c>
      <c r="N209" s="18"/>
    </row>
    <row r="210" spans="3:14" s="13" customFormat="1" ht="7.2" customHeight="1" x14ac:dyDescent="0.3">
      <c r="C210" s="17">
        <v>192</v>
      </c>
      <c r="D210" s="18" cm="1">
        <f t="array" ref="D210">INDEX('New credit'!$A:$O,
MATCH(1,('New credit'!$A:$A=$C210)*('New credit'!$D:$D=D$16), 0),
MATCH(D$17,'New credit'!$1:$1,0))</f>
        <v>0.71186440677966101</v>
      </c>
      <c r="E210" s="18" cm="1">
        <f t="array" ref="E210">INDEX('New credit'!$A:$O,
MATCH(1,('New credit'!$A:$A=$C210)*('New credit'!$D:$D=E$16), 0),
MATCH(E$17,'New credit'!$1:$1,0))</f>
        <v>0.86156249999999979</v>
      </c>
      <c r="F210" s="18" cm="1">
        <f t="array" ref="F210">INDEX('New credit'!$A:$O,
MATCH(1,('New credit'!$A:$A=$C210)*('New credit'!$D:$D=F$16), 0),
MATCH(F$17,'New credit'!$1:$1,0))</f>
        <v>0.7337234017154961</v>
      </c>
      <c r="G210" s="18">
        <f>INDEX('New credit'!$A:$O,
MATCH($C210, 'New credit'!$A:$A, 0),
MATCH(G$17, 'New credit'!$1:$1, 0))</f>
        <v>0.26320707025814261</v>
      </c>
      <c r="H210" s="18">
        <v>0.15</v>
      </c>
      <c r="I210" s="18" cm="1">
        <f t="array" ref="I210">INDEX('Limit raise'!$A:$O,
MATCH(1,('Limit raise'!$A:$A=$C210)*('Limit raise'!$D:$D=I$16), 0),
MATCH(I$17,'Limit raise'!$1:$1,0))</f>
        <v>0.69491525423728817</v>
      </c>
      <c r="J210" s="18" cm="1">
        <f t="array" ref="J210">INDEX('Limit raise'!$A:$O,
MATCH(1,('Limit raise'!$A:$A=$C210)*('Limit raise'!$D:$D=J$16), 0),
MATCH(J$17,'Limit raise'!$1:$1,0))</f>
        <v>0.92999999999999972</v>
      </c>
      <c r="K210" s="18" cm="1">
        <f t="array" ref="K210">INDEX('Limit raise'!$A:$O,
MATCH(1,('Limit raise'!$A:$A=$C210)*('Limit raise'!$D:$D=K$16), 0),
MATCH(K$17,'Limit raise'!$1:$1,0))</f>
        <v>0.8714484286266464</v>
      </c>
      <c r="L210" s="18">
        <f>INDEX('Limit raise'!$A:$O,
MATCH($C210, 'Limit raise'!$A:$A, 0),
MATCH(L$17,'Limit raise'!$1:$1,0))</f>
        <v>5.3191711696934513E-2</v>
      </c>
      <c r="M210" s="18">
        <v>0.15</v>
      </c>
      <c r="N210" s="18"/>
    </row>
    <row r="211" spans="3:14" s="13" customFormat="1" ht="7.2" customHeight="1" x14ac:dyDescent="0.3">
      <c r="C211" s="17">
        <v>193</v>
      </c>
      <c r="D211" s="18" cm="1">
        <f t="array" ref="D211">INDEX('New credit'!$A:$O,
MATCH(1,('New credit'!$A:$A=$C211)*('New credit'!$D:$D=D$16), 0),
MATCH(D$17,'New credit'!$1:$1,0))</f>
        <v>0.76271186440677963</v>
      </c>
      <c r="E211" s="18" cm="1">
        <f t="array" ref="E211">INDEX('New credit'!$A:$O,
MATCH(1,('New credit'!$A:$A=$C211)*('New credit'!$D:$D=E$16), 0),
MATCH(E$17,'New credit'!$1:$1,0))</f>
        <v>0.86030303030303013</v>
      </c>
      <c r="F211" s="18" cm="1">
        <f t="array" ref="F211">INDEX('New credit'!$A:$O,
MATCH(1,('New credit'!$A:$A=$C211)*('New credit'!$D:$D=F$16), 0),
MATCH(F$17,'New credit'!$1:$1,0))</f>
        <v>0.63887532223398114</v>
      </c>
      <c r="G211" s="18">
        <f>INDEX('New credit'!$A:$O,
MATCH($C211, 'New credit'!$A:$A, 0),
MATCH(G$17, 'New credit'!$1:$1, 0))</f>
        <v>8.7703653276777135E-2</v>
      </c>
      <c r="H211" s="18">
        <v>0.15</v>
      </c>
      <c r="I211" s="18" cm="1">
        <f t="array" ref="I211">INDEX('Limit raise'!$A:$O,
MATCH(1,('Limit raise'!$A:$A=$C211)*('Limit raise'!$D:$D=I$16), 0),
MATCH(I$17,'Limit raise'!$1:$1,0))</f>
        <v>0.68333333333333335</v>
      </c>
      <c r="J211" s="18" cm="1">
        <f t="array" ref="J211">INDEX('Limit raise'!$A:$O,
MATCH(1,('Limit raise'!$A:$A=$C211)*('Limit raise'!$D:$D=J$16), 0),
MATCH(J$17,'Limit raise'!$1:$1,0))</f>
        <v>0.92956521739130404</v>
      </c>
      <c r="K211" s="18" cm="1">
        <f t="array" ref="K211">INDEX('Limit raise'!$A:$O,
MATCH(1,('Limit raise'!$A:$A=$C211)*('Limit raise'!$D:$D=K$16), 0),
MATCH(K$17,'Limit raise'!$1:$1,0))</f>
        <v>0.82809017102331339</v>
      </c>
      <c r="L211" s="18">
        <f>INDEX('Limit raise'!$A:$O,
MATCH($C211, 'Limit raise'!$A:$A, 0),
MATCH(L$17,'Limit raise'!$1:$1,0))</f>
        <v>6.3279738145263789E-2</v>
      </c>
      <c r="M211" s="18">
        <v>0.15</v>
      </c>
      <c r="N211" s="18"/>
    </row>
    <row r="212" spans="3:14" s="13" customFormat="1" ht="7.2" customHeight="1" x14ac:dyDescent="0.3">
      <c r="C212" s="17">
        <v>194</v>
      </c>
      <c r="D212" s="18" cm="1">
        <f t="array" ref="D212">INDEX('New credit'!$A:$O,
MATCH(1,('New credit'!$A:$A=$C212)*('New credit'!$D:$D=D$16), 0),
MATCH(D$17,'New credit'!$1:$1,0))</f>
        <v>0.74545454545454548</v>
      </c>
      <c r="E212" s="18" cm="1">
        <f t="array" ref="E212">INDEX('New credit'!$A:$O,
MATCH(1,('New credit'!$A:$A=$C212)*('New credit'!$D:$D=E$16), 0),
MATCH(E$17,'New credit'!$1:$1,0))</f>
        <v>0.86066666666666669</v>
      </c>
      <c r="F212" s="18" cm="1">
        <f t="array" ref="F212">INDEX('New credit'!$A:$O,
MATCH(1,('New credit'!$A:$A=$C212)*('New credit'!$D:$D=F$16), 0),
MATCH(F$17,'New credit'!$1:$1,0))</f>
        <v>0.75093813587849045</v>
      </c>
      <c r="G212" s="18">
        <f>INDEX('New credit'!$A:$O,
MATCH($C212, 'New credit'!$A:$A, 0),
MATCH(G$17, 'New credit'!$1:$1, 0))</f>
        <v>1</v>
      </c>
      <c r="H212" s="18">
        <v>0.15</v>
      </c>
      <c r="I212" s="18" cm="1">
        <f t="array" ref="I212">INDEX('Limit raise'!$A:$O,
MATCH(1,('Limit raise'!$A:$A=$C212)*('Limit raise'!$D:$D=I$16), 0),
MATCH(I$17,'Limit raise'!$1:$1,0))</f>
        <v>0.70491803278688525</v>
      </c>
      <c r="J212" s="18" cm="1">
        <f t="array" ref="J212">INDEX('Limit raise'!$A:$O,
MATCH(1,('Limit raise'!$A:$A=$C212)*('Limit raise'!$D:$D=J$16), 0),
MATCH(J$17,'Limit raise'!$1:$1,0))</f>
        <v>0.88958333333333306</v>
      </c>
      <c r="K212" s="18" cm="1">
        <f t="array" ref="K212">INDEX('Limit raise'!$A:$O,
MATCH(1,('Limit raise'!$A:$A=$C212)*('Limit raise'!$D:$D=K$16), 0),
MATCH(K$17,'Limit raise'!$1:$1,0))</f>
        <v>0.8173514667237447</v>
      </c>
      <c r="L212" s="18">
        <f>INDEX('Limit raise'!$A:$O,
MATCH($C212, 'Limit raise'!$A:$A, 0),
MATCH(L$17,'Limit raise'!$1:$1,0))</f>
        <v>6.7834611732428954E-2</v>
      </c>
      <c r="M212" s="18">
        <v>0.15</v>
      </c>
      <c r="N212" s="18"/>
    </row>
    <row r="213" spans="3:14" s="13" customFormat="1" ht="7.2" customHeight="1" x14ac:dyDescent="0.3">
      <c r="C213" s="17">
        <v>195</v>
      </c>
      <c r="D213" s="18" cm="1">
        <f t="array" ref="D213">INDEX('New credit'!$A:$O,
MATCH(1,('New credit'!$A:$A=$C213)*('New credit'!$D:$D=D$16), 0),
MATCH(D$17,'New credit'!$1:$1,0))</f>
        <v>0.73770491803278693</v>
      </c>
      <c r="E213" s="18" cm="1">
        <f t="array" ref="E213">INDEX('New credit'!$A:$O,
MATCH(1,('New credit'!$A:$A=$C213)*('New credit'!$D:$D=E$16), 0),
MATCH(E$17,'New credit'!$1:$1,0))</f>
        <v>0.86281249999999987</v>
      </c>
      <c r="F213" s="18" cm="1">
        <f t="array" ref="F213">INDEX('New credit'!$A:$O,
MATCH(1,('New credit'!$A:$A=$C213)*('New credit'!$D:$D=F$16), 0),
MATCH(F$17,'New credit'!$1:$1,0))</f>
        <v>0.77024899783168876</v>
      </c>
      <c r="G213" s="18">
        <f>INDEX('New credit'!$A:$O,
MATCH($C213, 'New credit'!$A:$A, 0),
MATCH(G$17, 'New credit'!$1:$1, 0))</f>
        <v>1</v>
      </c>
      <c r="H213" s="18">
        <v>0.15</v>
      </c>
      <c r="I213" s="18" cm="1">
        <f t="array" ref="I213">INDEX('Limit raise'!$A:$O,
MATCH(1,('Limit raise'!$A:$A=$C213)*('Limit raise'!$D:$D=I$16), 0),
MATCH(I$17,'Limit raise'!$1:$1,0))</f>
        <v>0.68852459016393441</v>
      </c>
      <c r="J213" s="18" cm="1">
        <f t="array" ref="J213">INDEX('Limit raise'!$A:$O,
MATCH(1,('Limit raise'!$A:$A=$C213)*('Limit raise'!$D:$D=J$16), 0),
MATCH(J$17,'Limit raise'!$1:$1,0))</f>
        <v>0.9280952380952382</v>
      </c>
      <c r="K213" s="18" cm="1">
        <f t="array" ref="K213">INDEX('Limit raise'!$A:$O,
MATCH(1,('Limit raise'!$A:$A=$C213)*('Limit raise'!$D:$D=K$16), 0),
MATCH(K$17,'Limit raise'!$1:$1,0))</f>
        <v>0.86540534092226984</v>
      </c>
      <c r="L213" s="18">
        <f>INDEX('Limit raise'!$A:$O,
MATCH($C213, 'Limit raise'!$A:$A, 0),
MATCH(L$17,'Limit raise'!$1:$1,0))</f>
        <v>1</v>
      </c>
      <c r="M213" s="18">
        <v>0.15</v>
      </c>
      <c r="N213" s="18"/>
    </row>
    <row r="214" spans="3:14" s="13" customFormat="1" ht="7.2" customHeight="1" x14ac:dyDescent="0.3">
      <c r="C214" s="17">
        <v>196</v>
      </c>
      <c r="D214" s="18" cm="1">
        <f t="array" ref="D214">INDEX('New credit'!$A:$O,
MATCH(1,('New credit'!$A:$A=$C214)*('New credit'!$D:$D=D$16), 0),
MATCH(D$17,'New credit'!$1:$1,0))</f>
        <v>0.69354838709677424</v>
      </c>
      <c r="E214" s="18" cm="1">
        <f t="array" ref="E214">INDEX('New credit'!$A:$O,
MATCH(1,('New credit'!$A:$A=$C214)*('New credit'!$D:$D=E$16), 0),
MATCH(E$17,'New credit'!$1:$1,0))</f>
        <v>0.85483870967741915</v>
      </c>
      <c r="F214" s="18" cm="1">
        <f t="array" ref="F214">INDEX('New credit'!$A:$O,
MATCH(1,('New credit'!$A:$A=$C214)*('New credit'!$D:$D=F$16), 0),
MATCH(F$17,'New credit'!$1:$1,0))</f>
        <v>0.65010989436206212</v>
      </c>
      <c r="G214" s="18">
        <f>INDEX('New credit'!$A:$O,
MATCH($C214, 'New credit'!$A:$A, 0),
MATCH(G$17, 'New credit'!$1:$1, 0))</f>
        <v>0.11509533442871681</v>
      </c>
      <c r="H214" s="18">
        <v>0.15</v>
      </c>
      <c r="I214" s="18" cm="1">
        <f t="array" ref="I214">INDEX('Limit raise'!$A:$O,
MATCH(1,('Limit raise'!$A:$A=$C214)*('Limit raise'!$D:$D=I$16), 0),
MATCH(I$17,'Limit raise'!$1:$1,0))</f>
        <v>0.70491803278688525</v>
      </c>
      <c r="J214" s="18" cm="1">
        <f t="array" ref="J214">INDEX('Limit raise'!$A:$O,
MATCH(1,('Limit raise'!$A:$A=$C214)*('Limit raise'!$D:$D=J$16), 0),
MATCH(J$17,'Limit raise'!$1:$1,0))</f>
        <v>0.9285714285714286</v>
      </c>
      <c r="K214" s="18" cm="1">
        <f t="array" ref="K214">INDEX('Limit raise'!$A:$O,
MATCH(1,('Limit raise'!$A:$A=$C214)*('Limit raise'!$D:$D=K$16), 0),
MATCH(K$17,'Limit raise'!$1:$1,0))</f>
        <v>0.86532675599432618</v>
      </c>
      <c r="L214" s="18">
        <f>INDEX('Limit raise'!$A:$O,
MATCH($C214, 'Limit raise'!$A:$A, 0),
MATCH(L$17,'Limit raise'!$1:$1,0))</f>
        <v>8.7880870027270616E-3</v>
      </c>
      <c r="M214" s="18">
        <v>0.15</v>
      </c>
      <c r="N214" s="18"/>
    </row>
    <row r="215" spans="3:14" s="13" customFormat="1" ht="7.2" customHeight="1" x14ac:dyDescent="0.3">
      <c r="C215" s="17">
        <v>197</v>
      </c>
      <c r="D215" s="18" cm="1">
        <f t="array" ref="D215">INDEX('New credit'!$A:$O,
MATCH(1,('New credit'!$A:$A=$C215)*('New credit'!$D:$D=D$16), 0),
MATCH(D$17,'New credit'!$1:$1,0))</f>
        <v>0.68181818181818177</v>
      </c>
      <c r="E215" s="18" cm="1">
        <f t="array" ref="E215">INDEX('New credit'!$A:$O,
MATCH(1,('New credit'!$A:$A=$C215)*('New credit'!$D:$D=E$16), 0),
MATCH(E$17,'New credit'!$1:$1,0))</f>
        <v>0.86185185185185187</v>
      </c>
      <c r="F215" s="18" cm="1">
        <f t="array" ref="F215">INDEX('New credit'!$A:$O,
MATCH(1,('New credit'!$A:$A=$C215)*('New credit'!$D:$D=F$16), 0),
MATCH(F$17,'New credit'!$1:$1,0))</f>
        <v>0.73040014578009127</v>
      </c>
      <c r="G215" s="18">
        <f>INDEX('New credit'!$A:$O,
MATCH($C215, 'New credit'!$A:$A, 0),
MATCH(G$17, 'New credit'!$1:$1, 0))</f>
        <v>0.15133655318342881</v>
      </c>
      <c r="H215" s="18">
        <v>0.15</v>
      </c>
      <c r="I215" s="18" cm="1">
        <f t="array" ref="I215">INDEX('Limit raise'!$A:$O,
MATCH(1,('Limit raise'!$A:$A=$C215)*('Limit raise'!$D:$D=I$16), 0),
MATCH(I$17,'Limit raise'!$1:$1,0))</f>
        <v>0.70491803278688525</v>
      </c>
      <c r="J215" s="18" cm="1">
        <f t="array" ref="J215">INDEX('Limit raise'!$A:$O,
MATCH(1,('Limit raise'!$A:$A=$C215)*('Limit raise'!$D:$D=J$16), 0),
MATCH(J$17,'Limit raise'!$1:$1,0))</f>
        <v>0.97549999999999992</v>
      </c>
      <c r="K215" s="18" cm="1">
        <f t="array" ref="K215">INDEX('Limit raise'!$A:$O,
MATCH(1,('Limit raise'!$A:$A=$C215)*('Limit raise'!$D:$D=K$16), 0),
MATCH(K$17,'Limit raise'!$1:$1,0))</f>
        <v>0.86523842454664368</v>
      </c>
      <c r="L215" s="18">
        <f>INDEX('Limit raise'!$A:$O,
MATCH($C215, 'Limit raise'!$A:$A, 0),
MATCH(L$17,'Limit raise'!$1:$1,0))</f>
        <v>1.410740841709239E-2</v>
      </c>
      <c r="M215" s="18">
        <v>0.15</v>
      </c>
      <c r="N215" s="18"/>
    </row>
    <row r="216" spans="3:14" s="13" customFormat="1" ht="7.2" customHeight="1" x14ac:dyDescent="0.3">
      <c r="C216" s="17">
        <v>198</v>
      </c>
      <c r="D216" s="18" cm="1">
        <f t="array" ref="D216">INDEX('New credit'!$A:$O,
MATCH(1,('New credit'!$A:$A=$C216)*('New credit'!$D:$D=D$16), 0),
MATCH(D$17,'New credit'!$1:$1,0))</f>
        <v>0.79104477611940294</v>
      </c>
      <c r="E216" s="18" cm="1">
        <f t="array" ref="E216">INDEX('New credit'!$A:$O,
MATCH(1,('New credit'!$A:$A=$C216)*('New credit'!$D:$D=E$16), 0),
MATCH(E$17,'New credit'!$1:$1,0))</f>
        <v>0.83068965517241378</v>
      </c>
      <c r="F216" s="18" cm="1">
        <f t="array" ref="F216">INDEX('New credit'!$A:$O,
MATCH(1,('New credit'!$A:$A=$C216)*('New credit'!$D:$D=F$16), 0),
MATCH(F$17,'New credit'!$1:$1,0))</f>
        <v>0.71302306119292547</v>
      </c>
      <c r="G216" s="18">
        <f>INDEX('New credit'!$A:$O,
MATCH($C216, 'New credit'!$A:$A, 0),
MATCH(G$17, 'New credit'!$1:$1, 0))</f>
        <v>0.1313946932557285</v>
      </c>
      <c r="H216" s="18">
        <v>0.15</v>
      </c>
      <c r="I216" s="18" cm="1">
        <f t="array" ref="I216">INDEX('Limit raise'!$A:$O,
MATCH(1,('Limit raise'!$A:$A=$C216)*('Limit raise'!$D:$D=I$16), 0),
MATCH(I$17,'Limit raise'!$1:$1,0))</f>
        <v>0.7</v>
      </c>
      <c r="J216" s="18" cm="1">
        <f t="array" ref="J216">INDEX('Limit raise'!$A:$O,
MATCH(1,('Limit raise'!$A:$A=$C216)*('Limit raise'!$D:$D=J$16), 0),
MATCH(J$17,'Limit raise'!$1:$1,0))</f>
        <v>0.97599999999999976</v>
      </c>
      <c r="K216" s="18" cm="1">
        <f t="array" ref="K216">INDEX('Limit raise'!$A:$O,
MATCH(1,('Limit raise'!$A:$A=$C216)*('Limit raise'!$D:$D=K$16), 0),
MATCH(K$17,'Limit raise'!$1:$1,0))</f>
        <v>0.86513463677449842</v>
      </c>
      <c r="L216" s="18">
        <f>INDEX('Limit raise'!$A:$O,
MATCH($C216, 'Limit raise'!$A:$A, 0),
MATCH(L$17,'Limit raise'!$1:$1,0))</f>
        <v>1.9923206962817529E-2</v>
      </c>
      <c r="M216" s="18">
        <v>0.15</v>
      </c>
      <c r="N216" s="18"/>
    </row>
    <row r="217" spans="3:14" s="13" customFormat="1" ht="7.2" customHeight="1" x14ac:dyDescent="0.3">
      <c r="C217" s="17">
        <v>199</v>
      </c>
      <c r="D217" s="18" cm="1">
        <f t="array" ref="D217">INDEX('New credit'!$A:$O,
MATCH(1,('New credit'!$A:$A=$C217)*('New credit'!$D:$D=D$16), 0),
MATCH(D$17,'New credit'!$1:$1,0))</f>
        <v>0.71641791044776115</v>
      </c>
      <c r="E217" s="18" cm="1">
        <f t="array" ref="E217">INDEX('New credit'!$A:$O,
MATCH(1,('New credit'!$A:$A=$C217)*('New credit'!$D:$D=E$16), 0),
MATCH(E$17,'New credit'!$1:$1,0))</f>
        <v>0.8665624999999999</v>
      </c>
      <c r="F217" s="18" cm="1">
        <f t="array" ref="F217">INDEX('New credit'!$A:$O,
MATCH(1,('New credit'!$A:$A=$C217)*('New credit'!$D:$D=F$16), 0),
MATCH(F$17,'New credit'!$1:$1,0))</f>
        <v>0.76490967917489661</v>
      </c>
      <c r="G217" s="18">
        <f>INDEX('New credit'!$A:$O,
MATCH($C217, 'New credit'!$A:$A, 0),
MATCH(G$17, 'New credit'!$1:$1, 0))</f>
        <v>1</v>
      </c>
      <c r="H217" s="18">
        <v>0.15</v>
      </c>
      <c r="I217" s="18" cm="1">
        <f t="array" ref="I217">INDEX('Limit raise'!$A:$O,
MATCH(1,('Limit raise'!$A:$A=$C217)*('Limit raise'!$D:$D=I$16), 0),
MATCH(I$17,'Limit raise'!$1:$1,0))</f>
        <v>0.7</v>
      </c>
      <c r="J217" s="18" cm="1">
        <f t="array" ref="J217">INDEX('Limit raise'!$A:$O,
MATCH(1,('Limit raise'!$A:$A=$C217)*('Limit raise'!$D:$D=J$16), 0),
MATCH(J$17,'Limit raise'!$1:$1,0))</f>
        <v>0.97499999999999998</v>
      </c>
      <c r="K217" s="18" cm="1">
        <f t="array" ref="K217">INDEX('Limit raise'!$A:$O,
MATCH(1,('Limit raise'!$A:$A=$C217)*('Limit raise'!$D:$D=K$16), 0),
MATCH(K$17,'Limit raise'!$1:$1,0))</f>
        <v>0.86683111366237353</v>
      </c>
      <c r="L217" s="18">
        <f>INDEX('Limit raise'!$A:$O,
MATCH($C217, 'Limit raise'!$A:$A, 0),
MATCH(L$17,'Limit raise'!$1:$1,0))</f>
        <v>2.228693164863935E-2</v>
      </c>
      <c r="M217" s="18">
        <v>0.15</v>
      </c>
      <c r="N217" s="18"/>
    </row>
    <row r="218" spans="3:14" s="13" customFormat="1" ht="7.2" customHeight="1" x14ac:dyDescent="0.3">
      <c r="C218" s="17">
        <v>200</v>
      </c>
      <c r="D218" s="18" cm="1">
        <f t="array" ref="D218">INDEX('New credit'!$A:$O,
MATCH(1,('New credit'!$A:$A=$C218)*('New credit'!$D:$D=D$16), 0),
MATCH(D$17,'New credit'!$1:$1,0))</f>
        <v>0.73770491803278693</v>
      </c>
      <c r="E218" s="18" cm="1">
        <f t="array" ref="E218">INDEX('New credit'!$A:$O,
MATCH(1,('New credit'!$A:$A=$C218)*('New credit'!$D:$D=E$16), 0),
MATCH(E$17,'New credit'!$1:$1,0))</f>
        <v>0.85571428571428565</v>
      </c>
      <c r="F218" s="18" cm="1">
        <f t="array" ref="F218">INDEX('New credit'!$A:$O,
MATCH(1,('New credit'!$A:$A=$C218)*('New credit'!$D:$D=F$16), 0),
MATCH(F$17,'New credit'!$1:$1,0))</f>
        <v>0.75228820365992788</v>
      </c>
      <c r="G218" s="18">
        <f>INDEX('New credit'!$A:$O,
MATCH($C218, 'New credit'!$A:$A, 0),
MATCH(G$17, 'New credit'!$1:$1, 0))</f>
        <v>0.2420304448783632</v>
      </c>
      <c r="H218" s="18">
        <v>0.15</v>
      </c>
      <c r="I218" s="18" cm="1">
        <f t="array" ref="I218">INDEX('Limit raise'!$A:$O,
MATCH(1,('Limit raise'!$A:$A=$C218)*('Limit raise'!$D:$D=I$16), 0),
MATCH(I$17,'Limit raise'!$1:$1,0))</f>
        <v>0.7</v>
      </c>
      <c r="J218" s="18" cm="1">
        <f t="array" ref="J218">INDEX('Limit raise'!$A:$O,
MATCH(1,('Limit raise'!$A:$A=$C218)*('Limit raise'!$D:$D=J$16), 0),
MATCH(J$17,'Limit raise'!$1:$1,0))</f>
        <v>0.97399999999999998</v>
      </c>
      <c r="K218" s="18" cm="1">
        <f t="array" ref="K218">INDEX('Limit raise'!$A:$O,
MATCH(1,('Limit raise'!$A:$A=$C218)*('Limit raise'!$D:$D=K$16), 0),
MATCH(K$17,'Limit raise'!$1:$1,0))</f>
        <v>0.86775416778651915</v>
      </c>
      <c r="L218" s="18">
        <f>INDEX('Limit raise'!$A:$O,
MATCH($C218, 'Limit raise'!$A:$A, 0),
MATCH(L$17,'Limit raise'!$1:$1,0))</f>
        <v>2.293290040957353E-2</v>
      </c>
      <c r="M218" s="18">
        <v>0.15</v>
      </c>
      <c r="N218" s="18"/>
    </row>
    <row r="219" spans="3:14" s="13" customFormat="1" ht="7.2" customHeight="1" x14ac:dyDescent="0.3">
      <c r="C219" s="17">
        <v>201</v>
      </c>
      <c r="D219" s="18" cm="1">
        <f t="array" ref="D219">INDEX('New credit'!$A:$O,
MATCH(1,('New credit'!$A:$A=$C219)*('New credit'!$D:$D=D$16), 0),
MATCH(D$17,'New credit'!$1:$1,0))</f>
        <v>0.70491803278688525</v>
      </c>
      <c r="E219" s="18" cm="1">
        <f t="array" ref="E219">INDEX('New credit'!$A:$O,
MATCH(1,('New credit'!$A:$A=$C219)*('New credit'!$D:$D=E$16), 0),
MATCH(E$17,'New credit'!$1:$1,0))</f>
        <v>0.86437499999999989</v>
      </c>
      <c r="F219" s="18" cm="1">
        <f t="array" ref="F219">INDEX('New credit'!$A:$O,
MATCH(1,('New credit'!$A:$A=$C219)*('New credit'!$D:$D=F$16), 0),
MATCH(F$17,'New credit'!$1:$1,0))</f>
        <v>0.75841350266591978</v>
      </c>
      <c r="G219" s="18">
        <f>INDEX('New credit'!$A:$O,
MATCH($C219, 'New credit'!$A:$A, 0),
MATCH(G$17, 'New credit'!$1:$1, 0))</f>
        <v>1</v>
      </c>
      <c r="H219" s="18">
        <v>0.15</v>
      </c>
      <c r="I219" s="18" cm="1">
        <f t="array" ref="I219">INDEX('Limit raise'!$A:$O,
MATCH(1,('Limit raise'!$A:$A=$C219)*('Limit raise'!$D:$D=I$16), 0),
MATCH(I$17,'Limit raise'!$1:$1,0))</f>
        <v>0.69354838709677424</v>
      </c>
      <c r="J219" s="18" cm="1">
        <f t="array" ref="J219">INDEX('Limit raise'!$A:$O,
MATCH(1,('Limit raise'!$A:$A=$C219)*('Limit raise'!$D:$D=J$16), 0),
MATCH(J$17,'Limit raise'!$1:$1,0))</f>
        <v>0.97399999999999998</v>
      </c>
      <c r="K219" s="18" cm="1">
        <f t="array" ref="K219">INDEX('Limit raise'!$A:$O,
MATCH(1,('Limit raise'!$A:$A=$C219)*('Limit raise'!$D:$D=K$16), 0),
MATCH(K$17,'Limit raise'!$1:$1,0))</f>
        <v>0.87173951517096115</v>
      </c>
      <c r="L219" s="18">
        <f>INDEX('Limit raise'!$A:$O,
MATCH($C219, 'Limit raise'!$A:$A, 0),
MATCH(L$17,'Limit raise'!$1:$1,0))</f>
        <v>1</v>
      </c>
      <c r="M219" s="18">
        <v>0.15</v>
      </c>
      <c r="N219" s="18"/>
    </row>
    <row r="220" spans="3:14" s="13" customFormat="1" ht="7.2" customHeight="1" x14ac:dyDescent="0.3">
      <c r="C220" s="17">
        <v>202</v>
      </c>
      <c r="D220" s="18" cm="1">
        <f t="array" ref="D220">INDEX('New credit'!$A:$O,
MATCH(1,('New credit'!$A:$A=$C220)*('New credit'!$D:$D=D$16), 0),
MATCH(D$17,'New credit'!$1:$1,0))</f>
        <v>0.76271186440677963</v>
      </c>
      <c r="E220" s="18" cm="1">
        <f t="array" ref="E220">INDEX('New credit'!$A:$O,
MATCH(1,('New credit'!$A:$A=$C220)*('New credit'!$D:$D=E$16), 0),
MATCH(E$17,'New credit'!$1:$1,0))</f>
        <v>0.85781249999999987</v>
      </c>
      <c r="F220" s="18" cm="1">
        <f t="array" ref="F220">INDEX('New credit'!$A:$O,
MATCH(1,('New credit'!$A:$A=$C220)*('New credit'!$D:$D=F$16), 0),
MATCH(F$17,'New credit'!$1:$1,0))</f>
        <v>0.68586686914589712</v>
      </c>
      <c r="G220" s="18">
        <f>INDEX('New credit'!$A:$O,
MATCH($C220, 'New credit'!$A:$A, 0),
MATCH(G$17, 'New credit'!$1:$1, 0))</f>
        <v>0.1120578607286815</v>
      </c>
      <c r="H220" s="18">
        <v>0.15</v>
      </c>
      <c r="I220" s="18" cm="1">
        <f t="array" ref="I220">INDEX('Limit raise'!$A:$O,
MATCH(1,('Limit raise'!$A:$A=$C220)*('Limit raise'!$D:$D=I$16), 0),
MATCH(I$17,'Limit raise'!$1:$1,0))</f>
        <v>0.68253968253968256</v>
      </c>
      <c r="J220" s="18" cm="1">
        <f t="array" ref="J220">INDEX('Limit raise'!$A:$O,
MATCH(1,('Limit raise'!$A:$A=$C220)*('Limit raise'!$D:$D=J$16), 0),
MATCH(J$17,'Limit raise'!$1:$1,0))</f>
        <v>0.97350000000000014</v>
      </c>
      <c r="K220" s="18" cm="1">
        <f t="array" ref="K220">INDEX('Limit raise'!$A:$O,
MATCH(1,('Limit raise'!$A:$A=$C220)*('Limit raise'!$D:$D=K$16), 0),
MATCH(K$17,'Limit raise'!$1:$1,0))</f>
        <v>0.88746239798528215</v>
      </c>
      <c r="L220" s="18">
        <f>INDEX('Limit raise'!$A:$O,
MATCH($C220, 'Limit raise'!$A:$A, 0),
MATCH(L$17,'Limit raise'!$1:$1,0))</f>
        <v>1.6611543044852441E-2</v>
      </c>
      <c r="M220" s="18">
        <v>0.15</v>
      </c>
      <c r="N220" s="18"/>
    </row>
    <row r="221" spans="3:14" s="13" customFormat="1" ht="7.2" customHeight="1" x14ac:dyDescent="0.3">
      <c r="C221" s="17">
        <v>203</v>
      </c>
      <c r="D221" s="18" cm="1">
        <f t="array" ref="D221">INDEX('New credit'!$A:$O,
MATCH(1,('New credit'!$A:$A=$C221)*('New credit'!$D:$D=D$16), 0),
MATCH(D$17,'New credit'!$1:$1,0))</f>
        <v>0.71186440677966101</v>
      </c>
      <c r="E221" s="18" cm="1">
        <f t="array" ref="E221">INDEX('New credit'!$A:$O,
MATCH(1,('New credit'!$A:$A=$C221)*('New credit'!$D:$D=E$16), 0),
MATCH(E$17,'New credit'!$1:$1,0))</f>
        <v>0.85925925925925928</v>
      </c>
      <c r="F221" s="18" cm="1">
        <f t="array" ref="F221">INDEX('New credit'!$A:$O,
MATCH(1,('New credit'!$A:$A=$C221)*('New credit'!$D:$D=F$16), 0),
MATCH(F$17,'New credit'!$1:$1,0))</f>
        <v>0.72146608730551665</v>
      </c>
      <c r="G221" s="18">
        <f>INDEX('New credit'!$A:$O,
MATCH($C221, 'New credit'!$A:$A, 0),
MATCH(G$17, 'New credit'!$1:$1, 0))</f>
        <v>0.17086816434435231</v>
      </c>
      <c r="H221" s="18">
        <v>0.15</v>
      </c>
      <c r="I221" s="18" cm="1">
        <f t="array" ref="I221">INDEX('Limit raise'!$A:$O,
MATCH(1,('Limit raise'!$A:$A=$C221)*('Limit raise'!$D:$D=I$16), 0),
MATCH(I$17,'Limit raise'!$1:$1,0))</f>
        <v>0.68253968253968256</v>
      </c>
      <c r="J221" s="18" cm="1">
        <f t="array" ref="J221">INDEX('Limit raise'!$A:$O,
MATCH(1,('Limit raise'!$A:$A=$C221)*('Limit raise'!$D:$D=J$16), 0),
MATCH(J$17,'Limit raise'!$1:$1,0))</f>
        <v>0.97399999999999998</v>
      </c>
      <c r="K221" s="18" cm="1">
        <f t="array" ref="K221">INDEX('Limit raise'!$A:$O,
MATCH(1,('Limit raise'!$A:$A=$C221)*('Limit raise'!$D:$D=K$16), 0),
MATCH(K$17,'Limit raise'!$1:$1,0))</f>
        <v>0.88589217292401168</v>
      </c>
      <c r="L221" s="18">
        <f>INDEX('Limit raise'!$A:$O,
MATCH($C221, 'Limit raise'!$A:$A, 0),
MATCH(L$17,'Limit raise'!$1:$1,0))</f>
        <v>1.9976569712556701E-2</v>
      </c>
      <c r="M221" s="18">
        <v>0.15</v>
      </c>
      <c r="N221" s="18"/>
    </row>
    <row r="222" spans="3:14" s="13" customFormat="1" ht="7.2" customHeight="1" x14ac:dyDescent="0.3">
      <c r="C222" s="17">
        <v>204</v>
      </c>
      <c r="D222" s="18" cm="1">
        <f t="array" ref="D222">INDEX('New credit'!$A:$O,
MATCH(1,('New credit'!$A:$A=$C222)*('New credit'!$D:$D=D$16), 0),
MATCH(D$17,'New credit'!$1:$1,0))</f>
        <v>0.703125</v>
      </c>
      <c r="E222" s="18" cm="1">
        <f t="array" ref="E222">INDEX('New credit'!$A:$O,
MATCH(1,('New credit'!$A:$A=$C222)*('New credit'!$D:$D=E$16), 0),
MATCH(E$17,'New credit'!$1:$1,0))</f>
        <v>0.85444444444444434</v>
      </c>
      <c r="F222" s="18" cm="1">
        <f t="array" ref="F222">INDEX('New credit'!$A:$O,
MATCH(1,('New credit'!$A:$A=$C222)*('New credit'!$D:$D=F$16), 0),
MATCH(F$17,'New credit'!$1:$1,0))</f>
        <v>0.7219273337543769</v>
      </c>
      <c r="G222" s="18">
        <f>INDEX('New credit'!$A:$O,
MATCH($C222, 'New credit'!$A:$A, 0),
MATCH(G$17, 'New credit'!$1:$1, 0))</f>
        <v>0.12757810241491779</v>
      </c>
      <c r="H222" s="18">
        <v>0.15</v>
      </c>
      <c r="I222" s="18" cm="1">
        <f t="array" ref="I222">INDEX('Limit raise'!$A:$O,
MATCH(1,('Limit raise'!$A:$A=$C222)*('Limit raise'!$D:$D=I$16), 0),
MATCH(I$17,'Limit raise'!$1:$1,0))</f>
        <v>0.68253968253968256</v>
      </c>
      <c r="J222" s="18" cm="1">
        <f t="array" ref="J222">INDEX('Limit raise'!$A:$O,
MATCH(1,('Limit raise'!$A:$A=$C222)*('Limit raise'!$D:$D=J$16), 0),
MATCH(J$17,'Limit raise'!$1:$1,0))</f>
        <v>0.97399999999999998</v>
      </c>
      <c r="K222" s="18" cm="1">
        <f t="array" ref="K222">INDEX('Limit raise'!$A:$O,
MATCH(1,('Limit raise'!$A:$A=$C222)*('Limit raise'!$D:$D=K$16), 0),
MATCH(K$17,'Limit raise'!$1:$1,0))</f>
        <v>0.88395469486474376</v>
      </c>
      <c r="L222" s="18">
        <f>INDEX('Limit raise'!$A:$O,
MATCH($C222, 'Limit raise'!$A:$A, 0),
MATCH(L$17,'Limit raise'!$1:$1,0))</f>
        <v>2.20077912041854E-2</v>
      </c>
      <c r="M222" s="18">
        <v>0.15</v>
      </c>
      <c r="N222" s="18"/>
    </row>
    <row r="223" spans="3:14" s="13" customFormat="1" ht="7.2" customHeight="1" x14ac:dyDescent="0.3">
      <c r="C223" s="17">
        <v>205</v>
      </c>
      <c r="D223" s="18" cm="1">
        <f t="array" ref="D223">INDEX('New credit'!$A:$O,
MATCH(1,('New credit'!$A:$A=$C223)*('New credit'!$D:$D=D$16), 0),
MATCH(D$17,'New credit'!$1:$1,0))</f>
        <v>0.68181818181818177</v>
      </c>
      <c r="E223" s="18" cm="1">
        <f t="array" ref="E223">INDEX('New credit'!$A:$O,
MATCH(1,('New credit'!$A:$A=$C223)*('New credit'!$D:$D=E$16), 0),
MATCH(E$17,'New credit'!$1:$1,0))</f>
        <v>0.82592592592592584</v>
      </c>
      <c r="F223" s="18" cm="1">
        <f t="array" ref="F223">INDEX('New credit'!$A:$O,
MATCH(1,('New credit'!$A:$A=$C223)*('New credit'!$D:$D=F$16), 0),
MATCH(F$17,'New credit'!$1:$1,0))</f>
        <v>0.721605209283117</v>
      </c>
      <c r="G223" s="18">
        <f>INDEX('New credit'!$A:$O,
MATCH($C223, 'New credit'!$A:$A, 0),
MATCH(G$17, 'New credit'!$1:$1, 0))</f>
        <v>0.13446403293058681</v>
      </c>
      <c r="H223" s="18">
        <v>0.15</v>
      </c>
      <c r="I223" s="18" cm="1">
        <f t="array" ref="I223">INDEX('Limit raise'!$A:$O,
MATCH(1,('Limit raise'!$A:$A=$C223)*('Limit raise'!$D:$D=I$16), 0),
MATCH(I$17,'Limit raise'!$1:$1,0))</f>
        <v>0.67741935483870963</v>
      </c>
      <c r="J223" s="18" cm="1">
        <f t="array" ref="J223">INDEX('Limit raise'!$A:$O,
MATCH(1,('Limit raise'!$A:$A=$C223)*('Limit raise'!$D:$D=J$16), 0),
MATCH(J$17,'Limit raise'!$1:$1,0))</f>
        <v>0.97789473684210537</v>
      </c>
      <c r="K223" s="18" cm="1">
        <f t="array" ref="K223">INDEX('Limit raise'!$A:$O,
MATCH(1,('Limit raise'!$A:$A=$C223)*('Limit raise'!$D:$D=K$16), 0),
MATCH(K$17,'Limit raise'!$1:$1,0))</f>
        <v>0.867587019968176</v>
      </c>
      <c r="L223" s="18">
        <f>INDEX('Limit raise'!$A:$O,
MATCH($C223, 'Limit raise'!$A:$A, 0),
MATCH(L$17,'Limit raise'!$1:$1,0))</f>
        <v>3.0809012521178871E-2</v>
      </c>
      <c r="M223" s="18">
        <v>0.15</v>
      </c>
      <c r="N223" s="18"/>
    </row>
    <row r="224" spans="3:14" s="13" customFormat="1" ht="7.2" customHeight="1" x14ac:dyDescent="0.3">
      <c r="C224" s="17">
        <v>206</v>
      </c>
      <c r="D224" s="18" cm="1">
        <f t="array" ref="D224">INDEX('New credit'!$A:$O,
MATCH(1,('New credit'!$A:$A=$C224)*('New credit'!$D:$D=D$16), 0),
MATCH(D$17,'New credit'!$1:$1,0))</f>
        <v>0.66666666666666663</v>
      </c>
      <c r="E224" s="18" cm="1">
        <f t="array" ref="E224">INDEX('New credit'!$A:$O,
MATCH(1,('New credit'!$A:$A=$C224)*('New credit'!$D:$D=E$16), 0),
MATCH(E$17,'New credit'!$1:$1,0))</f>
        <v>0.85482758620689625</v>
      </c>
      <c r="F224" s="18" cm="1">
        <f t="array" ref="F224">INDEX('New credit'!$A:$O,
MATCH(1,('New credit'!$A:$A=$C224)*('New credit'!$D:$D=F$16), 0),
MATCH(F$17,'New credit'!$1:$1,0))</f>
        <v>0.76771676944011569</v>
      </c>
      <c r="G224" s="18">
        <f>INDEX('New credit'!$A:$O,
MATCH($C224, 'New credit'!$A:$A, 0),
MATCH(G$17, 'New credit'!$1:$1, 0))</f>
        <v>0.17699958048757999</v>
      </c>
      <c r="H224" s="18">
        <v>0.15</v>
      </c>
      <c r="I224" s="18" cm="1">
        <f t="array" ref="I224">INDEX('Limit raise'!$A:$O,
MATCH(1,('Limit raise'!$A:$A=$C224)*('Limit raise'!$D:$D=I$16), 0),
MATCH(I$17,'Limit raise'!$1:$1,0))</f>
        <v>0.65079365079365081</v>
      </c>
      <c r="J224" s="18" cm="1">
        <f t="array" ref="J224">INDEX('Limit raise'!$A:$O,
MATCH(1,('Limit raise'!$A:$A=$C224)*('Limit raise'!$D:$D=J$16), 0),
MATCH(J$17,'Limit raise'!$1:$1,0))</f>
        <v>0.97842105263157897</v>
      </c>
      <c r="K224" s="18" cm="1">
        <f t="array" ref="K224">INDEX('Limit raise'!$A:$O,
MATCH(1,('Limit raise'!$A:$A=$C224)*('Limit raise'!$D:$D=K$16), 0),
MATCH(K$17,'Limit raise'!$1:$1,0))</f>
        <v>0.86827613861345132</v>
      </c>
      <c r="L224" s="18">
        <f>INDEX('Limit raise'!$A:$O,
MATCH($C224, 'Limit raise'!$A:$A, 0),
MATCH(L$17,'Limit raise'!$1:$1,0))</f>
        <v>3.4989312279448202E-2</v>
      </c>
      <c r="M224" s="18">
        <v>0.15</v>
      </c>
      <c r="N224" s="18"/>
    </row>
    <row r="225" spans="3:14" s="13" customFormat="1" ht="7.2" customHeight="1" x14ac:dyDescent="0.3">
      <c r="C225" s="17">
        <v>207</v>
      </c>
      <c r="D225" s="18" cm="1">
        <f t="array" ref="D225">INDEX('New credit'!$A:$O,
MATCH(1,('New credit'!$A:$A=$C225)*('New credit'!$D:$D=D$16), 0),
MATCH(D$17,'New credit'!$1:$1,0))</f>
        <v>0.68656716417910446</v>
      </c>
      <c r="E225" s="18" cm="1">
        <f t="array" ref="E225">INDEX('New credit'!$A:$O,
MATCH(1,('New credit'!$A:$A=$C225)*('New credit'!$D:$D=E$16), 0),
MATCH(E$17,'New credit'!$1:$1,0))</f>
        <v>0.89076923076923054</v>
      </c>
      <c r="F225" s="18" cm="1">
        <f t="array" ref="F225">INDEX('New credit'!$A:$O,
MATCH(1,('New credit'!$A:$A=$C225)*('New credit'!$D:$D=F$16), 0),
MATCH(F$17,'New credit'!$1:$1,0))</f>
        <v>0.77670031302057851</v>
      </c>
      <c r="G225" s="18">
        <f>INDEX('New credit'!$A:$O,
MATCH($C225, 'New credit'!$A:$A, 0),
MATCH(G$17, 'New credit'!$1:$1, 0))</f>
        <v>1</v>
      </c>
      <c r="H225" s="18">
        <v>0.15</v>
      </c>
      <c r="I225" s="18" cm="1">
        <f t="array" ref="I225">INDEX('Limit raise'!$A:$O,
MATCH(1,('Limit raise'!$A:$A=$C225)*('Limit raise'!$D:$D=I$16), 0),
MATCH(I$17,'Limit raise'!$1:$1,0))</f>
        <v>0.65079365079365081</v>
      </c>
      <c r="J225" s="18" cm="1">
        <f t="array" ref="J225">INDEX('Limit raise'!$A:$O,
MATCH(1,('Limit raise'!$A:$A=$C225)*('Limit raise'!$D:$D=J$16), 0),
MATCH(J$17,'Limit raise'!$1:$1,0))</f>
        <v>0.97399999999999998</v>
      </c>
      <c r="K225" s="18" cm="1">
        <f t="array" ref="K225">INDEX('Limit raise'!$A:$O,
MATCH(1,('Limit raise'!$A:$A=$C225)*('Limit raise'!$D:$D=K$16), 0),
MATCH(K$17,'Limit raise'!$1:$1,0))</f>
        <v>0.868017592872244</v>
      </c>
      <c r="L225" s="18">
        <f>INDEX('Limit raise'!$A:$O,
MATCH($C225, 'Limit raise'!$A:$A, 0),
MATCH(L$17,'Limit raise'!$1:$1,0))</f>
        <v>3.7078760767733039E-2</v>
      </c>
      <c r="M225" s="18">
        <v>0.15</v>
      </c>
      <c r="N225" s="18"/>
    </row>
    <row r="226" spans="3:14" s="13" customFormat="1" ht="7.2" customHeight="1" x14ac:dyDescent="0.3">
      <c r="C226" s="17">
        <v>208</v>
      </c>
      <c r="D226" s="18" cm="1">
        <f t="array" ref="D226">INDEX('New credit'!$A:$O,
MATCH(1,('New credit'!$A:$A=$C226)*('New credit'!$D:$D=D$16), 0),
MATCH(D$17,'New credit'!$1:$1,0))</f>
        <v>0.73770491803278693</v>
      </c>
      <c r="E226" s="18" cm="1">
        <f t="array" ref="E226">INDEX('New credit'!$A:$O,
MATCH(1,('New credit'!$A:$A=$C226)*('New credit'!$D:$D=E$16), 0),
MATCH(E$17,'New credit'!$1:$1,0))</f>
        <v>0.88608695652173908</v>
      </c>
      <c r="F226" s="18" cm="1">
        <f t="array" ref="F226">INDEX('New credit'!$A:$O,
MATCH(1,('New credit'!$A:$A=$C226)*('New credit'!$D:$D=F$16), 0),
MATCH(F$17,'New credit'!$1:$1,0))</f>
        <v>0.75430232508784256</v>
      </c>
      <c r="G226" s="18">
        <f>INDEX('New credit'!$A:$O,
MATCH($C226, 'New credit'!$A:$A, 0),
MATCH(G$17, 'New credit'!$1:$1, 0))</f>
        <v>0.1232029956076517</v>
      </c>
      <c r="H226" s="18">
        <v>0.15</v>
      </c>
      <c r="I226" s="18" cm="1">
        <f t="array" ref="I226">INDEX('Limit raise'!$A:$O,
MATCH(1,('Limit raise'!$A:$A=$C226)*('Limit raise'!$D:$D=I$16), 0),
MATCH(I$17,'Limit raise'!$1:$1,0))</f>
        <v>0.65079365079365081</v>
      </c>
      <c r="J226" s="18" cm="1">
        <f t="array" ref="J226">INDEX('Limit raise'!$A:$O,
MATCH(1,('Limit raise'!$A:$A=$C226)*('Limit raise'!$D:$D=J$16), 0),
MATCH(J$17,'Limit raise'!$1:$1,0))</f>
        <v>0.97499999999999998</v>
      </c>
      <c r="K226" s="18" cm="1">
        <f t="array" ref="K226">INDEX('Limit raise'!$A:$O,
MATCH(1,('Limit raise'!$A:$A=$C226)*('Limit raise'!$D:$D=K$16), 0),
MATCH(K$17,'Limit raise'!$1:$1,0))</f>
        <v>0.8681810414936324</v>
      </c>
      <c r="L226" s="18">
        <f>INDEX('Limit raise'!$A:$O,
MATCH($C226, 'Limit raise'!$A:$A, 0),
MATCH(L$17,'Limit raise'!$1:$1,0))</f>
        <v>3.7670005544948967E-2</v>
      </c>
      <c r="M226" s="18">
        <v>0.15</v>
      </c>
      <c r="N226" s="18"/>
    </row>
    <row r="227" spans="3:14" s="13" customFormat="1" ht="7.2" customHeight="1" x14ac:dyDescent="0.3">
      <c r="C227" s="17">
        <v>209</v>
      </c>
      <c r="D227" s="18" cm="1">
        <f t="array" ref="D227">INDEX('New credit'!$A:$O,
MATCH(1,('New credit'!$A:$A=$C227)*('New credit'!$D:$D=D$16), 0),
MATCH(D$17,'New credit'!$1:$1,0))</f>
        <v>0.80769230769230771</v>
      </c>
      <c r="E227" s="18" cm="1">
        <f t="array" ref="E227">INDEX('New credit'!$A:$O,
MATCH(1,('New credit'!$A:$A=$C227)*('New credit'!$D:$D=E$16), 0),
MATCH(E$17,'New credit'!$1:$1,0))</f>
        <v>0.84481481481481491</v>
      </c>
      <c r="F227" s="18" cm="1">
        <f t="array" ref="F227">INDEX('New credit'!$A:$O,
MATCH(1,('New credit'!$A:$A=$C227)*('New credit'!$D:$D=F$16), 0),
MATCH(F$17,'New credit'!$1:$1,0))</f>
        <v>0.70392107038755669</v>
      </c>
      <c r="G227" s="18">
        <f>INDEX('New credit'!$A:$O,
MATCH($C227, 'New credit'!$A:$A, 0),
MATCH(G$17, 'New credit'!$1:$1, 0))</f>
        <v>0.20968270783100451</v>
      </c>
      <c r="H227" s="18">
        <v>0.15</v>
      </c>
      <c r="I227" s="18" cm="1">
        <f t="array" ref="I227">INDEX('Limit raise'!$A:$O,
MATCH(1,('Limit raise'!$A:$A=$C227)*('Limit raise'!$D:$D=I$16), 0),
MATCH(I$17,'Limit raise'!$1:$1,0))</f>
        <v>0.65079365079365081</v>
      </c>
      <c r="J227" s="18" cm="1">
        <f t="array" ref="J227">INDEX('Limit raise'!$A:$O,
MATCH(1,('Limit raise'!$A:$A=$C227)*('Limit raise'!$D:$D=J$16), 0),
MATCH(J$17,'Limit raise'!$1:$1,0))</f>
        <v>0.97499999999999998</v>
      </c>
      <c r="K227" s="18" cm="1">
        <f t="array" ref="K227">INDEX('Limit raise'!$A:$O,
MATCH(1,('Limit raise'!$A:$A=$C227)*('Limit raise'!$D:$D=K$16), 0),
MATCH(K$17,'Limit raise'!$1:$1,0))</f>
        <v>0.85074368662408528</v>
      </c>
      <c r="L227" s="18">
        <f>INDEX('Limit raise'!$A:$O,
MATCH($C227, 'Limit raise'!$A:$A, 0),
MATCH(L$17,'Limit raise'!$1:$1,0))</f>
        <v>3.8600082515959012E-2</v>
      </c>
      <c r="M227" s="18">
        <v>0.15</v>
      </c>
      <c r="N227" s="18"/>
    </row>
    <row r="228" spans="3:14" s="13" customFormat="1" ht="7.2" customHeight="1" x14ac:dyDescent="0.3">
      <c r="C228" s="17">
        <v>210</v>
      </c>
      <c r="D228" s="18" cm="1">
        <f t="array" ref="D228">INDEX('New credit'!$A:$O,
MATCH(1,('New credit'!$A:$A=$C228)*('New credit'!$D:$D=D$16), 0),
MATCH(D$17,'New credit'!$1:$1,0))</f>
        <v>0.77083333333333337</v>
      </c>
      <c r="E228" s="18" cm="1">
        <f t="array" ref="E228">INDEX('New credit'!$A:$O,
MATCH(1,('New credit'!$A:$A=$C228)*('New credit'!$D:$D=E$16), 0),
MATCH(E$17,'New credit'!$1:$1,0))</f>
        <v>0.83535714285714258</v>
      </c>
      <c r="F228" s="18" cm="1">
        <f t="array" ref="F228">INDEX('New credit'!$A:$O,
MATCH(1,('New credit'!$A:$A=$C228)*('New credit'!$D:$D=F$16), 0),
MATCH(F$17,'New credit'!$1:$1,0))</f>
        <v>0.56801206071121646</v>
      </c>
      <c r="G228" s="18">
        <f>INDEX('New credit'!$A:$O,
MATCH($C228, 'New credit'!$A:$A, 0),
MATCH(G$17, 'New credit'!$1:$1, 0))</f>
        <v>0.1364215336225664</v>
      </c>
      <c r="H228" s="18">
        <v>0.15</v>
      </c>
      <c r="I228" s="18" cm="1">
        <f t="array" ref="I228">INDEX('Limit raise'!$A:$O,
MATCH(1,('Limit raise'!$A:$A=$C228)*('Limit raise'!$D:$D=I$16), 0),
MATCH(I$17,'Limit raise'!$1:$1,0))</f>
        <v>0.65079365079365081</v>
      </c>
      <c r="J228" s="18" cm="1">
        <f t="array" ref="J228">INDEX('Limit raise'!$A:$O,
MATCH(1,('Limit raise'!$A:$A=$C228)*('Limit raise'!$D:$D=J$16), 0),
MATCH(J$17,'Limit raise'!$1:$1,0))</f>
        <v>0.97499999999999998</v>
      </c>
      <c r="K228" s="18" cm="1">
        <f t="array" ref="K228">INDEX('Limit raise'!$A:$O,
MATCH(1,('Limit raise'!$A:$A=$C228)*('Limit raise'!$D:$D=K$16), 0),
MATCH(K$17,'Limit raise'!$1:$1,0))</f>
        <v>0.8513113634383046</v>
      </c>
      <c r="L228" s="18">
        <f>INDEX('Limit raise'!$A:$O,
MATCH($C228, 'Limit raise'!$A:$A, 0),
MATCH(L$17,'Limit raise'!$1:$1,0))</f>
        <v>3.902450197534197E-2</v>
      </c>
      <c r="M228" s="18">
        <v>0.15</v>
      </c>
      <c r="N228" s="18"/>
    </row>
    <row r="229" spans="3:14" s="13" customFormat="1" ht="7.2" customHeight="1" x14ac:dyDescent="0.3">
      <c r="C229" s="17">
        <v>211</v>
      </c>
      <c r="D229" s="18" cm="1">
        <f t="array" ref="D229">INDEX('New credit'!$A:$O,
MATCH(1,('New credit'!$A:$A=$C229)*('New credit'!$D:$D=D$16), 0),
MATCH(D$17,'New credit'!$1:$1,0))</f>
        <v>0.76470588235294112</v>
      </c>
      <c r="E229" s="18" cm="1">
        <f t="array" ref="E229">INDEX('New credit'!$A:$O,
MATCH(1,('New credit'!$A:$A=$C229)*('New credit'!$D:$D=E$16), 0),
MATCH(E$17,'New credit'!$1:$1,0))</f>
        <v>0.8407407407407409</v>
      </c>
      <c r="F229" s="18" cm="1">
        <f t="array" ref="F229">INDEX('New credit'!$A:$O,
MATCH(1,('New credit'!$A:$A=$C229)*('New credit'!$D:$D=F$16), 0),
MATCH(F$17,'New credit'!$1:$1,0))</f>
        <v>0.6701262804012279</v>
      </c>
      <c r="G229" s="18">
        <f>INDEX('New credit'!$A:$O,
MATCH($C229, 'New credit'!$A:$A, 0),
MATCH(G$17, 'New credit'!$1:$1, 0))</f>
        <v>0.24325206973419811</v>
      </c>
      <c r="H229" s="18">
        <v>0.15</v>
      </c>
      <c r="I229" s="18" cm="1">
        <f t="array" ref="I229">INDEX('Limit raise'!$A:$O,
MATCH(1,('Limit raise'!$A:$A=$C229)*('Limit raise'!$D:$D=I$16), 0),
MATCH(I$17,'Limit raise'!$1:$1,0))</f>
        <v>0.65079365079365081</v>
      </c>
      <c r="J229" s="18" cm="1">
        <f t="array" ref="J229">INDEX('Limit raise'!$A:$O,
MATCH(1,('Limit raise'!$A:$A=$C229)*('Limit raise'!$D:$D=J$16), 0),
MATCH(J$17,'Limit raise'!$1:$1,0))</f>
        <v>0.97549999999999992</v>
      </c>
      <c r="K229" s="18" cm="1">
        <f t="array" ref="K229">INDEX('Limit raise'!$A:$O,
MATCH(1,('Limit raise'!$A:$A=$C229)*('Limit raise'!$D:$D=K$16), 0),
MATCH(K$17,'Limit raise'!$1:$1,0))</f>
        <v>0.84592246396275417</v>
      </c>
      <c r="L229" s="18">
        <f>INDEX('Limit raise'!$A:$O,
MATCH($C229, 'Limit raise'!$A:$A, 0),
MATCH(L$17,'Limit raise'!$1:$1,0))</f>
        <v>4.0587765312256413E-2</v>
      </c>
      <c r="M229" s="18">
        <v>0.15</v>
      </c>
      <c r="N229" s="18"/>
    </row>
    <row r="230" spans="3:14" s="13" customFormat="1" ht="7.2" customHeight="1" x14ac:dyDescent="0.3">
      <c r="C230" s="17">
        <v>212</v>
      </c>
      <c r="D230" s="18" cm="1">
        <f t="array" ref="D230">INDEX('New credit'!$A:$O,
MATCH(1,('New credit'!$A:$A=$C230)*('New credit'!$D:$D=D$16), 0),
MATCH(D$17,'New credit'!$1:$1,0))</f>
        <v>0.70909090909090911</v>
      </c>
      <c r="E230" s="18" cm="1">
        <f t="array" ref="E230">INDEX('New credit'!$A:$O,
MATCH(1,('New credit'!$A:$A=$C230)*('New credit'!$D:$D=E$16), 0),
MATCH(E$17,'New credit'!$1:$1,0))</f>
        <v>0.84896551724137925</v>
      </c>
      <c r="F230" s="18" cm="1">
        <f t="array" ref="F230">INDEX('New credit'!$A:$O,
MATCH(1,('New credit'!$A:$A=$C230)*('New credit'!$D:$D=F$16), 0),
MATCH(F$17,'New credit'!$1:$1,0))</f>
        <v>0.60991642363925025</v>
      </c>
      <c r="G230" s="18">
        <f>INDEX('New credit'!$A:$O,
MATCH($C230, 'New credit'!$A:$A, 0),
MATCH(G$17, 'New credit'!$1:$1, 0))</f>
        <v>0.1237791971523865</v>
      </c>
      <c r="H230" s="18">
        <v>0.15</v>
      </c>
      <c r="I230" s="18" cm="1">
        <f t="array" ref="I230">INDEX('Limit raise'!$A:$O,
MATCH(1,('Limit raise'!$A:$A=$C230)*('Limit raise'!$D:$D=I$16), 0),
MATCH(I$17,'Limit raise'!$1:$1,0))</f>
        <v>0.640625</v>
      </c>
      <c r="J230" s="18" cm="1">
        <f t="array" ref="J230">INDEX('Limit raise'!$A:$O,
MATCH(1,('Limit raise'!$A:$A=$C230)*('Limit raise'!$D:$D=J$16), 0),
MATCH(J$17,'Limit raise'!$1:$1,0))</f>
        <v>0.92857142857142871</v>
      </c>
      <c r="K230" s="18" cm="1">
        <f t="array" ref="K230">INDEX('Limit raise'!$A:$O,
MATCH(1,('Limit raise'!$A:$A=$C230)*('Limit raise'!$D:$D=K$16), 0),
MATCH(K$17,'Limit raise'!$1:$1,0))</f>
        <v>0.84204467830335761</v>
      </c>
      <c r="L230" s="18">
        <f>INDEX('Limit raise'!$A:$O,
MATCH($C230, 'Limit raise'!$A:$A, 0),
MATCH(L$17,'Limit raise'!$1:$1,0))</f>
        <v>4.6932491359326867E-2</v>
      </c>
      <c r="M230" s="18">
        <v>0.15</v>
      </c>
      <c r="N230" s="18"/>
    </row>
    <row r="231" spans="3:14" s="13" customFormat="1" ht="7.2" customHeight="1" x14ac:dyDescent="0.3">
      <c r="C231" s="17">
        <v>213</v>
      </c>
      <c r="D231" s="18" cm="1">
        <f t="array" ref="D231">INDEX('New credit'!$A:$O,
MATCH(1,('New credit'!$A:$A=$C231)*('New credit'!$D:$D=D$16), 0),
MATCH(D$17,'New credit'!$1:$1,0))</f>
        <v>0.70175438596491224</v>
      </c>
      <c r="E231" s="18" cm="1">
        <f t="array" ref="E231">INDEX('New credit'!$A:$O,
MATCH(1,('New credit'!$A:$A=$C231)*('New credit'!$D:$D=E$16), 0),
MATCH(E$17,'New credit'!$1:$1,0))</f>
        <v>0.85518518518518494</v>
      </c>
      <c r="F231" s="18" cm="1">
        <f t="array" ref="F231">INDEX('New credit'!$A:$O,
MATCH(1,('New credit'!$A:$A=$C231)*('New credit'!$D:$D=F$16), 0),
MATCH(F$17,'New credit'!$1:$1,0))</f>
        <v>0.71744661552381261</v>
      </c>
      <c r="G231" s="18">
        <f>INDEX('New credit'!$A:$O,
MATCH($C231, 'New credit'!$A:$A, 0),
MATCH(G$17, 'New credit'!$1:$1, 0))</f>
        <v>1</v>
      </c>
      <c r="H231" s="18">
        <v>0.15</v>
      </c>
      <c r="I231" s="18" cm="1">
        <f t="array" ref="I231">INDEX('Limit raise'!$A:$O,
MATCH(1,('Limit raise'!$A:$A=$C231)*('Limit raise'!$D:$D=I$16), 0),
MATCH(I$17,'Limit raise'!$1:$1,0))</f>
        <v>0.64615384615384619</v>
      </c>
      <c r="J231" s="18" cm="1">
        <f t="array" ref="J231">INDEX('Limit raise'!$A:$O,
MATCH(1,('Limit raise'!$A:$A=$C231)*('Limit raise'!$D:$D=J$16), 0),
MATCH(J$17,'Limit raise'!$1:$1,0))</f>
        <v>0.9285714285714286</v>
      </c>
      <c r="K231" s="18" cm="1">
        <f t="array" ref="K231">INDEX('Limit raise'!$A:$O,
MATCH(1,('Limit raise'!$A:$A=$C231)*('Limit raise'!$D:$D=K$16), 0),
MATCH(K$17,'Limit raise'!$1:$1,0))</f>
        <v>0.84051422166176282</v>
      </c>
      <c r="L231" s="18">
        <f>INDEX('Limit raise'!$A:$O,
MATCH($C231, 'Limit raise'!$A:$A, 0),
MATCH(L$17,'Limit raise'!$1:$1,0))</f>
        <v>5.2974892658199831E-2</v>
      </c>
      <c r="M231" s="18">
        <v>0.15</v>
      </c>
      <c r="N231" s="18"/>
    </row>
    <row r="232" spans="3:14" s="13" customFormat="1" ht="7.2" customHeight="1" x14ac:dyDescent="0.3">
      <c r="C232" s="17">
        <v>214</v>
      </c>
      <c r="D232" s="18" cm="1">
        <f t="array" ref="D232">INDEX('New credit'!$A:$O,
MATCH(1,('New credit'!$A:$A=$C232)*('New credit'!$D:$D=D$16), 0),
MATCH(D$17,'New credit'!$1:$1,0))</f>
        <v>0.65671641791044777</v>
      </c>
      <c r="E232" s="18" cm="1">
        <f t="array" ref="E232">INDEX('New credit'!$A:$O,
MATCH(1,('New credit'!$A:$A=$C232)*('New credit'!$D:$D=E$16), 0),
MATCH(E$17,'New credit'!$1:$1,0))</f>
        <v>0.8538461538461537</v>
      </c>
      <c r="F232" s="18" cm="1">
        <f t="array" ref="F232">INDEX('New credit'!$A:$O,
MATCH(1,('New credit'!$A:$A=$C232)*('New credit'!$D:$D=F$16), 0),
MATCH(F$17,'New credit'!$1:$1,0))</f>
        <v>0.57995824923799033</v>
      </c>
      <c r="G232" s="18">
        <f>INDEX('New credit'!$A:$O,
MATCH($C232, 'New credit'!$A:$A, 0),
MATCH(G$17, 'New credit'!$1:$1, 0))</f>
        <v>0.13083959548674789</v>
      </c>
      <c r="H232" s="18">
        <v>0.15</v>
      </c>
      <c r="I232" s="18" cm="1">
        <f t="array" ref="I232">INDEX('Limit raise'!$A:$O,
MATCH(1,('Limit raise'!$A:$A=$C232)*('Limit raise'!$D:$D=I$16), 0),
MATCH(I$17,'Limit raise'!$1:$1,0))</f>
        <v>0.63636363636363635</v>
      </c>
      <c r="J232" s="18" cm="1">
        <f t="array" ref="J232">INDEX('Limit raise'!$A:$O,
MATCH(1,('Limit raise'!$A:$A=$C232)*('Limit raise'!$D:$D=J$16), 0),
MATCH(J$17,'Limit raise'!$1:$1,0))</f>
        <v>0.9280952380952382</v>
      </c>
      <c r="K232" s="18" cm="1">
        <f t="array" ref="K232">INDEX('Limit raise'!$A:$O,
MATCH(1,('Limit raise'!$A:$A=$C232)*('Limit raise'!$D:$D=K$16), 0),
MATCH(K$17,'Limit raise'!$1:$1,0))</f>
        <v>0.84139784946236551</v>
      </c>
      <c r="L232" s="18">
        <f>INDEX('Limit raise'!$A:$O,
MATCH($C232, 'Limit raise'!$A:$A, 0),
MATCH(L$17,'Limit raise'!$1:$1,0))</f>
        <v>5.6284603106810487E-2</v>
      </c>
      <c r="M232" s="18">
        <v>0.15</v>
      </c>
      <c r="N232" s="18"/>
    </row>
    <row r="233" spans="3:14" s="13" customFormat="1" ht="7.2" customHeight="1" x14ac:dyDescent="0.3">
      <c r="C233" s="17">
        <v>215</v>
      </c>
      <c r="D233" s="18" cm="1">
        <f t="array" ref="D233">INDEX('New credit'!$A:$O,
MATCH(1,('New credit'!$A:$A=$C233)*('New credit'!$D:$D=D$16), 0),
MATCH(D$17,'New credit'!$1:$1,0))</f>
        <v>0.65714285714285714</v>
      </c>
      <c r="E233" s="18" cm="1">
        <f t="array" ref="E233">INDEX('New credit'!$A:$O,
MATCH(1,('New credit'!$A:$A=$C233)*('New credit'!$D:$D=E$16), 0),
MATCH(E$17,'New credit'!$1:$1,0))</f>
        <v>0.86299999999999977</v>
      </c>
      <c r="F233" s="18" cm="1">
        <f t="array" ref="F233">INDEX('New credit'!$A:$O,
MATCH(1,('New credit'!$A:$A=$C233)*('New credit'!$D:$D=F$16), 0),
MATCH(F$17,'New credit'!$1:$1,0))</f>
        <v>0.70111129415458195</v>
      </c>
      <c r="G233" s="18">
        <f>INDEX('New credit'!$A:$O,
MATCH($C233, 'New credit'!$A:$A, 0),
MATCH(G$17, 'New credit'!$1:$1, 0))</f>
        <v>0.2155104203311706</v>
      </c>
      <c r="H233" s="18">
        <v>0.15</v>
      </c>
      <c r="I233" s="18" cm="1">
        <f t="array" ref="I233">INDEX('Limit raise'!$A:$O,
MATCH(1,('Limit raise'!$A:$A=$C233)*('Limit raise'!$D:$D=I$16), 0),
MATCH(I$17,'Limit raise'!$1:$1,0))</f>
        <v>0.63636363636363635</v>
      </c>
      <c r="J233" s="18" cm="1">
        <f t="array" ref="J233">INDEX('Limit raise'!$A:$O,
MATCH(1,('Limit raise'!$A:$A=$C233)*('Limit raise'!$D:$D=J$16), 0),
MATCH(J$17,'Limit raise'!$1:$1,0))</f>
        <v>0.9290476190476189</v>
      </c>
      <c r="K233" s="18" cm="1">
        <f t="array" ref="K233">INDEX('Limit raise'!$A:$O,
MATCH(1,('Limit raise'!$A:$A=$C233)*('Limit raise'!$D:$D=K$16), 0),
MATCH(K$17,'Limit raise'!$1:$1,0))</f>
        <v>0.84224337121212123</v>
      </c>
      <c r="L233" s="18">
        <f>INDEX('Limit raise'!$A:$O,
MATCH($C233, 'Limit raise'!$A:$A, 0),
MATCH(L$17,'Limit raise'!$1:$1,0))</f>
        <v>5.6964808736637451E-2</v>
      </c>
      <c r="M233" s="18">
        <v>0.15</v>
      </c>
      <c r="N233" s="18"/>
    </row>
    <row r="234" spans="3:14" s="13" customFormat="1" ht="7.2" customHeight="1" x14ac:dyDescent="0.3">
      <c r="C234" s="17">
        <v>216</v>
      </c>
      <c r="D234" s="18" cm="1">
        <f t="array" ref="D234">INDEX('New credit'!$A:$O,
MATCH(1,('New credit'!$A:$A=$C234)*('New credit'!$D:$D=D$16), 0),
MATCH(D$17,'New credit'!$1:$1,0))</f>
        <v>0.70149253731343286</v>
      </c>
      <c r="E234" s="18" cm="1">
        <f t="array" ref="E234">INDEX('New credit'!$A:$O,
MATCH(1,('New credit'!$A:$A=$C234)*('New credit'!$D:$D=E$16), 0),
MATCH(E$17,'New credit'!$1:$1,0))</f>
        <v>0.86709677419354825</v>
      </c>
      <c r="F234" s="18" cm="1">
        <f t="array" ref="F234">INDEX('New credit'!$A:$O,
MATCH(1,('New credit'!$A:$A=$C234)*('New credit'!$D:$D=F$16), 0),
MATCH(F$17,'New credit'!$1:$1,0))</f>
        <v>0.60560590002371895</v>
      </c>
      <c r="G234" s="18">
        <f>INDEX('New credit'!$A:$O,
MATCH($C234, 'New credit'!$A:$A, 0),
MATCH(G$17, 'New credit'!$1:$1, 0))</f>
        <v>0.11615720781454671</v>
      </c>
      <c r="H234" s="18">
        <v>0.15</v>
      </c>
      <c r="I234" s="18" cm="1">
        <f t="array" ref="I234">INDEX('Limit raise'!$A:$O,
MATCH(1,('Limit raise'!$A:$A=$C234)*('Limit raise'!$D:$D=I$16), 0),
MATCH(I$17,'Limit raise'!$1:$1,0))</f>
        <v>0.63076923076923075</v>
      </c>
      <c r="J234" s="18" cm="1">
        <f t="array" ref="J234">INDEX('Limit raise'!$A:$O,
MATCH(1,('Limit raise'!$A:$A=$C234)*('Limit raise'!$D:$D=J$16), 0),
MATCH(J$17,'Limit raise'!$1:$1,0))</f>
        <v>0.92761904761904768</v>
      </c>
      <c r="K234" s="18" cm="1">
        <f t="array" ref="K234">INDEX('Limit raise'!$A:$O,
MATCH(1,('Limit raise'!$A:$A=$C234)*('Limit raise'!$D:$D=K$16), 0),
MATCH(K$17,'Limit raise'!$1:$1,0))</f>
        <v>0.84071948181365219</v>
      </c>
      <c r="L234" s="18">
        <f>INDEX('Limit raise'!$A:$O,
MATCH($C234, 'Limit raise'!$A:$A, 0),
MATCH(L$17,'Limit raise'!$1:$1,0))</f>
        <v>5.9253803842426567E-2</v>
      </c>
      <c r="M234" s="18">
        <v>0.15</v>
      </c>
      <c r="N234" s="18"/>
    </row>
    <row r="235" spans="3:14" s="13" customFormat="1" ht="7.2" customHeight="1" x14ac:dyDescent="0.3">
      <c r="C235" s="17">
        <v>217</v>
      </c>
      <c r="D235" s="18" cm="1">
        <f t="array" ref="D235">INDEX('New credit'!$A:$O,
MATCH(1,('New credit'!$A:$A=$C235)*('New credit'!$D:$D=D$16), 0),
MATCH(D$17,'New credit'!$1:$1,0))</f>
        <v>0.69117647058823528</v>
      </c>
      <c r="E235" s="18" cm="1">
        <f t="array" ref="E235">INDEX('New credit'!$A:$O,
MATCH(1,('New credit'!$A:$A=$C235)*('New credit'!$D:$D=E$16), 0),
MATCH(E$17,'New credit'!$1:$1,0))</f>
        <v>0.87187499999999973</v>
      </c>
      <c r="F235" s="18" cm="1">
        <f t="array" ref="F235">INDEX('New credit'!$A:$O,
MATCH(1,('New credit'!$A:$A=$C235)*('New credit'!$D:$D=F$16), 0),
MATCH(F$17,'New credit'!$1:$1,0))</f>
        <v>0.76420975674043135</v>
      </c>
      <c r="G235" s="18">
        <f>INDEX('New credit'!$A:$O,
MATCH($C235, 'New credit'!$A:$A, 0),
MATCH(G$17, 'New credit'!$1:$1, 0))</f>
        <v>0.1504899595832192</v>
      </c>
      <c r="H235" s="18">
        <v>0.15</v>
      </c>
      <c r="I235" s="18" cm="1">
        <f t="array" ref="I235">INDEX('Limit raise'!$A:$O,
MATCH(1,('Limit raise'!$A:$A=$C235)*('Limit raise'!$D:$D=I$16), 0),
MATCH(I$17,'Limit raise'!$1:$1,0))</f>
        <v>0.63076923076923075</v>
      </c>
      <c r="J235" s="18" cm="1">
        <f t="array" ref="J235">INDEX('Limit raise'!$A:$O,
MATCH(1,('Limit raise'!$A:$A=$C235)*('Limit raise'!$D:$D=J$16), 0),
MATCH(J$17,'Limit raise'!$1:$1,0))</f>
        <v>0.9285714285714286</v>
      </c>
      <c r="K235" s="18" cm="1">
        <f t="array" ref="K235">INDEX('Limit raise'!$A:$O,
MATCH(1,('Limit raise'!$A:$A=$C235)*('Limit raise'!$D:$D=K$16), 0),
MATCH(K$17,'Limit raise'!$1:$1,0))</f>
        <v>0.86127705824675527</v>
      </c>
      <c r="L235" s="18">
        <f>INDEX('Limit raise'!$A:$O,
MATCH($C235, 'Limit raise'!$A:$A, 0),
MATCH(L$17,'Limit raise'!$1:$1,0))</f>
        <v>6.3469876863937305E-2</v>
      </c>
      <c r="M235" s="18">
        <v>0.15</v>
      </c>
      <c r="N235" s="18"/>
    </row>
    <row r="236" spans="3:14" s="13" customFormat="1" ht="7.2" customHeight="1" x14ac:dyDescent="0.3">
      <c r="C236" s="17">
        <v>218</v>
      </c>
      <c r="D236" s="18" cm="1">
        <f t="array" ref="D236">INDEX('New credit'!$A:$O,
MATCH(1,('New credit'!$A:$A=$C236)*('New credit'!$D:$D=D$16), 0),
MATCH(D$17,'New credit'!$1:$1,0))</f>
        <v>0.68571428571428572</v>
      </c>
      <c r="E236" s="18" cm="1">
        <f t="array" ref="E236">INDEX('New credit'!$A:$O,
MATCH(1,('New credit'!$A:$A=$C236)*('New credit'!$D:$D=E$16), 0),
MATCH(E$17,'New credit'!$1:$1,0))</f>
        <v>0.87312499999999982</v>
      </c>
      <c r="F236" s="18" cm="1">
        <f t="array" ref="F236">INDEX('New credit'!$A:$O,
MATCH(1,('New credit'!$A:$A=$C236)*('New credit'!$D:$D=F$16), 0),
MATCH(F$17,'New credit'!$1:$1,0))</f>
        <v>0.75805409458650019</v>
      </c>
      <c r="G236" s="18">
        <f>INDEX('New credit'!$A:$O,
MATCH($C236, 'New credit'!$A:$A, 0),
MATCH(G$17, 'New credit'!$1:$1, 0))</f>
        <v>0.10417256126016609</v>
      </c>
      <c r="H236" s="18">
        <v>0.15</v>
      </c>
      <c r="I236" s="18" cm="1">
        <f t="array" ref="I236">INDEX('Limit raise'!$A:$O,
MATCH(1,('Limit raise'!$A:$A=$C236)*('Limit raise'!$D:$D=I$16), 0),
MATCH(I$17,'Limit raise'!$1:$1,0))</f>
        <v>0.64615384615384619</v>
      </c>
      <c r="J236" s="18" cm="1">
        <f t="array" ref="J236">INDEX('Limit raise'!$A:$O,
MATCH(1,('Limit raise'!$A:$A=$C236)*('Limit raise'!$D:$D=J$16), 0),
MATCH(J$17,'Limit raise'!$1:$1,0))</f>
        <v>0.93</v>
      </c>
      <c r="K236" s="18" cm="1">
        <f t="array" ref="K236">INDEX('Limit raise'!$A:$O,
MATCH(1,('Limit raise'!$A:$A=$C236)*('Limit raise'!$D:$D=K$16), 0),
MATCH(K$17,'Limit raise'!$1:$1,0))</f>
        <v>0.83457158262788333</v>
      </c>
      <c r="L236" s="18">
        <f>INDEX('Limit raise'!$A:$O,
MATCH($C236, 'Limit raise'!$A:$A, 0),
MATCH(L$17,'Limit raise'!$1:$1,0))</f>
        <v>6.8433647988623364E-2</v>
      </c>
      <c r="M236" s="18">
        <v>0.15</v>
      </c>
      <c r="N236" s="18"/>
    </row>
    <row r="237" spans="3:14" s="13" customFormat="1" ht="7.2" customHeight="1" x14ac:dyDescent="0.3">
      <c r="C237" s="17">
        <v>219</v>
      </c>
      <c r="D237" s="18" cm="1">
        <f t="array" ref="D237">INDEX('New credit'!$A:$O,
MATCH(1,('New credit'!$A:$A=$C237)*('New credit'!$D:$D=D$16), 0),
MATCH(D$17,'New credit'!$1:$1,0))</f>
        <v>0.70588235294117652</v>
      </c>
      <c r="E237" s="18" cm="1">
        <f t="array" ref="E237">INDEX('New credit'!$A:$O,
MATCH(1,('New credit'!$A:$A=$C237)*('New credit'!$D:$D=E$16), 0),
MATCH(E$17,'New credit'!$1:$1,0))</f>
        <v>0.83551724137931027</v>
      </c>
      <c r="F237" s="18" cm="1">
        <f t="array" ref="F237">INDEX('New credit'!$A:$O,
MATCH(1,('New credit'!$A:$A=$C237)*('New credit'!$D:$D=F$16), 0),
MATCH(F$17,'New credit'!$1:$1,0))</f>
        <v>0.76689426299125918</v>
      </c>
      <c r="G237" s="18">
        <f>INDEX('New credit'!$A:$O,
MATCH($C237, 'New credit'!$A:$A, 0),
MATCH(G$17, 'New credit'!$1:$1, 0))</f>
        <v>0.1009511272630704</v>
      </c>
      <c r="H237" s="18">
        <v>0.15</v>
      </c>
      <c r="I237" s="18" cm="1">
        <f t="array" ref="I237">INDEX('Limit raise'!$A:$O,
MATCH(1,('Limit raise'!$A:$A=$C237)*('Limit raise'!$D:$D=I$16), 0),
MATCH(I$17,'Limit raise'!$1:$1,0))</f>
        <v>0.64615384615384619</v>
      </c>
      <c r="J237" s="18" cm="1">
        <f t="array" ref="J237">INDEX('Limit raise'!$A:$O,
MATCH(1,('Limit raise'!$A:$A=$C237)*('Limit raise'!$D:$D=J$16), 0),
MATCH(J$17,'Limit raise'!$1:$1,0))</f>
        <v>0.93149999999999999</v>
      </c>
      <c r="K237" s="18" cm="1">
        <f t="array" ref="K237">INDEX('Limit raise'!$A:$O,
MATCH(1,('Limit raise'!$A:$A=$C237)*('Limit raise'!$D:$D=K$16), 0),
MATCH(K$17,'Limit raise'!$1:$1,0))</f>
        <v>0.83008198054506754</v>
      </c>
      <c r="L237" s="18">
        <f>INDEX('Limit raise'!$A:$O,
MATCH($C237, 'Limit raise'!$A:$A, 0),
MATCH(L$17,'Limit raise'!$1:$1,0))</f>
        <v>7.0760495812185215E-2</v>
      </c>
      <c r="M237" s="18">
        <v>0.15</v>
      </c>
      <c r="N237" s="18"/>
    </row>
    <row r="238" spans="3:14" s="13" customFormat="1" ht="7.2" customHeight="1" x14ac:dyDescent="0.3">
      <c r="C238" s="17">
        <v>220</v>
      </c>
      <c r="D238" s="18" cm="1">
        <f t="array" ref="D238">INDEX('New credit'!$A:$O,
MATCH(1,('New credit'!$A:$A=$C238)*('New credit'!$D:$D=D$16), 0),
MATCH(D$17,'New credit'!$1:$1,0))</f>
        <v>0.73015873015873012</v>
      </c>
      <c r="E238" s="18" cm="1">
        <f t="array" ref="E238">INDEX('New credit'!$A:$O,
MATCH(1,('New credit'!$A:$A=$C238)*('New credit'!$D:$D=E$16), 0),
MATCH(E$17,'New credit'!$1:$1,0))</f>
        <v>0.85843749999999974</v>
      </c>
      <c r="F238" s="18" cm="1">
        <f t="array" ref="F238">INDEX('New credit'!$A:$O,
MATCH(1,('New credit'!$A:$A=$C238)*('New credit'!$D:$D=F$16), 0),
MATCH(F$17,'New credit'!$1:$1,0))</f>
        <v>0.70514569581817654</v>
      </c>
      <c r="G238" s="18">
        <f>INDEX('New credit'!$A:$O,
MATCH($C238, 'New credit'!$A:$A, 0),
MATCH(G$17, 'New credit'!$1:$1, 0))</f>
        <v>0.19029278971658359</v>
      </c>
      <c r="H238" s="18">
        <v>0.15</v>
      </c>
      <c r="I238" s="18" cm="1">
        <f t="array" ref="I238">INDEX('Limit raise'!$A:$O,
MATCH(1,('Limit raise'!$A:$A=$C238)*('Limit raise'!$D:$D=I$16), 0),
MATCH(I$17,'Limit raise'!$1:$1,0))</f>
        <v>0.65625</v>
      </c>
      <c r="J238" s="18" cm="1">
        <f t="array" ref="J238">INDEX('Limit raise'!$A:$O,
MATCH(1,('Limit raise'!$A:$A=$C238)*('Limit raise'!$D:$D=J$16), 0),
MATCH(J$17,'Limit raise'!$1:$1,0))</f>
        <v>0.93200000000000005</v>
      </c>
      <c r="K238" s="18" cm="1">
        <f t="array" ref="K238">INDEX('Limit raise'!$A:$O,
MATCH(1,('Limit raise'!$A:$A=$C238)*('Limit raise'!$D:$D=K$16), 0),
MATCH(K$17,'Limit raise'!$1:$1,0))</f>
        <v>0.82802583325552781</v>
      </c>
      <c r="L238" s="18">
        <f>INDEX('Limit raise'!$A:$O,
MATCH($C238, 'Limit raise'!$A:$A, 0),
MATCH(L$17,'Limit raise'!$1:$1,0))</f>
        <v>7.8899004274989609E-2</v>
      </c>
      <c r="M238" s="18">
        <v>0.15</v>
      </c>
      <c r="N238" s="18"/>
    </row>
    <row r="239" spans="3:14" s="13" customFormat="1" ht="7.2" customHeight="1" x14ac:dyDescent="0.3">
      <c r="C239" s="17">
        <v>221</v>
      </c>
      <c r="D239" s="18" cm="1">
        <f t="array" ref="D239">INDEX('New credit'!$A:$O,
MATCH(1,('New credit'!$A:$A=$C239)*('New credit'!$D:$D=D$16), 0),
MATCH(D$17,'New credit'!$1:$1,0))</f>
        <v>0.73015873015873012</v>
      </c>
      <c r="E239" s="18" cm="1">
        <f t="array" ref="E239">INDEX('New credit'!$A:$O,
MATCH(1,('New credit'!$A:$A=$C239)*('New credit'!$D:$D=E$16), 0),
MATCH(E$17,'New credit'!$1:$1,0))</f>
        <v>0.8899999999999999</v>
      </c>
      <c r="F239" s="18" cm="1">
        <f t="array" ref="F239">INDEX('New credit'!$A:$O,
MATCH(1,('New credit'!$A:$A=$C239)*('New credit'!$D:$D=F$16), 0),
MATCH(F$17,'New credit'!$1:$1,0))</f>
        <v>0.79320675124039941</v>
      </c>
      <c r="G239" s="18">
        <f>INDEX('New credit'!$A:$O,
MATCH($C239, 'New credit'!$A:$A, 0),
MATCH(G$17, 'New credit'!$1:$1, 0))</f>
        <v>1</v>
      </c>
      <c r="H239" s="18">
        <v>0.15</v>
      </c>
      <c r="I239" s="18" cm="1">
        <f t="array" ref="I239">INDEX('Limit raise'!$A:$O,
MATCH(1,('Limit raise'!$A:$A=$C239)*('Limit raise'!$D:$D=I$16), 0),
MATCH(I$17,'Limit raise'!$1:$1,0))</f>
        <v>0.65625</v>
      </c>
      <c r="J239" s="18" cm="1">
        <f t="array" ref="J239">INDEX('Limit raise'!$A:$O,
MATCH(1,('Limit raise'!$A:$A=$C239)*('Limit raise'!$D:$D=J$16), 0),
MATCH(J$17,'Limit raise'!$1:$1,0))</f>
        <v>0.93249999999999988</v>
      </c>
      <c r="K239" s="18" cm="1">
        <f t="array" ref="K239">INDEX('Limit raise'!$A:$O,
MATCH(1,('Limit raise'!$A:$A=$C239)*('Limit raise'!$D:$D=K$16), 0),
MATCH(K$17,'Limit raise'!$1:$1,0))</f>
        <v>0.8267421449985527</v>
      </c>
      <c r="L239" s="18">
        <f>INDEX('Limit raise'!$A:$O,
MATCH($C239, 'Limit raise'!$A:$A, 0),
MATCH(L$17,'Limit raise'!$1:$1,0))</f>
        <v>8.1759653978049615E-2</v>
      </c>
      <c r="M239" s="18">
        <v>0.15</v>
      </c>
      <c r="N239" s="18"/>
    </row>
    <row r="240" spans="3:14" s="13" customFormat="1" ht="7.2" customHeight="1" x14ac:dyDescent="0.3">
      <c r="C240" s="17">
        <v>222</v>
      </c>
      <c r="D240" s="18" cm="1">
        <f t="array" ref="D240">INDEX('New credit'!$A:$O,
MATCH(1,('New credit'!$A:$A=$C240)*('New credit'!$D:$D=D$16), 0),
MATCH(D$17,'New credit'!$1:$1,0))</f>
        <v>0.70149253731343286</v>
      </c>
      <c r="E240" s="18" cm="1">
        <f t="array" ref="E240">INDEX('New credit'!$A:$O,
MATCH(1,('New credit'!$A:$A=$C240)*('New credit'!$D:$D=E$16), 0),
MATCH(E$17,'New credit'!$1:$1,0))</f>
        <v>0.88260869565217381</v>
      </c>
      <c r="F240" s="18" cm="1">
        <f t="array" ref="F240">INDEX('New credit'!$A:$O,
MATCH(1,('New credit'!$A:$A=$C240)*('New credit'!$D:$D=F$16), 0),
MATCH(F$17,'New credit'!$1:$1,0))</f>
        <v>0.72032875783196559</v>
      </c>
      <c r="G240" s="18">
        <f>INDEX('New credit'!$A:$O,
MATCH($C240, 'New credit'!$A:$A, 0),
MATCH(G$17, 'New credit'!$1:$1, 0))</f>
        <v>1</v>
      </c>
      <c r="H240" s="18">
        <v>0.15</v>
      </c>
      <c r="I240" s="18" cm="1">
        <f t="array" ref="I240">INDEX('Limit raise'!$A:$O,
MATCH(1,('Limit raise'!$A:$A=$C240)*('Limit raise'!$D:$D=I$16), 0),
MATCH(I$17,'Limit raise'!$1:$1,0))</f>
        <v>0.65625</v>
      </c>
      <c r="J240" s="18" cm="1">
        <f t="array" ref="J240">INDEX('Limit raise'!$A:$O,
MATCH(1,('Limit raise'!$A:$A=$C240)*('Limit raise'!$D:$D=J$16), 0),
MATCH(J$17,'Limit raise'!$1:$1,0))</f>
        <v>0.93149999999999999</v>
      </c>
      <c r="K240" s="18" cm="1">
        <f t="array" ref="K240">INDEX('Limit raise'!$A:$O,
MATCH(1,('Limit raise'!$A:$A=$C240)*('Limit raise'!$D:$D=K$16), 0),
MATCH(K$17,'Limit raise'!$1:$1,0))</f>
        <v>0.82519733766555081</v>
      </c>
      <c r="L240" s="18">
        <f>INDEX('Limit raise'!$A:$O,
MATCH($C240, 'Limit raise'!$A:$A, 0),
MATCH(L$17,'Limit raise'!$1:$1,0))</f>
        <v>8.5632812505482409E-2</v>
      </c>
      <c r="M240" s="18">
        <v>0.15</v>
      </c>
      <c r="N240" s="18"/>
    </row>
    <row r="241" spans="3:14" s="13" customFormat="1" ht="7.2" customHeight="1" x14ac:dyDescent="0.3">
      <c r="C241" s="17">
        <v>223</v>
      </c>
      <c r="D241" s="18" cm="1">
        <f t="array" ref="D241">INDEX('New credit'!$A:$O,
MATCH(1,('New credit'!$A:$A=$C241)*('New credit'!$D:$D=D$16), 0),
MATCH(D$17,'New credit'!$1:$1,0))</f>
        <v>0.69230769230769229</v>
      </c>
      <c r="E241" s="18" cm="1">
        <f t="array" ref="E241">INDEX('New credit'!$A:$O,
MATCH(1,('New credit'!$A:$A=$C241)*('New credit'!$D:$D=E$16), 0),
MATCH(E$17,'New credit'!$1:$1,0))</f>
        <v>0.85153846153846124</v>
      </c>
      <c r="F241" s="18" cm="1">
        <f t="array" ref="F241">INDEX('New credit'!$A:$O,
MATCH(1,('New credit'!$A:$A=$C241)*('New credit'!$D:$D=F$16), 0),
MATCH(F$17,'New credit'!$1:$1,0))</f>
        <v>0.64020240934013295</v>
      </c>
      <c r="G241" s="18">
        <f>INDEX('New credit'!$A:$O,
MATCH($C241, 'New credit'!$A:$A, 0),
MATCH(G$17, 'New credit'!$1:$1, 0))</f>
        <v>8.6691381429329001E-2</v>
      </c>
      <c r="H241" s="18">
        <v>0.15</v>
      </c>
      <c r="I241" s="18" cm="1">
        <f t="array" ref="I241">INDEX('Limit raise'!$A:$O,
MATCH(1,('Limit raise'!$A:$A=$C241)*('Limit raise'!$D:$D=I$16), 0),
MATCH(I$17,'Limit raise'!$1:$1,0))</f>
        <v>0.67741935483870963</v>
      </c>
      <c r="J241" s="18" cm="1">
        <f t="array" ref="J241">INDEX('Limit raise'!$A:$O,
MATCH(1,('Limit raise'!$A:$A=$C241)*('Limit raise'!$D:$D=J$16), 0),
MATCH(J$17,'Limit raise'!$1:$1,0))</f>
        <v>0.93149999999999999</v>
      </c>
      <c r="K241" s="18" cm="1">
        <f t="array" ref="K241">INDEX('Limit raise'!$A:$O,
MATCH(1,('Limit raise'!$A:$A=$C241)*('Limit raise'!$D:$D=K$16), 0),
MATCH(K$17,'Limit raise'!$1:$1,0))</f>
        <v>0.82543352495523703</v>
      </c>
      <c r="L241" s="18">
        <f>INDEX('Limit raise'!$A:$O,
MATCH($C241, 'Limit raise'!$A:$A, 0),
MATCH(L$17,'Limit raise'!$1:$1,0))</f>
        <v>9.1232941763337613E-2</v>
      </c>
      <c r="M241" s="18">
        <v>0.15</v>
      </c>
      <c r="N241" s="18"/>
    </row>
    <row r="242" spans="3:14" s="13" customFormat="1" ht="7.2" customHeight="1" x14ac:dyDescent="0.3">
      <c r="C242" s="17">
        <v>224</v>
      </c>
      <c r="D242" s="18" cm="1">
        <f t="array" ref="D242">INDEX('New credit'!$A:$O,
MATCH(1,('New credit'!$A:$A=$C242)*('New credit'!$D:$D=D$16), 0),
MATCH(D$17,'New credit'!$1:$1,0))</f>
        <v>0.69696969696969702</v>
      </c>
      <c r="E242" s="18" cm="1">
        <f t="array" ref="E242">INDEX('New credit'!$A:$O,
MATCH(1,('New credit'!$A:$A=$C242)*('New credit'!$D:$D=E$16), 0),
MATCH(E$17,'New credit'!$1:$1,0))</f>
        <v>0.85827586206896533</v>
      </c>
      <c r="F242" s="18" cm="1">
        <f t="array" ref="F242">INDEX('New credit'!$A:$O,
MATCH(1,('New credit'!$A:$A=$C242)*('New credit'!$D:$D=F$16), 0),
MATCH(F$17,'New credit'!$1:$1,0))</f>
        <v>0.73495370182643815</v>
      </c>
      <c r="G242" s="18">
        <f>INDEX('New credit'!$A:$O,
MATCH($C242, 'New credit'!$A:$A, 0),
MATCH(G$17, 'New credit'!$1:$1, 0))</f>
        <v>0.12954879343457809</v>
      </c>
      <c r="H242" s="18">
        <v>0.15</v>
      </c>
      <c r="I242" s="18" cm="1">
        <f t="array" ref="I242">INDEX('Limit raise'!$A:$O,
MATCH(1,('Limit raise'!$A:$A=$C242)*('Limit raise'!$D:$D=I$16), 0),
MATCH(I$17,'Limit raise'!$1:$1,0))</f>
        <v>0.67213114754098358</v>
      </c>
      <c r="J242" s="18" cm="1">
        <f t="array" ref="J242">INDEX('Limit raise'!$A:$O,
MATCH(1,('Limit raise'!$A:$A=$C242)*('Limit raise'!$D:$D=J$16), 0),
MATCH(J$17,'Limit raise'!$1:$1,0))</f>
        <v>0.93149999999999999</v>
      </c>
      <c r="K242" s="18" cm="1">
        <f t="array" ref="K242">INDEX('Limit raise'!$A:$O,
MATCH(1,('Limit raise'!$A:$A=$C242)*('Limit raise'!$D:$D=K$16), 0),
MATCH(K$17,'Limit raise'!$1:$1,0))</f>
        <v>0.87277077542577874</v>
      </c>
      <c r="L242" s="18">
        <f>INDEX('Limit raise'!$A:$O,
MATCH($C242, 'Limit raise'!$A:$A, 0),
MATCH(L$17,'Limit raise'!$1:$1,0))</f>
        <v>9.4380747849718533E-2</v>
      </c>
      <c r="M242" s="18">
        <v>0.15</v>
      </c>
      <c r="N242" s="18"/>
    </row>
    <row r="243" spans="3:14" s="13" customFormat="1" ht="7.2" customHeight="1" x14ac:dyDescent="0.3">
      <c r="C243" s="17">
        <v>225</v>
      </c>
      <c r="D243" s="18" cm="1">
        <f t="array" ref="D243">INDEX('New credit'!$A:$O,
MATCH(1,('New credit'!$A:$A=$C243)*('New credit'!$D:$D=D$16), 0),
MATCH(D$17,'New credit'!$1:$1,0))</f>
        <v>0.76271186440677963</v>
      </c>
      <c r="E243" s="18" cm="1">
        <f t="array" ref="E243">INDEX('New credit'!$A:$O,
MATCH(1,('New credit'!$A:$A=$C243)*('New credit'!$D:$D=E$16), 0),
MATCH(E$17,'New credit'!$1:$1,0))</f>
        <v>0.8613793103448274</v>
      </c>
      <c r="F243" s="18" cm="1">
        <f t="array" ref="F243">INDEX('New credit'!$A:$O,
MATCH(1,('New credit'!$A:$A=$C243)*('New credit'!$D:$D=F$16), 0),
MATCH(F$17,'New credit'!$1:$1,0))</f>
        <v>0.71932624771806053</v>
      </c>
      <c r="G243" s="18">
        <f>INDEX('New credit'!$A:$O,
MATCH($C243, 'New credit'!$A:$A, 0),
MATCH(G$17, 'New credit'!$1:$1, 0))</f>
        <v>0.14544689983953199</v>
      </c>
      <c r="H243" s="18">
        <v>0.15</v>
      </c>
      <c r="I243" s="18" cm="1">
        <f t="array" ref="I243">INDEX('Limit raise'!$A:$O,
MATCH(1,('Limit raise'!$A:$A=$C243)*('Limit raise'!$D:$D=I$16), 0),
MATCH(I$17,'Limit raise'!$1:$1,0))</f>
        <v>0.65573770491803274</v>
      </c>
      <c r="J243" s="18" cm="1">
        <f t="array" ref="J243">INDEX('Limit raise'!$A:$O,
MATCH(1,('Limit raise'!$A:$A=$C243)*('Limit raise'!$D:$D=J$16), 0),
MATCH(J$17,'Limit raise'!$1:$1,0))</f>
        <v>0.93099999999999983</v>
      </c>
      <c r="K243" s="18" cm="1">
        <f t="array" ref="K243">INDEX('Limit raise'!$A:$O,
MATCH(1,('Limit raise'!$A:$A=$C243)*('Limit raise'!$D:$D=K$16), 0),
MATCH(K$17,'Limit raise'!$1:$1,0))</f>
        <v>0.82781352460323365</v>
      </c>
      <c r="L243" s="18">
        <f>INDEX('Limit raise'!$A:$O,
MATCH($C243, 'Limit raise'!$A:$A, 0),
MATCH(L$17,'Limit raise'!$1:$1,0))</f>
        <v>9.5770692983159739E-2</v>
      </c>
      <c r="M243" s="18">
        <v>0.15</v>
      </c>
      <c r="N243" s="18"/>
    </row>
    <row r="244" spans="3:14" s="13" customFormat="1" ht="7.2" customHeight="1" x14ac:dyDescent="0.3">
      <c r="C244" s="17">
        <v>226</v>
      </c>
      <c r="D244" s="18" cm="1">
        <f t="array" ref="D244">INDEX('New credit'!$A:$O,
MATCH(1,('New credit'!$A:$A=$C244)*('New credit'!$D:$D=D$16), 0),
MATCH(D$17,'New credit'!$1:$1,0))</f>
        <v>0.7142857142857143</v>
      </c>
      <c r="E244" s="18" cm="1">
        <f t="array" ref="E244">INDEX('New credit'!$A:$O,
MATCH(1,('New credit'!$A:$A=$C244)*('New credit'!$D:$D=E$16), 0),
MATCH(E$17,'New credit'!$1:$1,0))</f>
        <v>0.86448275862068968</v>
      </c>
      <c r="F244" s="18" cm="1">
        <f t="array" ref="F244">INDEX('New credit'!$A:$O,
MATCH(1,('New credit'!$A:$A=$C244)*('New credit'!$D:$D=F$16), 0),
MATCH(F$17,'New credit'!$1:$1,0))</f>
        <v>0.70992881946096509</v>
      </c>
      <c r="G244" s="18">
        <f>INDEX('New credit'!$A:$O,
MATCH($C244, 'New credit'!$A:$A, 0),
MATCH(G$17, 'New credit'!$1:$1, 0))</f>
        <v>0.18333248806875019</v>
      </c>
      <c r="H244" s="18">
        <v>0.15</v>
      </c>
      <c r="I244" s="18" cm="1">
        <f t="array" ref="I244">INDEX('Limit raise'!$A:$O,
MATCH(1,('Limit raise'!$A:$A=$C244)*('Limit raise'!$D:$D=I$16), 0),
MATCH(I$17,'Limit raise'!$1:$1,0))</f>
        <v>0.65573770491803274</v>
      </c>
      <c r="J244" s="18" cm="1">
        <f t="array" ref="J244">INDEX('Limit raise'!$A:$O,
MATCH(1,('Limit raise'!$A:$A=$C244)*('Limit raise'!$D:$D=J$16), 0),
MATCH(J$17,'Limit raise'!$1:$1,0))</f>
        <v>0.88666666666666649</v>
      </c>
      <c r="K244" s="18" cm="1">
        <f t="array" ref="K244">INDEX('Limit raise'!$A:$O,
MATCH(1,('Limit raise'!$A:$A=$C244)*('Limit raise'!$D:$D=K$16), 0),
MATCH(K$17,'Limit raise'!$1:$1,0))</f>
        <v>0.75160597578788568</v>
      </c>
      <c r="L244" s="18">
        <f>INDEX('Limit raise'!$A:$O,
MATCH($C244, 'Limit raise'!$A:$A, 0),
MATCH(L$17,'Limit raise'!$1:$1,0))</f>
        <v>9.6065340090861262E-2</v>
      </c>
      <c r="M244" s="18">
        <v>0.15</v>
      </c>
      <c r="N244" s="18"/>
    </row>
    <row r="245" spans="3:14" s="13" customFormat="1" ht="7.2" customHeight="1" x14ac:dyDescent="0.3">
      <c r="C245" s="17">
        <v>227</v>
      </c>
      <c r="D245" s="18" cm="1">
        <f t="array" ref="D245">INDEX('New credit'!$A:$O,
MATCH(1,('New credit'!$A:$A=$C245)*('New credit'!$D:$D=D$16), 0),
MATCH(D$17,'New credit'!$1:$1,0))</f>
        <v>0.67164179104477617</v>
      </c>
      <c r="E245" s="18" cm="1">
        <f t="array" ref="E245">INDEX('New credit'!$A:$O,
MATCH(1,('New credit'!$A:$A=$C245)*('New credit'!$D:$D=E$16), 0),
MATCH(E$17,'New credit'!$1:$1,0))</f>
        <v>0.85679999999999978</v>
      </c>
      <c r="F245" s="18" cm="1">
        <f t="array" ref="F245">INDEX('New credit'!$A:$O,
MATCH(1,('New credit'!$A:$A=$C245)*('New credit'!$D:$D=F$16), 0),
MATCH(F$17,'New credit'!$1:$1,0))</f>
        <v>0.68344400884010936</v>
      </c>
      <c r="G245" s="18">
        <f>INDEX('New credit'!$A:$O,
MATCH($C245, 'New credit'!$A:$A, 0),
MATCH(G$17, 'New credit'!$1:$1, 0))</f>
        <v>9.1653847235392397E-2</v>
      </c>
      <c r="H245" s="18">
        <v>0.15</v>
      </c>
      <c r="I245" s="18" cm="1">
        <f t="array" ref="I245">INDEX('Limit raise'!$A:$O,
MATCH(1,('Limit raise'!$A:$A=$C245)*('Limit raise'!$D:$D=I$16), 0),
MATCH(I$17,'Limit raise'!$1:$1,0))</f>
        <v>0.66101694915254239</v>
      </c>
      <c r="J245" s="18" cm="1">
        <f t="array" ref="J245">INDEX('Limit raise'!$A:$O,
MATCH(1,('Limit raise'!$A:$A=$C245)*('Limit raise'!$D:$D=J$16), 0),
MATCH(J$17,'Limit raise'!$1:$1,0))</f>
        <v>0.88809523809523805</v>
      </c>
      <c r="K245" s="18" cm="1">
        <f t="array" ref="K245">INDEX('Limit raise'!$A:$O,
MATCH(1,('Limit raise'!$A:$A=$C245)*('Limit raise'!$D:$D=K$16), 0),
MATCH(K$17,'Limit raise'!$1:$1,0))</f>
        <v>0.78313345489743957</v>
      </c>
      <c r="L245" s="18">
        <f>INDEX('Limit raise'!$A:$O,
MATCH($C245, 'Limit raise'!$A:$A, 0),
MATCH(L$17,'Limit raise'!$1:$1,0))</f>
        <v>0.1015367513997532</v>
      </c>
      <c r="M245" s="18">
        <v>0.15</v>
      </c>
      <c r="N245" s="18"/>
    </row>
    <row r="246" spans="3:14" s="13" customFormat="1" ht="7.2" customHeight="1" x14ac:dyDescent="0.3">
      <c r="C246" s="17">
        <v>228</v>
      </c>
      <c r="D246" s="18" cm="1">
        <f t="array" ref="D246">INDEX('New credit'!$A:$O,
MATCH(1,('New credit'!$A:$A=$C246)*('New credit'!$D:$D=D$16), 0),
MATCH(D$17,'New credit'!$1:$1,0))</f>
        <v>0.67123287671232879</v>
      </c>
      <c r="E246" s="18" cm="1">
        <f t="array" ref="E246">INDEX('New credit'!$A:$O,
MATCH(1,('New credit'!$A:$A=$C246)*('New credit'!$D:$D=E$16), 0),
MATCH(E$17,'New credit'!$1:$1,0))</f>
        <v>0.86833333333333329</v>
      </c>
      <c r="F246" s="18" cm="1">
        <f t="array" ref="F246">INDEX('New credit'!$A:$O,
MATCH(1,('New credit'!$A:$A=$C246)*('New credit'!$D:$D=F$16), 0),
MATCH(F$17,'New credit'!$1:$1,0))</f>
        <v>0.7444203359319469</v>
      </c>
      <c r="G246" s="18">
        <f>INDEX('New credit'!$A:$O,
MATCH($C246, 'New credit'!$A:$A, 0),
MATCH(G$17, 'New credit'!$1:$1, 0))</f>
        <v>0.13119909092342891</v>
      </c>
      <c r="H246" s="18">
        <v>0.15</v>
      </c>
      <c r="I246" s="18" cm="1">
        <f t="array" ref="I246">INDEX('Limit raise'!$A:$O,
MATCH(1,('Limit raise'!$A:$A=$C246)*('Limit raise'!$D:$D=I$16), 0),
MATCH(I$17,'Limit raise'!$1:$1,0))</f>
        <v>0.66666666666666663</v>
      </c>
      <c r="J246" s="18" cm="1">
        <f t="array" ref="J246">INDEX('Limit raise'!$A:$O,
MATCH(1,('Limit raise'!$A:$A=$C246)*('Limit raise'!$D:$D=J$16), 0),
MATCH(J$17,'Limit raise'!$1:$1,0))</f>
        <v>0.88809523809523805</v>
      </c>
      <c r="K246" s="18" cm="1">
        <f t="array" ref="K246">INDEX('Limit raise'!$A:$O,
MATCH(1,('Limit raise'!$A:$A=$C246)*('Limit raise'!$D:$D=K$16), 0),
MATCH(K$17,'Limit raise'!$1:$1,0))</f>
        <v>0.78475788869645069</v>
      </c>
      <c r="L246" s="18">
        <f>INDEX('Limit raise'!$A:$O,
MATCH($C246, 'Limit raise'!$A:$A, 0),
MATCH(L$17,'Limit raise'!$1:$1,0))</f>
        <v>0.10274111149342061</v>
      </c>
      <c r="M246" s="18">
        <v>0.15</v>
      </c>
      <c r="N246" s="18"/>
    </row>
    <row r="247" spans="3:14" s="13" customFormat="1" ht="7.2" customHeight="1" x14ac:dyDescent="0.3">
      <c r="C247" s="17">
        <v>229</v>
      </c>
      <c r="D247" s="18" cm="1">
        <f t="array" ref="D247">INDEX('New credit'!$A:$O,
MATCH(1,('New credit'!$A:$A=$C247)*('New credit'!$D:$D=D$16), 0),
MATCH(D$17,'New credit'!$1:$1,0))</f>
        <v>0.73239436619718312</v>
      </c>
      <c r="E247" s="18" cm="1">
        <f t="array" ref="E247">INDEX('New credit'!$A:$O,
MATCH(1,('New credit'!$A:$A=$C247)*('New credit'!$D:$D=E$16), 0),
MATCH(E$17,'New credit'!$1:$1,0))</f>
        <v>0.86733333333333318</v>
      </c>
      <c r="F247" s="18" cm="1">
        <f t="array" ref="F247">INDEX('New credit'!$A:$O,
MATCH(1,('New credit'!$A:$A=$C247)*('New credit'!$D:$D=F$16), 0),
MATCH(F$17,'New credit'!$1:$1,0))</f>
        <v>0.76232085891941792</v>
      </c>
      <c r="G247" s="18">
        <f>INDEX('New credit'!$A:$O,
MATCH($C247, 'New credit'!$A:$A, 0),
MATCH(G$17, 'New credit'!$1:$1, 0))</f>
        <v>0.14881457829023051</v>
      </c>
      <c r="H247" s="18">
        <v>0.15</v>
      </c>
      <c r="I247" s="18" cm="1">
        <f t="array" ref="I247">INDEX('Limit raise'!$A:$O,
MATCH(1,('Limit raise'!$A:$A=$C247)*('Limit raise'!$D:$D=I$16), 0),
MATCH(I$17,'Limit raise'!$1:$1,0))</f>
        <v>0.65517241379310343</v>
      </c>
      <c r="J247" s="18" cm="1">
        <f t="array" ref="J247">INDEX('Limit raise'!$A:$O,
MATCH(1,('Limit raise'!$A:$A=$C247)*('Limit raise'!$D:$D=J$16), 0),
MATCH(J$17,'Limit raise'!$1:$1,0))</f>
        <v>0.93249999999999988</v>
      </c>
      <c r="K247" s="18" cm="1">
        <f t="array" ref="K247">INDEX('Limit raise'!$A:$O,
MATCH(1,('Limit raise'!$A:$A=$C247)*('Limit raise'!$D:$D=K$16), 0),
MATCH(K$17,'Limit raise'!$1:$1,0))</f>
        <v>0.82935596036518344</v>
      </c>
      <c r="L247" s="18">
        <f>INDEX('Limit raise'!$A:$O,
MATCH($C247, 'Limit raise'!$A:$A, 0),
MATCH(L$17,'Limit raise'!$1:$1,0))</f>
        <v>0.1010562556151864</v>
      </c>
      <c r="M247" s="18">
        <v>0.15</v>
      </c>
      <c r="N247" s="18"/>
    </row>
    <row r="248" spans="3:14" s="13" customFormat="1" ht="7.2" customHeight="1" x14ac:dyDescent="0.3">
      <c r="C248" s="17">
        <v>230</v>
      </c>
      <c r="D248" s="18" cm="1">
        <f t="array" ref="D248">INDEX('New credit'!$A:$O,
MATCH(1,('New credit'!$A:$A=$C248)*('New credit'!$D:$D=D$16), 0),
MATCH(D$17,'New credit'!$1:$1,0))</f>
        <v>0.74626865671641796</v>
      </c>
      <c r="E248" s="18" cm="1">
        <f t="array" ref="E248">INDEX('New credit'!$A:$O,
MATCH(1,('New credit'!$A:$A=$C248)*('New credit'!$D:$D=E$16), 0),
MATCH(E$17,'New credit'!$1:$1,0))</f>
        <v>0.86866666666666648</v>
      </c>
      <c r="F248" s="18" cm="1">
        <f t="array" ref="F248">INDEX('New credit'!$A:$O,
MATCH(1,('New credit'!$A:$A=$C248)*('New credit'!$D:$D=F$16), 0),
MATCH(F$17,'New credit'!$1:$1,0))</f>
        <v>0.74285022391133593</v>
      </c>
      <c r="G248" s="18">
        <f>INDEX('New credit'!$A:$O,
MATCH($C248, 'New credit'!$A:$A, 0),
MATCH(G$17, 'New credit'!$1:$1, 0))</f>
        <v>0.16199008948326421</v>
      </c>
      <c r="H248" s="18">
        <v>0.15</v>
      </c>
      <c r="I248" s="18" cm="1">
        <f t="array" ref="I248">INDEX('Limit raise'!$A:$O,
MATCH(1,('Limit raise'!$A:$A=$C248)*('Limit raise'!$D:$D=I$16), 0),
MATCH(I$17,'Limit raise'!$1:$1,0))</f>
        <v>0.65517241379310343</v>
      </c>
      <c r="J248" s="18" cm="1">
        <f t="array" ref="J248">INDEX('Limit raise'!$A:$O,
MATCH(1,('Limit raise'!$A:$A=$C248)*('Limit raise'!$D:$D=J$16), 0),
MATCH(J$17,'Limit raise'!$1:$1,0))</f>
        <v>0.93300000000000005</v>
      </c>
      <c r="K248" s="18" cm="1">
        <f t="array" ref="K248">INDEX('Limit raise'!$A:$O,
MATCH(1,('Limit raise'!$A:$A=$C248)*('Limit raise'!$D:$D=K$16), 0),
MATCH(K$17,'Limit raise'!$1:$1,0))</f>
        <v>0.83055540174936493</v>
      </c>
      <c r="L248" s="18">
        <f>INDEX('Limit raise'!$A:$O,
MATCH($C248, 'Limit raise'!$A:$A, 0),
MATCH(L$17,'Limit raise'!$1:$1,0))</f>
        <v>0.10107780046668929</v>
      </c>
      <c r="M248" s="18">
        <v>0.15</v>
      </c>
      <c r="N248" s="18"/>
    </row>
    <row r="249" spans="3:14" s="13" customFormat="1" ht="7.2" customHeight="1" x14ac:dyDescent="0.3">
      <c r="C249" s="17">
        <v>231</v>
      </c>
      <c r="D249" s="18" cm="1">
        <f t="array" ref="D249">INDEX('New credit'!$A:$O,
MATCH(1,('New credit'!$A:$A=$C249)*('New credit'!$D:$D=D$16), 0),
MATCH(D$17,'New credit'!$1:$1,0))</f>
        <v>0.74603174603174605</v>
      </c>
      <c r="E249" s="18" cm="1">
        <f t="array" ref="E249">INDEX('New credit'!$A:$O,
MATCH(1,('New credit'!$A:$A=$C249)*('New credit'!$D:$D=E$16), 0),
MATCH(E$17,'New credit'!$1:$1,0))</f>
        <v>0.86172413793103442</v>
      </c>
      <c r="F249" s="18" cm="1">
        <f t="array" ref="F249">INDEX('New credit'!$A:$O,
MATCH(1,('New credit'!$A:$A=$C249)*('New credit'!$D:$D=F$16), 0),
MATCH(F$17,'New credit'!$1:$1,0))</f>
        <v>0.72075129864220999</v>
      </c>
      <c r="G249" s="18">
        <f>INDEX('New credit'!$A:$O,
MATCH($C249, 'New credit'!$A:$A, 0),
MATCH(G$17, 'New credit'!$1:$1, 0))</f>
        <v>0.1015452537075463</v>
      </c>
      <c r="H249" s="18">
        <v>0.15</v>
      </c>
      <c r="I249" s="18" cm="1">
        <f t="array" ref="I249">INDEX('Limit raise'!$A:$O,
MATCH(1,('Limit raise'!$A:$A=$C249)*('Limit raise'!$D:$D=I$16), 0),
MATCH(I$17,'Limit raise'!$1:$1,0))</f>
        <v>0.65517241379310343</v>
      </c>
      <c r="J249" s="18" cm="1">
        <f t="array" ref="J249">INDEX('Limit raise'!$A:$O,
MATCH(1,('Limit raise'!$A:$A=$C249)*('Limit raise'!$D:$D=J$16), 0),
MATCH(J$17,'Limit raise'!$1:$1,0))</f>
        <v>0.93249999999999988</v>
      </c>
      <c r="K249" s="18" cm="1">
        <f t="array" ref="K249">INDEX('Limit raise'!$A:$O,
MATCH(1,('Limit raise'!$A:$A=$C249)*('Limit raise'!$D:$D=K$16), 0),
MATCH(K$17,'Limit raise'!$1:$1,0))</f>
        <v>0.83146708117618662</v>
      </c>
      <c r="L249" s="18">
        <f>INDEX('Limit raise'!$A:$O,
MATCH($C249, 'Limit raise'!$A:$A, 0),
MATCH(L$17,'Limit raise'!$1:$1,0))</f>
        <v>0.1003619352803337</v>
      </c>
      <c r="M249" s="18">
        <v>0.15</v>
      </c>
      <c r="N249" s="18"/>
    </row>
    <row r="250" spans="3:14" s="13" customFormat="1" ht="7.2" customHeight="1" x14ac:dyDescent="0.3">
      <c r="C250" s="17">
        <v>232</v>
      </c>
      <c r="D250" s="18" cm="1">
        <f t="array" ref="D250">INDEX('New credit'!$A:$O,
MATCH(1,('New credit'!$A:$A=$C250)*('New credit'!$D:$D=D$16), 0),
MATCH(D$17,'New credit'!$1:$1,0))</f>
        <v>0.76271186440677963</v>
      </c>
      <c r="E250" s="18" cm="1">
        <f t="array" ref="E250">INDEX('New credit'!$A:$O,
MATCH(1,('New credit'!$A:$A=$C250)*('New credit'!$D:$D=E$16), 0),
MATCH(E$17,'New credit'!$1:$1,0))</f>
        <v>0.88586206896551711</v>
      </c>
      <c r="F250" s="18" cm="1">
        <f t="array" ref="F250">INDEX('New credit'!$A:$O,
MATCH(1,('New credit'!$A:$A=$C250)*('New credit'!$D:$D=F$16), 0),
MATCH(F$17,'New credit'!$1:$1,0))</f>
        <v>0.73265285119945567</v>
      </c>
      <c r="G250" s="18">
        <f>INDEX('New credit'!$A:$O,
MATCH($C250, 'New credit'!$A:$A, 0),
MATCH(G$17, 'New credit'!$1:$1, 0))</f>
        <v>0.17325996249056599</v>
      </c>
      <c r="H250" s="18">
        <v>0.15</v>
      </c>
      <c r="I250" s="18" cm="1">
        <f t="array" ref="I250">INDEX('Limit raise'!$A:$O,
MATCH(1,('Limit raise'!$A:$A=$C250)*('Limit raise'!$D:$D=I$16), 0),
MATCH(I$17,'Limit raise'!$1:$1,0))</f>
        <v>0.65517241379310343</v>
      </c>
      <c r="J250" s="18" cm="1">
        <f t="array" ref="J250">INDEX('Limit raise'!$A:$O,
MATCH(1,('Limit raise'!$A:$A=$C250)*('Limit raise'!$D:$D=J$16), 0),
MATCH(J$17,'Limit raise'!$1:$1,0))</f>
        <v>0.93249999999999988</v>
      </c>
      <c r="K250" s="18" cm="1">
        <f t="array" ref="K250">INDEX('Limit raise'!$A:$O,
MATCH(1,('Limit raise'!$A:$A=$C250)*('Limit raise'!$D:$D=K$16), 0),
MATCH(K$17,'Limit raise'!$1:$1,0))</f>
        <v>0.83071765864020142</v>
      </c>
      <c r="L250" s="18">
        <f>INDEX('Limit raise'!$A:$O,
MATCH($C250, 'Limit raise'!$A:$A, 0),
MATCH(L$17,'Limit raise'!$1:$1,0))</f>
        <v>0.1027482994903533</v>
      </c>
      <c r="M250" s="18">
        <v>0.15</v>
      </c>
      <c r="N250" s="18"/>
    </row>
    <row r="251" spans="3:14" s="13" customFormat="1" ht="7.2" customHeight="1" x14ac:dyDescent="0.3">
      <c r="C251" s="17">
        <v>233</v>
      </c>
      <c r="D251" s="18" cm="1">
        <f t="array" ref="D251">INDEX('New credit'!$A:$O,
MATCH(1,('New credit'!$A:$A=$C251)*('New credit'!$D:$D=D$16), 0),
MATCH(D$17,'New credit'!$1:$1,0))</f>
        <v>0.83333333333333337</v>
      </c>
      <c r="E251" s="18" cm="1">
        <f t="array" ref="E251">INDEX('New credit'!$A:$O,
MATCH(1,('New credit'!$A:$A=$C251)*('New credit'!$D:$D=E$16), 0),
MATCH(E$17,'New credit'!$1:$1,0))</f>
        <v>0.84821428571428559</v>
      </c>
      <c r="F251" s="18" cm="1">
        <f t="array" ref="F251">INDEX('New credit'!$A:$O,
MATCH(1,('New credit'!$A:$A=$C251)*('New credit'!$D:$D=F$16), 0),
MATCH(F$17,'New credit'!$1:$1,0))</f>
        <v>0.68366396666432616</v>
      </c>
      <c r="G251" s="18">
        <f>INDEX('New credit'!$A:$O,
MATCH($C251, 'New credit'!$A:$A, 0),
MATCH(G$17, 'New credit'!$1:$1, 0))</f>
        <v>8.8755050806073793E-2</v>
      </c>
      <c r="H251" s="18">
        <v>0.15</v>
      </c>
      <c r="I251" s="18" cm="1">
        <f t="array" ref="I251">INDEX('Limit raise'!$A:$O,
MATCH(1,('Limit raise'!$A:$A=$C251)*('Limit raise'!$D:$D=I$16), 0),
MATCH(I$17,'Limit raise'!$1:$1,0))</f>
        <v>0.68965517241379315</v>
      </c>
      <c r="J251" s="18" cm="1">
        <f t="array" ref="J251">INDEX('Limit raise'!$A:$O,
MATCH(1,('Limit raise'!$A:$A=$C251)*('Limit raise'!$D:$D=J$16), 0),
MATCH(J$17,'Limit raise'!$1:$1,0))</f>
        <v>0.92894736842105274</v>
      </c>
      <c r="K251" s="18" cm="1">
        <f t="array" ref="K251">INDEX('Limit raise'!$A:$O,
MATCH(1,('Limit raise'!$A:$A=$C251)*('Limit raise'!$D:$D=K$16), 0),
MATCH(K$17,'Limit raise'!$1:$1,0))</f>
        <v>0.84428228064506439</v>
      </c>
      <c r="L251" s="18">
        <f>INDEX('Limit raise'!$A:$O,
MATCH($C251, 'Limit raise'!$A:$A, 0),
MATCH(L$17,'Limit raise'!$1:$1,0))</f>
        <v>0.1028317724706902</v>
      </c>
      <c r="M251" s="18">
        <v>0.15</v>
      </c>
      <c r="N251" s="18"/>
    </row>
    <row r="252" spans="3:14" s="13" customFormat="1" ht="7.2" customHeight="1" x14ac:dyDescent="0.3">
      <c r="C252" s="17">
        <v>234</v>
      </c>
      <c r="D252" s="18" cm="1">
        <f t="array" ref="D252">INDEX('New credit'!$A:$O,
MATCH(1,('New credit'!$A:$A=$C252)*('New credit'!$D:$D=D$16), 0),
MATCH(D$17,'New credit'!$1:$1,0))</f>
        <v>0.76363636363636367</v>
      </c>
      <c r="E252" s="18" cm="1">
        <f t="array" ref="E252">INDEX('New credit'!$A:$O,
MATCH(1,('New credit'!$A:$A=$C252)*('New credit'!$D:$D=E$16), 0),
MATCH(E$17,'New credit'!$1:$1,0))</f>
        <v>0.87526315789473697</v>
      </c>
      <c r="F252" s="18" cm="1">
        <f t="array" ref="F252">INDEX('New credit'!$A:$O,
MATCH(1,('New credit'!$A:$A=$C252)*('New credit'!$D:$D=F$16), 0),
MATCH(F$17,'New credit'!$1:$1,0))</f>
        <v>0.74858201285459691</v>
      </c>
      <c r="G252" s="18">
        <f>INDEX('New credit'!$A:$O,
MATCH($C252, 'New credit'!$A:$A, 0),
MATCH(G$17, 'New credit'!$1:$1, 0))</f>
        <v>1</v>
      </c>
      <c r="H252" s="18">
        <v>0.15</v>
      </c>
      <c r="I252" s="18" cm="1">
        <f t="array" ref="I252">INDEX('Limit raise'!$A:$O,
MATCH(1,('Limit raise'!$A:$A=$C252)*('Limit raise'!$D:$D=I$16), 0),
MATCH(I$17,'Limit raise'!$1:$1,0))</f>
        <v>0.6785714285714286</v>
      </c>
      <c r="J252" s="18" cm="1">
        <f t="array" ref="J252">INDEX('Limit raise'!$A:$O,
MATCH(1,('Limit raise'!$A:$A=$C252)*('Limit raise'!$D:$D=J$16), 0),
MATCH(J$17,'Limit raise'!$1:$1,0))</f>
        <v>0.92947368421052634</v>
      </c>
      <c r="K252" s="18" cm="1">
        <f t="array" ref="K252">INDEX('Limit raise'!$A:$O,
MATCH(1,('Limit raise'!$A:$A=$C252)*('Limit raise'!$D:$D=K$16), 0),
MATCH(K$17,'Limit raise'!$1:$1,0))</f>
        <v>0.83131707050584802</v>
      </c>
      <c r="L252" s="18">
        <f>INDEX('Limit raise'!$A:$O,
MATCH($C252, 'Limit raise'!$A:$A, 0),
MATCH(L$17,'Limit raise'!$1:$1,0))</f>
        <v>0.1063863386324571</v>
      </c>
      <c r="M252" s="18">
        <v>0.15</v>
      </c>
      <c r="N252" s="18"/>
    </row>
    <row r="253" spans="3:14" s="13" customFormat="1" ht="7.2" customHeight="1" x14ac:dyDescent="0.3">
      <c r="C253" s="17">
        <v>235</v>
      </c>
      <c r="D253" s="18" cm="1">
        <f t="array" ref="D253">INDEX('New credit'!$A:$O,
MATCH(1,('New credit'!$A:$A=$C253)*('New credit'!$D:$D=D$16), 0),
MATCH(D$17,'New credit'!$1:$1,0))</f>
        <v>0.79032258064516125</v>
      </c>
      <c r="E253" s="18" cm="1">
        <f t="array" ref="E253">INDEX('New credit'!$A:$O,
MATCH(1,('New credit'!$A:$A=$C253)*('New credit'!$D:$D=E$16), 0),
MATCH(E$17,'New credit'!$1:$1,0))</f>
        <v>0.85468749999999982</v>
      </c>
      <c r="F253" s="18" cm="1">
        <f t="array" ref="F253">INDEX('New credit'!$A:$O,
MATCH(1,('New credit'!$A:$A=$C253)*('New credit'!$D:$D=F$16), 0),
MATCH(F$17,'New credit'!$1:$1,0))</f>
        <v>0.74657278391891524</v>
      </c>
      <c r="G253" s="18">
        <f>INDEX('New credit'!$A:$O,
MATCH($C253, 'New credit'!$A:$A, 0),
MATCH(G$17, 'New credit'!$1:$1, 0))</f>
        <v>1</v>
      </c>
      <c r="H253" s="18">
        <v>0.15</v>
      </c>
      <c r="I253" s="18" cm="1">
        <f t="array" ref="I253">INDEX('Limit raise'!$A:$O,
MATCH(1,('Limit raise'!$A:$A=$C253)*('Limit raise'!$D:$D=I$16), 0),
MATCH(I$17,'Limit raise'!$1:$1,0))</f>
        <v>0.70909090909090911</v>
      </c>
      <c r="J253" s="18" cm="1">
        <f t="array" ref="J253">INDEX('Limit raise'!$A:$O,
MATCH(1,('Limit raise'!$A:$A=$C253)*('Limit raise'!$D:$D=J$16), 0),
MATCH(J$17,'Limit raise'!$1:$1,0))</f>
        <v>0.93149999999999999</v>
      </c>
      <c r="K253" s="18" cm="1">
        <f t="array" ref="K253">INDEX('Limit raise'!$A:$O,
MATCH(1,('Limit raise'!$A:$A=$C253)*('Limit raise'!$D:$D=K$16), 0),
MATCH(K$17,'Limit raise'!$1:$1,0))</f>
        <v>0.82202105725405727</v>
      </c>
      <c r="L253" s="18">
        <f>INDEX('Limit raise'!$A:$O,
MATCH($C253, 'Limit raise'!$A:$A, 0),
MATCH(L$17,'Limit raise'!$1:$1,0))</f>
        <v>0.1093704771806439</v>
      </c>
      <c r="M253" s="18">
        <v>0.15</v>
      </c>
      <c r="N253" s="18"/>
    </row>
    <row r="254" spans="3:14" s="13" customFormat="1" ht="7.2" customHeight="1" x14ac:dyDescent="0.3">
      <c r="C254" s="17">
        <v>236</v>
      </c>
      <c r="D254" s="18" cm="1">
        <f t="array" ref="D254">INDEX('New credit'!$A:$O,
MATCH(1,('New credit'!$A:$A=$C254)*('New credit'!$D:$D=D$16), 0),
MATCH(D$17,'New credit'!$1:$1,0))</f>
        <v>0.72307692307692306</v>
      </c>
      <c r="E254" s="18" cm="1">
        <f t="array" ref="E254">INDEX('New credit'!$A:$O,
MATCH(1,('New credit'!$A:$A=$C254)*('New credit'!$D:$D=E$16), 0),
MATCH(E$17,'New credit'!$1:$1,0))</f>
        <v>0.85558823529411732</v>
      </c>
      <c r="F254" s="18" cm="1">
        <f t="array" ref="F254">INDEX('New credit'!$A:$O,
MATCH(1,('New credit'!$A:$A=$C254)*('New credit'!$D:$D=F$16), 0),
MATCH(F$17,'New credit'!$1:$1,0))</f>
        <v>0.74739069373338485</v>
      </c>
      <c r="G254" s="18">
        <f>INDEX('New credit'!$A:$O,
MATCH($C254, 'New credit'!$A:$A, 0),
MATCH(G$17, 'New credit'!$1:$1, 0))</f>
        <v>0.1035930561575472</v>
      </c>
      <c r="H254" s="18">
        <v>0.15</v>
      </c>
      <c r="I254" s="18" cm="1">
        <f t="array" ref="I254">INDEX('Limit raise'!$A:$O,
MATCH(1,('Limit raise'!$A:$A=$C254)*('Limit raise'!$D:$D=I$16), 0),
MATCH(I$17,'Limit raise'!$1:$1,0))</f>
        <v>0.70909090909090911</v>
      </c>
      <c r="J254" s="18" cm="1">
        <f t="array" ref="J254">INDEX('Limit raise'!$A:$O,
MATCH(1,('Limit raise'!$A:$A=$C254)*('Limit raise'!$D:$D=J$16), 0),
MATCH(J$17,'Limit raise'!$1:$1,0))</f>
        <v>0.93149999999999999</v>
      </c>
      <c r="K254" s="18" cm="1">
        <f t="array" ref="K254">INDEX('Limit raise'!$A:$O,
MATCH(1,('Limit raise'!$A:$A=$C254)*('Limit raise'!$D:$D=K$16), 0),
MATCH(K$17,'Limit raise'!$1:$1,0))</f>
        <v>0.80457261231069821</v>
      </c>
      <c r="L254" s="18">
        <f>INDEX('Limit raise'!$A:$O,
MATCH($C254, 'Limit raise'!$A:$A, 0),
MATCH(L$17,'Limit raise'!$1:$1,0))</f>
        <v>0.11168156913131699</v>
      </c>
      <c r="M254" s="18">
        <v>0.15</v>
      </c>
      <c r="N254" s="18"/>
    </row>
    <row r="255" spans="3:14" s="13" customFormat="1" ht="7.2" customHeight="1" x14ac:dyDescent="0.3">
      <c r="C255" s="17">
        <v>237</v>
      </c>
      <c r="D255" s="18" cm="1">
        <f t="array" ref="D255">INDEX('New credit'!$A:$O,
MATCH(1,('New credit'!$A:$A=$C255)*('New credit'!$D:$D=D$16), 0),
MATCH(D$17,'New credit'!$1:$1,0))</f>
        <v>0.734375</v>
      </c>
      <c r="E255" s="18" cm="1">
        <f t="array" ref="E255">INDEX('New credit'!$A:$O,
MATCH(1,('New credit'!$A:$A=$C255)*('New credit'!$D:$D=E$16), 0),
MATCH(E$17,'New credit'!$1:$1,0))</f>
        <v>0.86114285714285699</v>
      </c>
      <c r="F255" s="18" cm="1">
        <f t="array" ref="F255">INDEX('New credit'!$A:$O,
MATCH(1,('New credit'!$A:$A=$C255)*('New credit'!$D:$D=F$16), 0),
MATCH(F$17,'New credit'!$1:$1,0))</f>
        <v>0.74459131529481226</v>
      </c>
      <c r="G255" s="18">
        <f>INDEX('New credit'!$A:$O,
MATCH($C255, 'New credit'!$A:$A, 0),
MATCH(G$17, 'New credit'!$1:$1, 0))</f>
        <v>0.112827668116632</v>
      </c>
      <c r="H255" s="18">
        <v>0.15</v>
      </c>
      <c r="I255" s="18" cm="1">
        <f t="array" ref="I255">INDEX('Limit raise'!$A:$O,
MATCH(1,('Limit raise'!$A:$A=$C255)*('Limit raise'!$D:$D=I$16), 0),
MATCH(I$17,'Limit raise'!$1:$1,0))</f>
        <v>0.7142857142857143</v>
      </c>
      <c r="J255" s="18" cm="1">
        <f t="array" ref="J255">INDEX('Limit raise'!$A:$O,
MATCH(1,('Limit raise'!$A:$A=$C255)*('Limit raise'!$D:$D=J$16), 0),
MATCH(J$17,'Limit raise'!$1:$1,0))</f>
        <v>0.92631578947368431</v>
      </c>
      <c r="K255" s="18" cm="1">
        <f t="array" ref="K255">INDEX('Limit raise'!$A:$O,
MATCH(1,('Limit raise'!$A:$A=$C255)*('Limit raise'!$D:$D=K$16), 0),
MATCH(K$17,'Limit raise'!$1:$1,0))</f>
        <v>0.83665878913318736</v>
      </c>
      <c r="L255" s="18">
        <f>INDEX('Limit raise'!$A:$O,
MATCH($C255, 'Limit raise'!$A:$A, 0),
MATCH(L$17,'Limit raise'!$1:$1,0))</f>
        <v>0.1080007224304282</v>
      </c>
      <c r="M255" s="18">
        <v>0.15</v>
      </c>
      <c r="N255" s="18"/>
    </row>
    <row r="256" spans="3:14" s="13" customFormat="1" ht="7.2" customHeight="1" x14ac:dyDescent="0.3">
      <c r="C256" s="17">
        <v>238</v>
      </c>
      <c r="D256" s="18" cm="1">
        <f t="array" ref="D256">INDEX('New credit'!$A:$O,
MATCH(1,('New credit'!$A:$A=$C256)*('New credit'!$D:$D=D$16), 0),
MATCH(D$17,'New credit'!$1:$1,0))</f>
        <v>0.73134328358208955</v>
      </c>
      <c r="E256" s="18" cm="1">
        <f t="array" ref="E256">INDEX('New credit'!$A:$O,
MATCH(1,('New credit'!$A:$A=$C256)*('New credit'!$D:$D=E$16), 0),
MATCH(E$17,'New credit'!$1:$1,0))</f>
        <v>0.85882352941176443</v>
      </c>
      <c r="F256" s="18" cm="1">
        <f t="array" ref="F256">INDEX('New credit'!$A:$O,
MATCH(1,('New credit'!$A:$A=$C256)*('New credit'!$D:$D=F$16), 0),
MATCH(F$17,'New credit'!$1:$1,0))</f>
        <v>0.64733850653262226</v>
      </c>
      <c r="G256" s="18">
        <f>INDEX('New credit'!$A:$O,
MATCH($C256, 'New credit'!$A:$A, 0),
MATCH(G$17, 'New credit'!$1:$1, 0))</f>
        <v>0.14014210847343361</v>
      </c>
      <c r="H256" s="18">
        <v>0.15</v>
      </c>
      <c r="I256" s="18" cm="1">
        <f t="array" ref="I256">INDEX('Limit raise'!$A:$O,
MATCH(1,('Limit raise'!$A:$A=$C256)*('Limit raise'!$D:$D=I$16), 0),
MATCH(I$17,'Limit raise'!$1:$1,0))</f>
        <v>0.7592592592592593</v>
      </c>
      <c r="J256" s="18" cm="1">
        <f t="array" ref="J256">INDEX('Limit raise'!$A:$O,
MATCH(1,('Limit raise'!$A:$A=$C256)*('Limit raise'!$D:$D=J$16), 0),
MATCH(J$17,'Limit raise'!$1:$1,0))</f>
        <v>0.92611111111111122</v>
      </c>
      <c r="K256" s="18" cm="1">
        <f t="array" ref="K256">INDEX('Limit raise'!$A:$O,
MATCH(1,('Limit raise'!$A:$A=$C256)*('Limit raise'!$D:$D=K$16), 0),
MATCH(K$17,'Limit raise'!$1:$1,0))</f>
        <v>0.85232096354538756</v>
      </c>
      <c r="L256" s="18">
        <f>INDEX('Limit raise'!$A:$O,
MATCH($C256, 'Limit raise'!$A:$A, 0),
MATCH(L$17,'Limit raise'!$1:$1,0))</f>
        <v>0.1106704995233057</v>
      </c>
      <c r="M256" s="18">
        <v>0.15</v>
      </c>
      <c r="N256" s="18"/>
    </row>
    <row r="257" spans="3:14" s="13" customFormat="1" ht="7.2" customHeight="1" x14ac:dyDescent="0.3">
      <c r="C257" s="17">
        <v>239</v>
      </c>
      <c r="D257" s="18" cm="1">
        <f t="array" ref="D257">INDEX('New credit'!$A:$O,
MATCH(1,('New credit'!$A:$A=$C257)*('New credit'!$D:$D=D$16), 0),
MATCH(D$17,'New credit'!$1:$1,0))</f>
        <v>0.70588235294117652</v>
      </c>
      <c r="E257" s="18" cm="1">
        <f t="array" ref="E257">INDEX('New credit'!$A:$O,
MATCH(1,('New credit'!$A:$A=$C257)*('New credit'!$D:$D=E$16), 0),
MATCH(E$17,'New credit'!$1:$1,0))</f>
        <v>0.89</v>
      </c>
      <c r="F257" s="18" cm="1">
        <f t="array" ref="F257">INDEX('New credit'!$A:$O,
MATCH(1,('New credit'!$A:$A=$C257)*('New credit'!$D:$D=F$16), 0),
MATCH(F$17,'New credit'!$1:$1,0))</f>
        <v>0.77384302375030001</v>
      </c>
      <c r="G257" s="18">
        <f>INDEX('New credit'!$A:$O,
MATCH($C257, 'New credit'!$A:$A, 0),
MATCH(G$17, 'New credit'!$1:$1, 0))</f>
        <v>0.19047014851669969</v>
      </c>
      <c r="H257" s="18">
        <v>0.15</v>
      </c>
      <c r="I257" s="18" cm="1">
        <f t="array" ref="I257">INDEX('Limit raise'!$A:$O,
MATCH(1,('Limit raise'!$A:$A=$C257)*('Limit raise'!$D:$D=I$16), 0),
MATCH(I$17,'Limit raise'!$1:$1,0))</f>
        <v>0.79245283018867929</v>
      </c>
      <c r="J257" s="18" cm="1">
        <f t="array" ref="J257">INDEX('Limit raise'!$A:$O,
MATCH(1,('Limit raise'!$A:$A=$C257)*('Limit raise'!$D:$D=J$16), 0),
MATCH(J$17,'Limit raise'!$1:$1,0))</f>
        <v>0.88300000000000001</v>
      </c>
      <c r="K257" s="18" cm="1">
        <f t="array" ref="K257">INDEX('Limit raise'!$A:$O,
MATCH(1,('Limit raise'!$A:$A=$C257)*('Limit raise'!$D:$D=K$16), 0),
MATCH(K$17,'Limit raise'!$1:$1,0))</f>
        <v>0.80010571550376142</v>
      </c>
      <c r="L257" s="18">
        <f>INDEX('Limit raise'!$A:$O,
MATCH($C257, 'Limit raise'!$A:$A, 0),
MATCH(L$17,'Limit raise'!$1:$1,0))</f>
        <v>0.1133527942912298</v>
      </c>
      <c r="M257" s="18">
        <v>0.15</v>
      </c>
      <c r="N257" s="18"/>
    </row>
    <row r="258" spans="3:14" s="13" customFormat="1" ht="7.2" customHeight="1" x14ac:dyDescent="0.3">
      <c r="C258" s="17">
        <v>240</v>
      </c>
      <c r="D258" s="18" cm="1">
        <f t="array" ref="D258">INDEX('New credit'!$A:$O,
MATCH(1,('New credit'!$A:$A=$C258)*('New credit'!$D:$D=D$16), 0),
MATCH(D$17,'New credit'!$1:$1,0))</f>
        <v>0.68571428571428572</v>
      </c>
      <c r="E258" s="18" cm="1">
        <f t="array" ref="E258">INDEX('New credit'!$A:$O,
MATCH(1,('New credit'!$A:$A=$C258)*('New credit'!$D:$D=E$16), 0),
MATCH(E$17,'New credit'!$1:$1,0))</f>
        <v>0.89481481481481484</v>
      </c>
      <c r="F258" s="18" cm="1">
        <f t="array" ref="F258">INDEX('New credit'!$A:$O,
MATCH(1,('New credit'!$A:$A=$C258)*('New credit'!$D:$D=F$16), 0),
MATCH(F$17,'New credit'!$1:$1,0))</f>
        <v>0.81499452103181946</v>
      </c>
      <c r="G258" s="18">
        <f>INDEX('New credit'!$A:$O,
MATCH($C258, 'New credit'!$A:$A, 0),
MATCH(G$17, 'New credit'!$1:$1, 0))</f>
        <v>0.2292199733144793</v>
      </c>
      <c r="H258" s="18">
        <v>0.15</v>
      </c>
      <c r="I258" s="18" cm="1">
        <f t="array" ref="I258">INDEX('Limit raise'!$A:$O,
MATCH(1,('Limit raise'!$A:$A=$C258)*('Limit raise'!$D:$D=I$16), 0),
MATCH(I$17,'Limit raise'!$1:$1,0))</f>
        <v>0.77777777777777779</v>
      </c>
      <c r="J258" s="18" cm="1">
        <f t="array" ref="J258">INDEX('Limit raise'!$A:$O,
MATCH(1,('Limit raise'!$A:$A=$C258)*('Limit raise'!$D:$D=J$16), 0),
MATCH(J$17,'Limit raise'!$1:$1,0))</f>
        <v>0.88300000000000023</v>
      </c>
      <c r="K258" s="18" cm="1">
        <f t="array" ref="K258">INDEX('Limit raise'!$A:$O,
MATCH(1,('Limit raise'!$A:$A=$C258)*('Limit raise'!$D:$D=K$16), 0),
MATCH(K$17,'Limit raise'!$1:$1,0))</f>
        <v>0.7961619257904835</v>
      </c>
      <c r="L258" s="18">
        <f>INDEX('Limit raise'!$A:$O,
MATCH($C258, 'Limit raise'!$A:$A, 0),
MATCH(L$17,'Limit raise'!$1:$1,0))</f>
        <v>0.1105051292192159</v>
      </c>
      <c r="M258" s="18">
        <v>0.15</v>
      </c>
      <c r="N258" s="18"/>
    </row>
    <row r="259" spans="3:14" s="13" customFormat="1" ht="7.2" customHeight="1" x14ac:dyDescent="0.3">
      <c r="C259" s="17">
        <v>241</v>
      </c>
      <c r="D259" s="18" cm="1">
        <f t="array" ref="D259">INDEX('New credit'!$A:$O,
MATCH(1,('New credit'!$A:$A=$C259)*('New credit'!$D:$D=D$16), 0),
MATCH(D$17,'New credit'!$1:$1,0))</f>
        <v>0.69696969696969702</v>
      </c>
      <c r="E259" s="18" cm="1">
        <f t="array" ref="E259">INDEX('New credit'!$A:$O,
MATCH(1,('New credit'!$A:$A=$C259)*('New credit'!$D:$D=E$16), 0),
MATCH(E$17,'New credit'!$1:$1,0))</f>
        <v>0.8655172413793103</v>
      </c>
      <c r="F259" s="18" cm="1">
        <f t="array" ref="F259">INDEX('New credit'!$A:$O,
MATCH(1,('New credit'!$A:$A=$C259)*('New credit'!$D:$D=F$16), 0),
MATCH(F$17,'New credit'!$1:$1,0))</f>
        <v>0.72649578184772035</v>
      </c>
      <c r="G259" s="18">
        <f>INDEX('New credit'!$A:$O,
MATCH($C259, 'New credit'!$A:$A, 0),
MATCH(G$17, 'New credit'!$1:$1, 0))</f>
        <v>0.1464425273993106</v>
      </c>
      <c r="H259" s="18">
        <v>0.15</v>
      </c>
      <c r="I259" s="18" cm="1">
        <f t="array" ref="I259">INDEX('Limit raise'!$A:$O,
MATCH(1,('Limit raise'!$A:$A=$C259)*('Limit raise'!$D:$D=I$16), 0),
MATCH(I$17,'Limit raise'!$1:$1,0))</f>
        <v>0.77358490566037741</v>
      </c>
      <c r="J259" s="18" cm="1">
        <f t="array" ref="J259">INDEX('Limit raise'!$A:$O,
MATCH(1,('Limit raise'!$A:$A=$C259)*('Limit raise'!$D:$D=J$16), 0),
MATCH(J$17,'Limit raise'!$1:$1,0))</f>
        <v>0.8861904761904762</v>
      </c>
      <c r="K259" s="18" cm="1">
        <f t="array" ref="K259">INDEX('Limit raise'!$A:$O,
MATCH(1,('Limit raise'!$A:$A=$C259)*('Limit raise'!$D:$D=K$16), 0),
MATCH(K$17,'Limit raise'!$1:$1,0))</f>
        <v>0.80518707571691794</v>
      </c>
      <c r="L259" s="18">
        <f>INDEX('Limit raise'!$A:$O,
MATCH($C259, 'Limit raise'!$A:$A, 0),
MATCH(L$17,'Limit raise'!$1:$1,0))</f>
        <v>0.1078916044061837</v>
      </c>
      <c r="M259" s="18">
        <v>0.15</v>
      </c>
      <c r="N259" s="18"/>
    </row>
    <row r="260" spans="3:14" s="13" customFormat="1" ht="7.2" customHeight="1" x14ac:dyDescent="0.3">
      <c r="C260" s="17">
        <v>242</v>
      </c>
      <c r="D260" s="18" cm="1">
        <f t="array" ref="D260">INDEX('New credit'!$A:$O,
MATCH(1,('New credit'!$A:$A=$C260)*('New credit'!$D:$D=D$16), 0),
MATCH(D$17,'New credit'!$1:$1,0))</f>
        <v>0.63492063492063489</v>
      </c>
      <c r="E260" s="18" cm="1">
        <f t="array" ref="E260">INDEX('New credit'!$A:$O,
MATCH(1,('New credit'!$A:$A=$C260)*('New credit'!$D:$D=E$16), 0),
MATCH(E$17,'New credit'!$1:$1,0))</f>
        <v>0.85774193548387112</v>
      </c>
      <c r="F260" s="18" cm="1">
        <f t="array" ref="F260">INDEX('New credit'!$A:$O,
MATCH(1,('New credit'!$A:$A=$C260)*('New credit'!$D:$D=F$16), 0),
MATCH(F$17,'New credit'!$1:$1,0))</f>
        <v>0.7675607166878351</v>
      </c>
      <c r="G260" s="18">
        <f>INDEX('New credit'!$A:$O,
MATCH($C260, 'New credit'!$A:$A, 0),
MATCH(G$17, 'New credit'!$1:$1, 0))</f>
        <v>0.20500599707533479</v>
      </c>
      <c r="H260" s="18">
        <v>0.15</v>
      </c>
      <c r="I260" s="18" cm="1">
        <f t="array" ref="I260">INDEX('Limit raise'!$A:$O,
MATCH(1,('Limit raise'!$A:$A=$C260)*('Limit raise'!$D:$D=I$16), 0),
MATCH(I$17,'Limit raise'!$1:$1,0))</f>
        <v>0.75471698113207553</v>
      </c>
      <c r="J260" s="18" cm="1">
        <f t="array" ref="J260">INDEX('Limit raise'!$A:$O,
MATCH(1,('Limit raise'!$A:$A=$C260)*('Limit raise'!$D:$D=J$16), 0),
MATCH(J$17,'Limit raise'!$1:$1,0))</f>
        <v>0.88200000000000001</v>
      </c>
      <c r="K260" s="18" cm="1">
        <f t="array" ref="K260">INDEX('Limit raise'!$A:$O,
MATCH(1,('Limit raise'!$A:$A=$C260)*('Limit raise'!$D:$D=K$16), 0),
MATCH(K$17,'Limit raise'!$1:$1,0))</f>
        <v>0.79570350080095731</v>
      </c>
      <c r="L260" s="18">
        <f>INDEX('Limit raise'!$A:$O,
MATCH($C260, 'Limit raise'!$A:$A, 0),
MATCH(L$17,'Limit raise'!$1:$1,0))</f>
        <v>0.109765155127831</v>
      </c>
      <c r="M260" s="18">
        <v>0.15</v>
      </c>
      <c r="N260" s="18"/>
    </row>
    <row r="261" spans="3:14" s="13" customFormat="1" ht="7.2" customHeight="1" x14ac:dyDescent="0.3">
      <c r="C261" s="17">
        <v>243</v>
      </c>
      <c r="D261" s="18" cm="1">
        <f t="array" ref="D261">INDEX('New credit'!$A:$O,
MATCH(1,('New credit'!$A:$A=$C261)*('New credit'!$D:$D=D$16), 0),
MATCH(D$17,'New credit'!$1:$1,0))</f>
        <v>0.6428571428571429</v>
      </c>
      <c r="E261" s="18" cm="1">
        <f t="array" ref="E261">INDEX('New credit'!$A:$O,
MATCH(1,('New credit'!$A:$A=$C261)*('New credit'!$D:$D=E$16), 0),
MATCH(E$17,'New credit'!$1:$1,0))</f>
        <v>0.86562499999999976</v>
      </c>
      <c r="F261" s="18" cm="1">
        <f t="array" ref="F261">INDEX('New credit'!$A:$O,
MATCH(1,('New credit'!$A:$A=$C261)*('New credit'!$D:$D=F$16), 0),
MATCH(F$17,'New credit'!$1:$1,0))</f>
        <v>0.80076210112090995</v>
      </c>
      <c r="G261" s="18">
        <f>INDEX('New credit'!$A:$O,
MATCH($C261, 'New credit'!$A:$A, 0),
MATCH(G$17, 'New credit'!$1:$1, 0))</f>
        <v>0.2115859301168671</v>
      </c>
      <c r="H261" s="18">
        <v>0.15</v>
      </c>
      <c r="I261" s="18" cm="1">
        <f t="array" ref="I261">INDEX('Limit raise'!$A:$O,
MATCH(1,('Limit raise'!$A:$A=$C261)*('Limit raise'!$D:$D=I$16), 0),
MATCH(I$17,'Limit raise'!$1:$1,0))</f>
        <v>0.75471698113207553</v>
      </c>
      <c r="J261" s="18" cm="1">
        <f t="array" ref="J261">INDEX('Limit raise'!$A:$O,
MATCH(1,('Limit raise'!$A:$A=$C261)*('Limit raise'!$D:$D=J$16), 0),
MATCH(J$17,'Limit raise'!$1:$1,0))</f>
        <v>0.88285714285714278</v>
      </c>
      <c r="K261" s="18" cm="1">
        <f t="array" ref="K261">INDEX('Limit raise'!$A:$O,
MATCH(1,('Limit raise'!$A:$A=$C261)*('Limit raise'!$D:$D=K$16), 0),
MATCH(K$17,'Limit raise'!$1:$1,0))</f>
        <v>0.8080320890227437</v>
      </c>
      <c r="L261" s="18">
        <f>INDEX('Limit raise'!$A:$O,
MATCH($C261, 'Limit raise'!$A:$A, 0),
MATCH(L$17,'Limit raise'!$1:$1,0))</f>
        <v>0.1090337330991472</v>
      </c>
      <c r="M261" s="18">
        <v>0.15</v>
      </c>
      <c r="N261" s="18"/>
    </row>
    <row r="262" spans="3:14" s="13" customFormat="1" ht="7.2" customHeight="1" x14ac:dyDescent="0.3">
      <c r="C262" s="17">
        <v>244</v>
      </c>
      <c r="D262" s="18" cm="1">
        <f t="array" ref="D262">INDEX('New credit'!$A:$O,
MATCH(1,('New credit'!$A:$A=$C262)*('New credit'!$D:$D=D$16), 0),
MATCH(D$17,'New credit'!$1:$1,0))</f>
        <v>0.69565217391304346</v>
      </c>
      <c r="E262" s="18" cm="1">
        <f t="array" ref="E262">INDEX('New credit'!$A:$O,
MATCH(1,('New credit'!$A:$A=$C262)*('New credit'!$D:$D=E$16), 0),
MATCH(E$17,'New credit'!$1:$1,0))</f>
        <v>0.85499999999999998</v>
      </c>
      <c r="F262" s="18" cm="1">
        <f t="array" ref="F262">INDEX('New credit'!$A:$O,
MATCH(1,('New credit'!$A:$A=$C262)*('New credit'!$D:$D=F$16), 0),
MATCH(F$17,'New credit'!$1:$1,0))</f>
        <v>0.76841370199286485</v>
      </c>
      <c r="G262" s="18">
        <f>INDEX('New credit'!$A:$O,
MATCH($C262, 'New credit'!$A:$A, 0),
MATCH(G$17, 'New credit'!$1:$1, 0))</f>
        <v>0.1557368963924112</v>
      </c>
      <c r="H262" s="18">
        <v>0.15</v>
      </c>
      <c r="I262" s="18" cm="1">
        <f t="array" ref="I262">INDEX('Limit raise'!$A:$O,
MATCH(1,('Limit raise'!$A:$A=$C262)*('Limit raise'!$D:$D=I$16), 0),
MATCH(I$17,'Limit raise'!$1:$1,0))</f>
        <v>0.7407407407407407</v>
      </c>
      <c r="J262" s="18" cm="1">
        <f t="array" ref="J262">INDEX('Limit raise'!$A:$O,
MATCH(1,('Limit raise'!$A:$A=$C262)*('Limit raise'!$D:$D=J$16), 0),
MATCH(J$17,'Limit raise'!$1:$1,0))</f>
        <v>0.88238095238095227</v>
      </c>
      <c r="K262" s="18" cm="1">
        <f t="array" ref="K262">INDEX('Limit raise'!$A:$O,
MATCH(1,('Limit raise'!$A:$A=$C262)*('Limit raise'!$D:$D=K$16), 0),
MATCH(K$17,'Limit raise'!$1:$1,0))</f>
        <v>0.8110320872903416</v>
      </c>
      <c r="L262" s="18">
        <f>INDEX('Limit raise'!$A:$O,
MATCH($C262, 'Limit raise'!$A:$A, 0),
MATCH(L$17,'Limit raise'!$1:$1,0))</f>
        <v>0.10835425008238569</v>
      </c>
      <c r="M262" s="18">
        <v>0.15</v>
      </c>
      <c r="N262" s="18"/>
    </row>
    <row r="263" spans="3:14" s="13" customFormat="1" ht="7.2" customHeight="1" x14ac:dyDescent="0.3">
      <c r="C263" s="17">
        <v>245</v>
      </c>
      <c r="D263" s="18" cm="1">
        <f t="array" ref="D263">INDEX('New credit'!$A:$O,
MATCH(1,('New credit'!$A:$A=$C263)*('New credit'!$D:$D=D$16), 0),
MATCH(D$17,'New credit'!$1:$1,0))</f>
        <v>0.73770491803278693</v>
      </c>
      <c r="E263" s="18" cm="1">
        <f t="array" ref="E263">INDEX('New credit'!$A:$O,
MATCH(1,('New credit'!$A:$A=$C263)*('New credit'!$D:$D=E$16), 0),
MATCH(E$17,'New credit'!$1:$1,0))</f>
        <v>0.8603846153846153</v>
      </c>
      <c r="F263" s="18" cm="1">
        <f t="array" ref="F263">INDEX('New credit'!$A:$O,
MATCH(1,('New credit'!$A:$A=$C263)*('New credit'!$D:$D=F$16), 0),
MATCH(F$17,'New credit'!$1:$1,0))</f>
        <v>0.76153747911596137</v>
      </c>
      <c r="G263" s="18">
        <f>INDEX('New credit'!$A:$O,
MATCH($C263, 'New credit'!$A:$A, 0),
MATCH(G$17, 'New credit'!$1:$1, 0))</f>
        <v>0.11296430715484609</v>
      </c>
      <c r="H263" s="18">
        <v>0.15</v>
      </c>
      <c r="I263" s="18" cm="1">
        <f t="array" ref="I263">INDEX('Limit raise'!$A:$O,
MATCH(1,('Limit raise'!$A:$A=$C263)*('Limit raise'!$D:$D=I$16), 0),
MATCH(I$17,'Limit raise'!$1:$1,0))</f>
        <v>0.71698113207547165</v>
      </c>
      <c r="J263" s="18" cm="1">
        <f t="array" ref="J263">INDEX('Limit raise'!$A:$O,
MATCH(1,('Limit raise'!$A:$A=$C263)*('Limit raise'!$D:$D=J$16), 0),
MATCH(J$17,'Limit raise'!$1:$1,0))</f>
        <v>0.88285714285714278</v>
      </c>
      <c r="K263" s="18" cm="1">
        <f t="array" ref="K263">INDEX('Limit raise'!$A:$O,
MATCH(1,('Limit raise'!$A:$A=$C263)*('Limit raise'!$D:$D=K$16), 0),
MATCH(K$17,'Limit raise'!$1:$1,0))</f>
        <v>0.78356495455087505</v>
      </c>
      <c r="L263" s="18">
        <f>INDEX('Limit raise'!$A:$O,
MATCH($C263, 'Limit raise'!$A:$A, 0),
MATCH(L$17,'Limit raise'!$1:$1,0))</f>
        <v>0.10643168385395189</v>
      </c>
      <c r="M263" s="18">
        <v>0.15</v>
      </c>
      <c r="N263" s="18"/>
    </row>
    <row r="264" spans="3:14" s="13" customFormat="1" ht="7.2" customHeight="1" x14ac:dyDescent="0.3">
      <c r="C264" s="17">
        <v>246</v>
      </c>
      <c r="D264" s="18" cm="1">
        <f t="array" ref="D264">INDEX('New credit'!$A:$O,
MATCH(1,('New credit'!$A:$A=$C264)*('New credit'!$D:$D=D$16), 0),
MATCH(D$17,'New credit'!$1:$1,0))</f>
        <v>0.78333333333333333</v>
      </c>
      <c r="E264" s="18" cm="1">
        <f t="array" ref="E264">INDEX('New credit'!$A:$O,
MATCH(1,('New credit'!$A:$A=$C264)*('New credit'!$D:$D=E$16), 0),
MATCH(E$17,'New credit'!$1:$1,0))</f>
        <v>0.86677419354838681</v>
      </c>
      <c r="F264" s="18" cm="1">
        <f t="array" ref="F264">INDEX('New credit'!$A:$O,
MATCH(1,('New credit'!$A:$A=$C264)*('New credit'!$D:$D=F$16), 0),
MATCH(F$17,'New credit'!$1:$1,0))</f>
        <v>0.79564688802512018</v>
      </c>
      <c r="G264" s="18">
        <f>INDEX('New credit'!$A:$O,
MATCH($C264, 'New credit'!$A:$A, 0),
MATCH(G$17, 'New credit'!$1:$1, 0))</f>
        <v>0.16801475747831501</v>
      </c>
      <c r="H264" s="18">
        <v>0.15</v>
      </c>
      <c r="I264" s="18" cm="1">
        <f t="array" ref="I264">INDEX('Limit raise'!$A:$O,
MATCH(1,('Limit raise'!$A:$A=$C264)*('Limit raise'!$D:$D=I$16), 0),
MATCH(I$17,'Limit raise'!$1:$1,0))</f>
        <v>0.71698113207547165</v>
      </c>
      <c r="J264" s="18" cm="1">
        <f t="array" ref="J264">INDEX('Limit raise'!$A:$O,
MATCH(1,('Limit raise'!$A:$A=$C264)*('Limit raise'!$D:$D=J$16), 0),
MATCH(J$17,'Limit raise'!$1:$1,0))</f>
        <v>0.88380952380952371</v>
      </c>
      <c r="K264" s="18" cm="1">
        <f t="array" ref="K264">INDEX('Limit raise'!$A:$O,
MATCH(1,('Limit raise'!$A:$A=$C264)*('Limit raise'!$D:$D=K$16), 0),
MATCH(K$17,'Limit raise'!$1:$1,0))</f>
        <v>0.78890353795924573</v>
      </c>
      <c r="L264" s="18">
        <f>INDEX('Limit raise'!$A:$O,
MATCH($C264, 'Limit raise'!$A:$A, 0),
MATCH(L$17,'Limit raise'!$1:$1,0))</f>
        <v>0.1079636633726221</v>
      </c>
      <c r="M264" s="18">
        <v>0.15</v>
      </c>
      <c r="N264" s="18"/>
    </row>
    <row r="265" spans="3:14" s="13" customFormat="1" ht="7.2" customHeight="1" x14ac:dyDescent="0.3">
      <c r="C265" s="17">
        <v>247</v>
      </c>
      <c r="D265" s="18" cm="1">
        <f t="array" ref="D265">INDEX('New credit'!$A:$O,
MATCH(1,('New credit'!$A:$A=$C265)*('New credit'!$D:$D=D$16), 0),
MATCH(D$17,'New credit'!$1:$1,0))</f>
        <v>0.79365079365079361</v>
      </c>
      <c r="E265" s="18" cm="1">
        <f t="array" ref="E265">INDEX('New credit'!$A:$O,
MATCH(1,('New credit'!$A:$A=$C265)*('New credit'!$D:$D=E$16), 0),
MATCH(E$17,'New credit'!$1:$1,0))</f>
        <v>0.86562499999999976</v>
      </c>
      <c r="F265" s="18" cm="1">
        <f t="array" ref="F265">INDEX('New credit'!$A:$O,
MATCH(1,('New credit'!$A:$A=$C265)*('New credit'!$D:$D=F$16), 0),
MATCH(F$17,'New credit'!$1:$1,0))</f>
        <v>0.81477477475561699</v>
      </c>
      <c r="G265" s="18">
        <f>INDEX('New credit'!$A:$O,
MATCH($C265, 'New credit'!$A:$A, 0),
MATCH(G$17, 'New credit'!$1:$1, 0))</f>
        <v>9.2864244099292503E-2</v>
      </c>
      <c r="H265" s="18">
        <v>0.15</v>
      </c>
      <c r="I265" s="18" cm="1">
        <f t="array" ref="I265">INDEX('Limit raise'!$A:$O,
MATCH(1,('Limit raise'!$A:$A=$C265)*('Limit raise'!$D:$D=I$16), 0),
MATCH(I$17,'Limit raise'!$1:$1,0))</f>
        <v>0.69811320754716977</v>
      </c>
      <c r="J265" s="18" cm="1">
        <f t="array" ref="J265">INDEX('Limit raise'!$A:$O,
MATCH(1,('Limit raise'!$A:$A=$C265)*('Limit raise'!$D:$D=J$16), 0),
MATCH(J$17,'Limit raise'!$1:$1,0))</f>
        <v>0.88545454545454549</v>
      </c>
      <c r="K265" s="18" cm="1">
        <f t="array" ref="K265">INDEX('Limit raise'!$A:$O,
MATCH(1,('Limit raise'!$A:$A=$C265)*('Limit raise'!$D:$D=K$16), 0),
MATCH(K$17,'Limit raise'!$1:$1,0))</f>
        <v>0.76743192605337829</v>
      </c>
      <c r="L265" s="18">
        <f>INDEX('Limit raise'!$A:$O,
MATCH($C265, 'Limit raise'!$A:$A, 0),
MATCH(L$17,'Limit raise'!$1:$1,0))</f>
        <v>0.1082845087215594</v>
      </c>
      <c r="M265" s="18">
        <v>0.15</v>
      </c>
      <c r="N265" s="18"/>
    </row>
    <row r="266" spans="3:14" s="13" customFormat="1" ht="7.2" customHeight="1" x14ac:dyDescent="0.3">
      <c r="C266" s="17">
        <v>248</v>
      </c>
      <c r="D266" s="18" cm="1">
        <f t="array" ref="D266">INDEX('New credit'!$A:$O,
MATCH(1,('New credit'!$A:$A=$C266)*('New credit'!$D:$D=D$16), 0),
MATCH(D$17,'New credit'!$1:$1,0))</f>
        <v>0.72307692307692306</v>
      </c>
      <c r="E266" s="18" cm="1">
        <f t="array" ref="E266">INDEX('New credit'!$A:$O,
MATCH(1,('New credit'!$A:$A=$C266)*('New credit'!$D:$D=E$16), 0),
MATCH(E$17,'New credit'!$1:$1,0))</f>
        <v>0.86099999999999999</v>
      </c>
      <c r="F266" s="18" cm="1">
        <f t="array" ref="F266">INDEX('New credit'!$A:$O,
MATCH(1,('New credit'!$A:$A=$C266)*('New credit'!$D:$D=F$16), 0),
MATCH(F$17,'New credit'!$1:$1,0))</f>
        <v>0.80249905068961347</v>
      </c>
      <c r="G266" s="18">
        <f>INDEX('New credit'!$A:$O,
MATCH($C266, 'New credit'!$A:$A, 0),
MATCH(G$17, 'New credit'!$1:$1, 0))</f>
        <v>0.11157905734773541</v>
      </c>
      <c r="H266" s="18">
        <v>0.15</v>
      </c>
      <c r="I266" s="18" cm="1">
        <f t="array" ref="I266">INDEX('Limit raise'!$A:$O,
MATCH(1,('Limit raise'!$A:$A=$C266)*('Limit raise'!$D:$D=I$16), 0),
MATCH(I$17,'Limit raise'!$1:$1,0))</f>
        <v>0.68518518518518523</v>
      </c>
      <c r="J266" s="18" cm="1">
        <f t="array" ref="J266">INDEX('Limit raise'!$A:$O,
MATCH(1,('Limit raise'!$A:$A=$C266)*('Limit raise'!$D:$D=J$16), 0),
MATCH(J$17,'Limit raise'!$1:$1,0))</f>
        <v>0.88608695652173897</v>
      </c>
      <c r="K266" s="18" cm="1">
        <f t="array" ref="K266">INDEX('Limit raise'!$A:$O,
MATCH(1,('Limit raise'!$A:$A=$C266)*('Limit raise'!$D:$D=K$16), 0),
MATCH(K$17,'Limit raise'!$1:$1,0))</f>
        <v>0.771374193664084</v>
      </c>
      <c r="L266" s="18">
        <f>INDEX('Limit raise'!$A:$O,
MATCH($C266, 'Limit raise'!$A:$A, 0),
MATCH(L$17,'Limit raise'!$1:$1,0))</f>
        <v>0.11008615598397931</v>
      </c>
      <c r="M266" s="18">
        <v>0.15</v>
      </c>
      <c r="N266" s="18"/>
    </row>
    <row r="267" spans="3:14" s="13" customFormat="1" ht="7.2" customHeight="1" x14ac:dyDescent="0.3">
      <c r="C267" s="17">
        <v>249</v>
      </c>
      <c r="D267" s="18" cm="1">
        <f t="array" ref="D267">INDEX('New credit'!$A:$O,
MATCH(1,('New credit'!$A:$A=$C267)*('New credit'!$D:$D=D$16), 0),
MATCH(D$17,'New credit'!$1:$1,0))</f>
        <v>0.6875</v>
      </c>
      <c r="E267" s="18" cm="1">
        <f t="array" ref="E267">INDEX('New credit'!$A:$O,
MATCH(1,('New credit'!$A:$A=$C267)*('New credit'!$D:$D=E$16), 0),
MATCH(E$17,'New credit'!$1:$1,0))</f>
        <v>0.88879999999999981</v>
      </c>
      <c r="F267" s="18" cm="1">
        <f t="array" ref="F267">INDEX('New credit'!$A:$O,
MATCH(1,('New credit'!$A:$A=$C267)*('New credit'!$D:$D=F$16), 0),
MATCH(F$17,'New credit'!$1:$1,0))</f>
        <v>0.80180867382364041</v>
      </c>
      <c r="G267" s="18">
        <f>INDEX('New credit'!$A:$O,
MATCH($C267, 'New credit'!$A:$A, 0),
MATCH(G$17, 'New credit'!$1:$1, 0))</f>
        <v>0.15039731114401811</v>
      </c>
      <c r="H267" s="18">
        <v>0.15</v>
      </c>
      <c r="I267" s="18" cm="1">
        <f t="array" ref="I267">INDEX('Limit raise'!$A:$O,
MATCH(1,('Limit raise'!$A:$A=$C267)*('Limit raise'!$D:$D=I$16), 0),
MATCH(I$17,'Limit raise'!$1:$1,0))</f>
        <v>0.68518518518518523</v>
      </c>
      <c r="J267" s="18" cm="1">
        <f t="array" ref="J267">INDEX('Limit raise'!$A:$O,
MATCH(1,('Limit raise'!$A:$A=$C267)*('Limit raise'!$D:$D=J$16), 0),
MATCH(J$17,'Limit raise'!$1:$1,0))</f>
        <v>0.88652173913043464</v>
      </c>
      <c r="K267" s="18" cm="1">
        <f t="array" ref="K267">INDEX('Limit raise'!$A:$O,
MATCH(1,('Limit raise'!$A:$A=$C267)*('Limit raise'!$D:$D=K$16), 0),
MATCH(K$17,'Limit raise'!$1:$1,0))</f>
        <v>0.77413878819310356</v>
      </c>
      <c r="L267" s="18">
        <f>INDEX('Limit raise'!$A:$O,
MATCH($C267, 'Limit raise'!$A:$A, 0),
MATCH(L$17,'Limit raise'!$1:$1,0))</f>
        <v>0.1098192619722947</v>
      </c>
      <c r="M267" s="18">
        <v>0.15</v>
      </c>
      <c r="N267" s="18"/>
    </row>
    <row r="268" spans="3:14" s="13" customFormat="1" ht="7.2" customHeight="1" x14ac:dyDescent="0.3">
      <c r="C268" s="17">
        <v>250</v>
      </c>
      <c r="D268" s="18" cm="1">
        <f t="array" ref="D268">INDEX('New credit'!$A:$O,
MATCH(1,('New credit'!$A:$A=$C268)*('New credit'!$D:$D=D$16), 0),
MATCH(D$17,'New credit'!$1:$1,0))</f>
        <v>0.74603174603174605</v>
      </c>
      <c r="E268" s="18" cm="1">
        <f t="array" ref="E268">INDEX('New credit'!$A:$O,
MATCH(1,('New credit'!$A:$A=$C268)*('New credit'!$D:$D=E$16), 0),
MATCH(E$17,'New credit'!$1:$1,0))</f>
        <v>0.86074074074074058</v>
      </c>
      <c r="F268" s="18" cm="1">
        <f t="array" ref="F268">INDEX('New credit'!$A:$O,
MATCH(1,('New credit'!$A:$A=$C268)*('New credit'!$D:$D=F$16), 0),
MATCH(F$17,'New credit'!$1:$1,0))</f>
        <v>0.69378824039362863</v>
      </c>
      <c r="G268" s="18">
        <f>INDEX('New credit'!$A:$O,
MATCH($C268, 'New credit'!$A:$A, 0),
MATCH(G$17, 'New credit'!$1:$1, 0))</f>
        <v>0.1200402252982135</v>
      </c>
      <c r="H268" s="18">
        <v>0.15</v>
      </c>
      <c r="I268" s="18" cm="1">
        <f t="array" ref="I268">INDEX('Limit raise'!$A:$O,
MATCH(1,('Limit raise'!$A:$A=$C268)*('Limit raise'!$D:$D=I$16), 0),
MATCH(I$17,'Limit raise'!$1:$1,0))</f>
        <v>0.70370370370370372</v>
      </c>
      <c r="J268" s="18" cm="1">
        <f t="array" ref="J268">INDEX('Limit raise'!$A:$O,
MATCH(1,('Limit raise'!$A:$A=$C268)*('Limit raise'!$D:$D=J$16), 0),
MATCH(J$17,'Limit raise'!$1:$1,0))</f>
        <v>0.88652173913043486</v>
      </c>
      <c r="K268" s="18" cm="1">
        <f t="array" ref="K268">INDEX('Limit raise'!$A:$O,
MATCH(1,('Limit raise'!$A:$A=$C268)*('Limit raise'!$D:$D=K$16), 0),
MATCH(K$17,'Limit raise'!$1:$1,0))</f>
        <v>0.79491193863397447</v>
      </c>
      <c r="L268" s="18">
        <f>INDEX('Limit raise'!$A:$O,
MATCH($C268, 'Limit raise'!$A:$A, 0),
MATCH(L$17,'Limit raise'!$1:$1,0))</f>
        <v>0.1102859481548073</v>
      </c>
      <c r="M268" s="18">
        <v>0.15</v>
      </c>
      <c r="N268" s="18"/>
    </row>
    <row r="269" spans="3:14" s="13" customFormat="1" ht="7.2" customHeight="1" x14ac:dyDescent="0.3">
      <c r="C269" s="17">
        <v>251</v>
      </c>
      <c r="D269" s="18" cm="1">
        <f t="array" ref="D269">INDEX('New credit'!$A:$O,
MATCH(1,('New credit'!$A:$A=$C269)*('New credit'!$D:$D=D$16), 0),
MATCH(D$17,'New credit'!$1:$1,0))</f>
        <v>0.72580645161290325</v>
      </c>
      <c r="E269" s="18" cm="1">
        <f t="array" ref="E269">INDEX('New credit'!$A:$O,
MATCH(1,('New credit'!$A:$A=$C269)*('New credit'!$D:$D=E$16), 0),
MATCH(E$17,'New credit'!$1:$1,0))</f>
        <v>0.85999999999999965</v>
      </c>
      <c r="F269" s="18" cm="1">
        <f t="array" ref="F269">INDEX('New credit'!$A:$O,
MATCH(1,('New credit'!$A:$A=$C269)*('New credit'!$D:$D=F$16), 0),
MATCH(F$17,'New credit'!$1:$1,0))</f>
        <v>0.77031355114465039</v>
      </c>
      <c r="G269" s="18">
        <f>INDEX('New credit'!$A:$O,
MATCH($C269, 'New credit'!$A:$A, 0),
MATCH(G$17, 'New credit'!$1:$1, 0))</f>
        <v>0.1245273334801415</v>
      </c>
      <c r="H269" s="18">
        <v>0.15</v>
      </c>
      <c r="I269" s="18" cm="1">
        <f t="array" ref="I269">INDEX('Limit raise'!$A:$O,
MATCH(1,('Limit raise'!$A:$A=$C269)*('Limit raise'!$D:$D=I$16), 0),
MATCH(I$17,'Limit raise'!$1:$1,0))</f>
        <v>0.68518518518518523</v>
      </c>
      <c r="J269" s="18" cm="1">
        <f t="array" ref="J269">INDEX('Limit raise'!$A:$O,
MATCH(1,('Limit raise'!$A:$A=$C269)*('Limit raise'!$D:$D=J$16), 0),
MATCH(J$17,'Limit raise'!$1:$1,0))</f>
        <v>0.88695652173913042</v>
      </c>
      <c r="K269" s="18" cm="1">
        <f t="array" ref="K269">INDEX('Limit raise'!$A:$O,
MATCH(1,('Limit raise'!$A:$A=$C269)*('Limit raise'!$D:$D=K$16), 0),
MATCH(K$17,'Limit raise'!$1:$1,0))</f>
        <v>0.76990459937673805</v>
      </c>
      <c r="L269" s="18">
        <f>INDEX('Limit raise'!$A:$O,
MATCH($C269, 'Limit raise'!$A:$A, 0),
MATCH(L$17,'Limit raise'!$1:$1,0))</f>
        <v>0.1122414905224558</v>
      </c>
      <c r="M269" s="18">
        <v>0.15</v>
      </c>
      <c r="N269" s="18"/>
    </row>
    <row r="270" spans="3:14" s="13" customFormat="1" ht="7.2" customHeight="1" x14ac:dyDescent="0.3">
      <c r="C270" s="17">
        <v>252</v>
      </c>
      <c r="D270" s="18" cm="1">
        <f t="array" ref="D270">INDEX('New credit'!$A:$O,
MATCH(1,('New credit'!$A:$A=$C270)*('New credit'!$D:$D=D$16), 0),
MATCH(D$17,'New credit'!$1:$1,0))</f>
        <v>0.75806451612903225</v>
      </c>
      <c r="E270" s="18" cm="1">
        <f t="array" ref="E270">INDEX('New credit'!$A:$O,
MATCH(1,('New credit'!$A:$A=$C270)*('New credit'!$D:$D=E$16), 0),
MATCH(E$17,'New credit'!$1:$1,0))</f>
        <v>0.85531249999999992</v>
      </c>
      <c r="F270" s="18" cm="1">
        <f t="array" ref="F270">INDEX('New credit'!$A:$O,
MATCH(1,('New credit'!$A:$A=$C270)*('New credit'!$D:$D=F$16), 0),
MATCH(F$17,'New credit'!$1:$1,0))</f>
        <v>0.79561854907280216</v>
      </c>
      <c r="G270" s="18">
        <f>INDEX('New credit'!$A:$O,
MATCH($C270, 'New credit'!$A:$A, 0),
MATCH(G$17, 'New credit'!$1:$1, 0))</f>
        <v>0.1895757411739179</v>
      </c>
      <c r="H270" s="18">
        <v>0.15</v>
      </c>
      <c r="I270" s="18" cm="1">
        <f t="array" ref="I270">INDEX('Limit raise'!$A:$O,
MATCH(1,('Limit raise'!$A:$A=$C270)*('Limit raise'!$D:$D=I$16), 0),
MATCH(I$17,'Limit raise'!$1:$1,0))</f>
        <v>0.69811320754716977</v>
      </c>
      <c r="J270" s="18" cm="1">
        <f t="array" ref="J270">INDEX('Limit raise'!$A:$O,
MATCH(1,('Limit raise'!$A:$A=$C270)*('Limit raise'!$D:$D=J$16), 0),
MATCH(J$17,'Limit raise'!$1:$1,0))</f>
        <v>0.8827272727272728</v>
      </c>
      <c r="K270" s="18" cm="1">
        <f t="array" ref="K270">INDEX('Limit raise'!$A:$O,
MATCH(1,('Limit raise'!$A:$A=$C270)*('Limit raise'!$D:$D=K$16), 0),
MATCH(K$17,'Limit raise'!$1:$1,0))</f>
        <v>0.77805052529400398</v>
      </c>
      <c r="L270" s="18">
        <f>INDEX('Limit raise'!$A:$O,
MATCH($C270, 'Limit raise'!$A:$A, 0),
MATCH(L$17,'Limit raise'!$1:$1,0))</f>
        <v>0.1119847807377921</v>
      </c>
      <c r="M270" s="18">
        <v>0.15</v>
      </c>
      <c r="N270" s="18"/>
    </row>
    <row r="271" spans="3:14" s="13" customFormat="1" ht="7.2" customHeight="1" x14ac:dyDescent="0.3">
      <c r="C271" s="17">
        <v>253</v>
      </c>
      <c r="D271" s="18" cm="1">
        <f t="array" ref="D271">INDEX('New credit'!$A:$O,
MATCH(1,('New credit'!$A:$A=$C271)*('New credit'!$D:$D=D$16), 0),
MATCH(D$17,'New credit'!$1:$1,0))</f>
        <v>0.73684210526315785</v>
      </c>
      <c r="E271" s="18" cm="1">
        <f t="array" ref="E271">INDEX('New credit'!$A:$O,
MATCH(1,('New credit'!$A:$A=$C271)*('New credit'!$D:$D=E$16), 0),
MATCH(E$17,'New credit'!$1:$1,0))</f>
        <v>0.85133333333333316</v>
      </c>
      <c r="F271" s="18" cm="1">
        <f t="array" ref="F271">INDEX('New credit'!$A:$O,
MATCH(1,('New credit'!$A:$A=$C271)*('New credit'!$D:$D=F$16), 0),
MATCH(F$17,'New credit'!$1:$1,0))</f>
        <v>0.77083363257434523</v>
      </c>
      <c r="G271" s="18">
        <f>INDEX('New credit'!$A:$O,
MATCH($C271, 'New credit'!$A:$A, 0),
MATCH(G$17, 'New credit'!$1:$1, 0))</f>
        <v>1</v>
      </c>
      <c r="H271" s="18">
        <v>0.15</v>
      </c>
      <c r="I271" s="18" cm="1">
        <f t="array" ref="I271">INDEX('Limit raise'!$A:$O,
MATCH(1,('Limit raise'!$A:$A=$C271)*('Limit raise'!$D:$D=I$16), 0),
MATCH(I$17,'Limit raise'!$1:$1,0))</f>
        <v>0.6785714285714286</v>
      </c>
      <c r="J271" s="18" cm="1">
        <f t="array" ref="J271">INDEX('Limit raise'!$A:$O,
MATCH(1,('Limit raise'!$A:$A=$C271)*('Limit raise'!$D:$D=J$16), 0),
MATCH(J$17,'Limit raise'!$1:$1,0))</f>
        <v>0.88285714285714278</v>
      </c>
      <c r="K271" s="18" cm="1">
        <f t="array" ref="K271">INDEX('Limit raise'!$A:$O,
MATCH(1,('Limit raise'!$A:$A=$C271)*('Limit raise'!$D:$D=K$16), 0),
MATCH(K$17,'Limit raise'!$1:$1,0))</f>
        <v>0.77376693315355427</v>
      </c>
      <c r="L271" s="18">
        <f>INDEX('Limit raise'!$A:$O,
MATCH($C271, 'Limit raise'!$A:$A, 0),
MATCH(L$17,'Limit raise'!$1:$1,0))</f>
        <v>0.1093608334118015</v>
      </c>
      <c r="M271" s="18">
        <v>0.15</v>
      </c>
      <c r="N271" s="18"/>
    </row>
    <row r="272" spans="3:14" s="13" customFormat="1" ht="7.2" customHeight="1" x14ac:dyDescent="0.3">
      <c r="C272" s="17">
        <v>254</v>
      </c>
      <c r="D272" s="18" cm="1">
        <f t="array" ref="D272">INDEX('New credit'!$A:$O,
MATCH(1,('New credit'!$A:$A=$C272)*('New credit'!$D:$D=D$16), 0),
MATCH(D$17,'New credit'!$1:$1,0))</f>
        <v>0.6785714285714286</v>
      </c>
      <c r="E272" s="18" cm="1">
        <f t="array" ref="E272">INDEX('New credit'!$A:$O,
MATCH(1,('New credit'!$A:$A=$C272)*('New credit'!$D:$D=E$16), 0),
MATCH(E$17,'New credit'!$1:$1,0))</f>
        <v>0.88679999999999981</v>
      </c>
      <c r="F272" s="18" cm="1">
        <f t="array" ref="F272">INDEX('New credit'!$A:$O,
MATCH(1,('New credit'!$A:$A=$C272)*('New credit'!$D:$D=F$16), 0),
MATCH(F$17,'New credit'!$1:$1,0))</f>
        <v>0.76816567196061203</v>
      </c>
      <c r="G272" s="18">
        <f>INDEX('New credit'!$A:$O,
MATCH($C272, 'New credit'!$A:$A, 0),
MATCH(G$17, 'New credit'!$1:$1, 0))</f>
        <v>1</v>
      </c>
      <c r="H272" s="18">
        <v>0.15</v>
      </c>
      <c r="I272" s="18" cm="1">
        <f t="array" ref="I272">INDEX('Limit raise'!$A:$O,
MATCH(1,('Limit raise'!$A:$A=$C272)*('Limit raise'!$D:$D=I$16), 0),
MATCH(I$17,'Limit raise'!$1:$1,0))</f>
        <v>0.68421052631578949</v>
      </c>
      <c r="J272" s="18" cm="1">
        <f t="array" ref="J272">INDEX('Limit raise'!$A:$O,
MATCH(1,('Limit raise'!$A:$A=$C272)*('Limit raise'!$D:$D=J$16), 0),
MATCH(J$17,'Limit raise'!$1:$1,0))</f>
        <v>0.88318181818181818</v>
      </c>
      <c r="K272" s="18" cm="1">
        <f t="array" ref="K272">INDEX('Limit raise'!$A:$O,
MATCH(1,('Limit raise'!$A:$A=$C272)*('Limit raise'!$D:$D=K$16), 0),
MATCH(K$17,'Limit raise'!$1:$1,0))</f>
        <v>0.78519469344975601</v>
      </c>
      <c r="L272" s="18">
        <f>INDEX('Limit raise'!$A:$O,
MATCH($C272, 'Limit raise'!$A:$A, 0),
MATCH(L$17,'Limit raise'!$1:$1,0))</f>
        <v>0.1118101760212724</v>
      </c>
      <c r="M272" s="18">
        <v>0.15</v>
      </c>
      <c r="N272" s="18"/>
    </row>
    <row r="273" spans="3:14" s="13" customFormat="1" ht="7.2" customHeight="1" x14ac:dyDescent="0.3">
      <c r="C273" s="17">
        <v>255</v>
      </c>
      <c r="D273" s="18" cm="1">
        <f t="array" ref="D273">INDEX('New credit'!$A:$O,
MATCH(1,('New credit'!$A:$A=$C273)*('New credit'!$D:$D=D$16), 0),
MATCH(D$17,'New credit'!$1:$1,0))</f>
        <v>0.64912280701754388</v>
      </c>
      <c r="E273" s="18" cm="1">
        <f t="array" ref="E273">INDEX('New credit'!$A:$O,
MATCH(1,('New credit'!$A:$A=$C273)*('New credit'!$D:$D=E$16), 0),
MATCH(E$17,'New credit'!$1:$1,0))</f>
        <v>0.85119999999999996</v>
      </c>
      <c r="F273" s="18" cm="1">
        <f t="array" ref="F273">INDEX('New credit'!$A:$O,
MATCH(1,('New credit'!$A:$A=$C273)*('New credit'!$D:$D=F$16), 0),
MATCH(F$17,'New credit'!$1:$1,0))</f>
        <v>0.75800492069058945</v>
      </c>
      <c r="G273" s="18">
        <f>INDEX('New credit'!$A:$O,
MATCH($C273, 'New credit'!$A:$A, 0),
MATCH(G$17, 'New credit'!$1:$1, 0))</f>
        <v>0.1162781517844131</v>
      </c>
      <c r="H273" s="18">
        <v>0.15</v>
      </c>
      <c r="I273" s="18" cm="1">
        <f t="array" ref="I273">INDEX('Limit raise'!$A:$O,
MATCH(1,('Limit raise'!$A:$A=$C273)*('Limit raise'!$D:$D=I$16), 0),
MATCH(I$17,'Limit raise'!$1:$1,0))</f>
        <v>0.66101694915254239</v>
      </c>
      <c r="J273" s="18" cm="1">
        <f t="array" ref="J273">INDEX('Limit raise'!$A:$O,
MATCH(1,('Limit raise'!$A:$A=$C273)*('Limit raise'!$D:$D=J$16), 0),
MATCH(J$17,'Limit raise'!$1:$1,0))</f>
        <v>0.88652173913043486</v>
      </c>
      <c r="K273" s="18" cm="1">
        <f t="array" ref="K273">INDEX('Limit raise'!$A:$O,
MATCH(1,('Limit raise'!$A:$A=$C273)*('Limit raise'!$D:$D=K$16), 0),
MATCH(K$17,'Limit raise'!$1:$1,0))</f>
        <v>0.78241322413486025</v>
      </c>
      <c r="L273" s="18">
        <f>INDEX('Limit raise'!$A:$O,
MATCH($C273, 'Limit raise'!$A:$A, 0),
MATCH(L$17,'Limit raise'!$1:$1,0))</f>
        <v>0.1083763947348096</v>
      </c>
      <c r="M273" s="18">
        <v>0.15</v>
      </c>
      <c r="N273" s="18"/>
    </row>
    <row r="274" spans="3:14" s="13" customFormat="1" ht="7.2" customHeight="1" x14ac:dyDescent="0.3">
      <c r="C274" s="17">
        <v>256</v>
      </c>
      <c r="D274" s="18" cm="1">
        <f t="array" ref="D274">INDEX('New credit'!$A:$O,
MATCH(1,('New credit'!$A:$A=$C274)*('New credit'!$D:$D=D$16), 0),
MATCH(D$17,'New credit'!$1:$1,0))</f>
        <v>0.69841269841269837</v>
      </c>
      <c r="E274" s="18" cm="1">
        <f t="array" ref="E274">INDEX('New credit'!$A:$O,
MATCH(1,('New credit'!$A:$A=$C274)*('New credit'!$D:$D=E$16), 0),
MATCH(E$17,'New credit'!$1:$1,0))</f>
        <v>0.8919230769230766</v>
      </c>
      <c r="F274" s="18" cm="1">
        <f t="array" ref="F274">INDEX('New credit'!$A:$O,
MATCH(1,('New credit'!$A:$A=$C274)*('New credit'!$D:$D=F$16), 0),
MATCH(F$17,'New credit'!$1:$1,0))</f>
        <v>0.79164698222925212</v>
      </c>
      <c r="G274" s="18">
        <f>INDEX('New credit'!$A:$O,
MATCH($C274, 'New credit'!$A:$A, 0),
MATCH(G$17, 'New credit'!$1:$1, 0))</f>
        <v>0.17888193969344071</v>
      </c>
      <c r="H274" s="18">
        <v>0.15</v>
      </c>
      <c r="I274" s="18" cm="1">
        <f t="array" ref="I274">INDEX('Limit raise'!$A:$O,
MATCH(1,('Limit raise'!$A:$A=$C274)*('Limit raise'!$D:$D=I$16), 0),
MATCH(I$17,'Limit raise'!$1:$1,0))</f>
        <v>0.64406779661016944</v>
      </c>
      <c r="J274" s="18" cm="1">
        <f t="array" ref="J274">INDEX('Limit raise'!$A:$O,
MATCH(1,('Limit raise'!$A:$A=$C274)*('Limit raise'!$D:$D=J$16), 0),
MATCH(J$17,'Limit raise'!$1:$1,0))</f>
        <v>0.88428571428571434</v>
      </c>
      <c r="K274" s="18" cm="1">
        <f t="array" ref="K274">INDEX('Limit raise'!$A:$O,
MATCH(1,('Limit raise'!$A:$A=$C274)*('Limit raise'!$D:$D=K$16), 0),
MATCH(K$17,'Limit raise'!$1:$1,0))</f>
        <v>0.77027894541884412</v>
      </c>
      <c r="L274" s="18">
        <f>INDEX('Limit raise'!$A:$O,
MATCH($C274, 'Limit raise'!$A:$A, 0),
MATCH(L$17,'Limit raise'!$1:$1,0))</f>
        <v>0.1110752082669671</v>
      </c>
      <c r="M274" s="18">
        <v>0.15</v>
      </c>
      <c r="N274" s="18"/>
    </row>
    <row r="275" spans="3:14" s="13" customFormat="1" ht="7.2" customHeight="1" x14ac:dyDescent="0.3">
      <c r="C275" s="17">
        <v>257</v>
      </c>
      <c r="D275" s="18" cm="1">
        <f t="array" ref="D275">INDEX('New credit'!$A:$O,
MATCH(1,('New credit'!$A:$A=$C275)*('New credit'!$D:$D=D$16), 0),
MATCH(D$17,'New credit'!$1:$1,0))</f>
        <v>0.73913043478260865</v>
      </c>
      <c r="E275" s="18" cm="1">
        <f t="array" ref="E275">INDEX('New credit'!$A:$O,
MATCH(1,('New credit'!$A:$A=$C275)*('New credit'!$D:$D=E$16), 0),
MATCH(E$17,'New credit'!$1:$1,0))</f>
        <v>0.85846153846153839</v>
      </c>
      <c r="F275" s="18" cm="1">
        <f t="array" ref="F275">INDEX('New credit'!$A:$O,
MATCH(1,('New credit'!$A:$A=$C275)*('New credit'!$D:$D=F$16), 0),
MATCH(F$17,'New credit'!$1:$1,0))</f>
        <v>0.79787812936370728</v>
      </c>
      <c r="G275" s="18">
        <f>INDEX('New credit'!$A:$O,
MATCH($C275, 'New credit'!$A:$A, 0),
MATCH(G$17, 'New credit'!$1:$1, 0))</f>
        <v>8.4170601148924704E-2</v>
      </c>
      <c r="H275" s="18">
        <v>0.15</v>
      </c>
      <c r="I275" s="18" cm="1">
        <f t="array" ref="I275">INDEX('Limit raise'!$A:$O,
MATCH(1,('Limit raise'!$A:$A=$C275)*('Limit raise'!$D:$D=I$16), 0),
MATCH(I$17,'Limit raise'!$1:$1,0))</f>
        <v>0.64406779661016944</v>
      </c>
      <c r="J275" s="18" cm="1">
        <f t="array" ref="J275">INDEX('Limit raise'!$A:$O,
MATCH(1,('Limit raise'!$A:$A=$C275)*('Limit raise'!$D:$D=J$16), 0),
MATCH(J$17,'Limit raise'!$1:$1,0))</f>
        <v>0.88428571428571434</v>
      </c>
      <c r="K275" s="18" cm="1">
        <f t="array" ref="K275">INDEX('Limit raise'!$A:$O,
MATCH(1,('Limit raise'!$A:$A=$C275)*('Limit raise'!$D:$D=K$16), 0),
MATCH(K$17,'Limit raise'!$1:$1,0))</f>
        <v>0.76805121984196711</v>
      </c>
      <c r="L275" s="18">
        <f>INDEX('Limit raise'!$A:$O,
MATCH($C275, 'Limit raise'!$A:$A, 0),
MATCH(L$17,'Limit raise'!$1:$1,0))</f>
        <v>0.1113273512787285</v>
      </c>
      <c r="M275" s="18">
        <v>0.15</v>
      </c>
      <c r="N275" s="18"/>
    </row>
    <row r="276" spans="3:14" s="13" customFormat="1" ht="7.2" customHeight="1" x14ac:dyDescent="0.3">
      <c r="C276" s="17">
        <v>258</v>
      </c>
      <c r="D276" s="18" cm="1">
        <f t="array" ref="D276">INDEX('New credit'!$A:$O,
MATCH(1,('New credit'!$A:$A=$C276)*('New credit'!$D:$D=D$16), 0),
MATCH(D$17,'New credit'!$1:$1,0))</f>
        <v>0.7</v>
      </c>
      <c r="E276" s="18" cm="1">
        <f t="array" ref="E276">INDEX('New credit'!$A:$O,
MATCH(1,('New credit'!$A:$A=$C276)*('New credit'!$D:$D=E$16), 0),
MATCH(E$17,'New credit'!$1:$1,0))</f>
        <v>0.85843749999999974</v>
      </c>
      <c r="F276" s="18" cm="1">
        <f t="array" ref="F276">INDEX('New credit'!$A:$O,
MATCH(1,('New credit'!$A:$A=$C276)*('New credit'!$D:$D=F$16), 0),
MATCH(F$17,'New credit'!$1:$1,0))</f>
        <v>0.78845037897389036</v>
      </c>
      <c r="G276" s="18">
        <f>INDEX('New credit'!$A:$O,
MATCH($C276, 'New credit'!$A:$A, 0),
MATCH(G$17, 'New credit'!$1:$1, 0))</f>
        <v>0.1820131185224419</v>
      </c>
      <c r="H276" s="18">
        <v>0.15</v>
      </c>
      <c r="I276" s="18" cm="1">
        <f t="array" ref="I276">INDEX('Limit raise'!$A:$O,
MATCH(1,('Limit raise'!$A:$A=$C276)*('Limit raise'!$D:$D=I$16), 0),
MATCH(I$17,'Limit raise'!$1:$1,0))</f>
        <v>0.64406779661016944</v>
      </c>
      <c r="J276" s="18" cm="1">
        <f t="array" ref="J276">INDEX('Limit raise'!$A:$O,
MATCH(1,('Limit raise'!$A:$A=$C276)*('Limit raise'!$D:$D=J$16), 0),
MATCH(J$17,'Limit raise'!$1:$1,0))</f>
        <v>0.88428571428571434</v>
      </c>
      <c r="K276" s="18" cm="1">
        <f t="array" ref="K276">INDEX('Limit raise'!$A:$O,
MATCH(1,('Limit raise'!$A:$A=$C276)*('Limit raise'!$D:$D=K$16), 0),
MATCH(K$17,'Limit raise'!$1:$1,0))</f>
        <v>0.77017338015167314</v>
      </c>
      <c r="L276" s="18">
        <f>INDEX('Limit raise'!$A:$O,
MATCH($C276, 'Limit raise'!$A:$A, 0),
MATCH(L$17,'Limit raise'!$1:$1,0))</f>
        <v>0.11195796471076511</v>
      </c>
      <c r="M276" s="18">
        <v>0.15</v>
      </c>
      <c r="N276" s="18"/>
    </row>
    <row r="277" spans="3:14" s="13" customFormat="1" ht="7.2" customHeight="1" x14ac:dyDescent="0.3">
      <c r="C277" s="17">
        <v>259</v>
      </c>
      <c r="D277" s="18" cm="1">
        <f t="array" ref="D277">INDEX('New credit'!$A:$O,
MATCH(1,('New credit'!$A:$A=$C277)*('New credit'!$D:$D=D$16), 0),
MATCH(D$17,'New credit'!$1:$1,0))</f>
        <v>0.7</v>
      </c>
      <c r="E277" s="18" cm="1">
        <f t="array" ref="E277">INDEX('New credit'!$A:$O,
MATCH(1,('New credit'!$A:$A=$C277)*('New credit'!$D:$D=E$16), 0),
MATCH(E$17,'New credit'!$1:$1,0))</f>
        <v>0.85062499999999974</v>
      </c>
      <c r="F277" s="18" cm="1">
        <f t="array" ref="F277">INDEX('New credit'!$A:$O,
MATCH(1,('New credit'!$A:$A=$C277)*('New credit'!$D:$D=F$16), 0),
MATCH(F$17,'New credit'!$1:$1,0))</f>
        <v>0.69052273056942104</v>
      </c>
      <c r="G277" s="18">
        <f>INDEX('New credit'!$A:$O,
MATCH($C277, 'New credit'!$A:$A, 0),
MATCH(G$17, 'New credit'!$1:$1, 0))</f>
        <v>7.2335913864412293E-2</v>
      </c>
      <c r="H277" s="18">
        <v>0.15</v>
      </c>
      <c r="I277" s="18" cm="1">
        <f t="array" ref="I277">INDEX('Limit raise'!$A:$O,
MATCH(1,('Limit raise'!$A:$A=$C277)*('Limit raise'!$D:$D=I$16), 0),
MATCH(I$17,'Limit raise'!$1:$1,0))</f>
        <v>0.6271186440677966</v>
      </c>
      <c r="J277" s="18" cm="1">
        <f t="array" ref="J277">INDEX('Limit raise'!$A:$O,
MATCH(1,('Limit raise'!$A:$A=$C277)*('Limit raise'!$D:$D=J$16), 0),
MATCH(J$17,'Limit raise'!$1:$1,0))</f>
        <v>0.88409090909090904</v>
      </c>
      <c r="K277" s="18" cm="1">
        <f t="array" ref="K277">INDEX('Limit raise'!$A:$O,
MATCH(1,('Limit raise'!$A:$A=$C277)*('Limit raise'!$D:$D=K$16), 0),
MATCH(K$17,'Limit raise'!$1:$1,0))</f>
        <v>0.7760942225362617</v>
      </c>
      <c r="L277" s="18">
        <f>INDEX('Limit raise'!$A:$O,
MATCH($C277, 'Limit raise'!$A:$A, 0),
MATCH(L$17,'Limit raise'!$1:$1,0))</f>
        <v>0.1129466403709395</v>
      </c>
      <c r="M277" s="18">
        <v>0.15</v>
      </c>
      <c r="N277" s="18"/>
    </row>
    <row r="278" spans="3:14" s="13" customFormat="1" ht="7.2" customHeight="1" x14ac:dyDescent="0.3">
      <c r="C278" s="17">
        <v>260</v>
      </c>
      <c r="D278" s="18" cm="1">
        <f t="array" ref="D278">INDEX('New credit'!$A:$O,
MATCH(1,('New credit'!$A:$A=$C278)*('New credit'!$D:$D=D$16), 0),
MATCH(D$17,'New credit'!$1:$1,0))</f>
        <v>0.69841269841269837</v>
      </c>
      <c r="E278" s="18" cm="1">
        <f t="array" ref="E278">INDEX('New credit'!$A:$O,
MATCH(1,('New credit'!$A:$A=$C278)*('New credit'!$D:$D=E$16), 0),
MATCH(E$17,'New credit'!$1:$1,0))</f>
        <v>0.85299999999999976</v>
      </c>
      <c r="F278" s="18" cm="1">
        <f t="array" ref="F278">INDEX('New credit'!$A:$O,
MATCH(1,('New credit'!$A:$A=$C278)*('New credit'!$D:$D=F$16), 0),
MATCH(F$17,'New credit'!$1:$1,0))</f>
        <v>0.73554672586286529</v>
      </c>
      <c r="G278" s="18">
        <f>INDEX('New credit'!$A:$O,
MATCH($C278, 'New credit'!$A:$A, 0),
MATCH(G$17, 'New credit'!$1:$1, 0))</f>
        <v>0.1085117378524057</v>
      </c>
      <c r="H278" s="18">
        <v>0.15</v>
      </c>
      <c r="I278" s="18" cm="1">
        <f t="array" ref="I278">INDEX('Limit raise'!$A:$O,
MATCH(1,('Limit raise'!$A:$A=$C278)*('Limit raise'!$D:$D=I$16), 0),
MATCH(I$17,'Limit raise'!$1:$1,0))</f>
        <v>0.6271186440677966</v>
      </c>
      <c r="J278" s="18" cm="1">
        <f t="array" ref="J278">INDEX('Limit raise'!$A:$O,
MATCH(1,('Limit raise'!$A:$A=$C278)*('Limit raise'!$D:$D=J$16), 0),
MATCH(J$17,'Limit raise'!$1:$1,0))</f>
        <v>0.88285714285714278</v>
      </c>
      <c r="K278" s="18" cm="1">
        <f t="array" ref="K278">INDEX('Limit raise'!$A:$O,
MATCH(1,('Limit raise'!$A:$A=$C278)*('Limit raise'!$D:$D=K$16), 0),
MATCH(K$17,'Limit raise'!$1:$1,0))</f>
        <v>0.77636466244992941</v>
      </c>
      <c r="L278" s="18">
        <f>INDEX('Limit raise'!$A:$O,
MATCH($C278, 'Limit raise'!$A:$A, 0),
MATCH(L$17,'Limit raise'!$1:$1,0))</f>
        <v>0.1141907262522998</v>
      </c>
      <c r="M278" s="18">
        <v>0.15</v>
      </c>
      <c r="N278" s="18"/>
    </row>
    <row r="279" spans="3:14" s="13" customFormat="1" ht="7.2" customHeight="1" x14ac:dyDescent="0.3">
      <c r="C279" s="17">
        <v>261</v>
      </c>
      <c r="D279" s="18" cm="1">
        <f t="array" ref="D279">INDEX('New credit'!$A:$O,
MATCH(1,('New credit'!$A:$A=$C279)*('New credit'!$D:$D=D$16), 0),
MATCH(D$17,'New credit'!$1:$1,0))</f>
        <v>0.71186440677966101</v>
      </c>
      <c r="E279" s="18" cm="1">
        <f t="array" ref="E279">INDEX('New credit'!$A:$O,
MATCH(1,('New credit'!$A:$A=$C279)*('New credit'!$D:$D=E$16), 0),
MATCH(E$17,'New credit'!$1:$1,0))</f>
        <v>0.89037037037037003</v>
      </c>
      <c r="F279" s="18" cm="1">
        <f t="array" ref="F279">INDEX('New credit'!$A:$O,
MATCH(1,('New credit'!$A:$A=$C279)*('New credit'!$D:$D=F$16), 0),
MATCH(F$17,'New credit'!$1:$1,0))</f>
        <v>0.77332586751958343</v>
      </c>
      <c r="G279" s="18">
        <f>INDEX('New credit'!$A:$O,
MATCH($C279, 'New credit'!$A:$A, 0),
MATCH(G$17, 'New credit'!$1:$1, 0))</f>
        <v>1</v>
      </c>
      <c r="H279" s="18">
        <v>0.15</v>
      </c>
      <c r="I279" s="18" cm="1">
        <f t="array" ref="I279">INDEX('Limit raise'!$A:$O,
MATCH(1,('Limit raise'!$A:$A=$C279)*('Limit raise'!$D:$D=I$16), 0),
MATCH(I$17,'Limit raise'!$1:$1,0))</f>
        <v>0.6271186440677966</v>
      </c>
      <c r="J279" s="18" cm="1">
        <f t="array" ref="J279">INDEX('Limit raise'!$A:$O,
MATCH(1,('Limit raise'!$A:$A=$C279)*('Limit raise'!$D:$D=J$16), 0),
MATCH(J$17,'Limit raise'!$1:$1,0))</f>
        <v>0.88333333333333341</v>
      </c>
      <c r="K279" s="18" cm="1">
        <f t="array" ref="K279">INDEX('Limit raise'!$A:$O,
MATCH(1,('Limit raise'!$A:$A=$C279)*('Limit raise'!$D:$D=K$16), 0),
MATCH(K$17,'Limit raise'!$1:$1,0))</f>
        <v>0.77762634158082267</v>
      </c>
      <c r="L279" s="18">
        <f>INDEX('Limit raise'!$A:$O,
MATCH($C279, 'Limit raise'!$A:$A, 0),
MATCH(L$17,'Limit raise'!$1:$1,0))</f>
        <v>0.1165538292404231</v>
      </c>
      <c r="M279" s="18">
        <v>0.15</v>
      </c>
      <c r="N279" s="18"/>
    </row>
    <row r="280" spans="3:14" s="13" customFormat="1" ht="7.2" customHeight="1" x14ac:dyDescent="0.3">
      <c r="C280" s="17">
        <v>262</v>
      </c>
      <c r="D280" s="18" cm="1">
        <f t="array" ref="D280">INDEX('New credit'!$A:$O,
MATCH(1,('New credit'!$A:$A=$C280)*('New credit'!$D:$D=D$16), 0),
MATCH(D$17,'New credit'!$1:$1,0))</f>
        <v>0.71186440677966101</v>
      </c>
      <c r="E280" s="18" cm="1">
        <f t="array" ref="E280">INDEX('New credit'!$A:$O,
MATCH(1,('New credit'!$A:$A=$C280)*('New credit'!$D:$D=E$16), 0),
MATCH(E$17,'New credit'!$1:$1,0))</f>
        <v>0.89192307692307682</v>
      </c>
      <c r="F280" s="18" cm="1">
        <f t="array" ref="F280">INDEX('New credit'!$A:$O,
MATCH(1,('New credit'!$A:$A=$C280)*('New credit'!$D:$D=F$16), 0),
MATCH(F$17,'New credit'!$1:$1,0))</f>
        <v>0.79731726172948858</v>
      </c>
      <c r="G280" s="18">
        <f>INDEX('New credit'!$A:$O,
MATCH($C280, 'New credit'!$A:$A, 0),
MATCH(G$17, 'New credit'!$1:$1, 0))</f>
        <v>1</v>
      </c>
      <c r="H280" s="18">
        <v>0.15</v>
      </c>
      <c r="I280" s="18" cm="1">
        <f t="array" ref="I280">INDEX('Limit raise'!$A:$O,
MATCH(1,('Limit raise'!$A:$A=$C280)*('Limit raise'!$D:$D=I$16), 0),
MATCH(I$17,'Limit raise'!$1:$1,0))</f>
        <v>0.6271186440677966</v>
      </c>
      <c r="J280" s="18" cm="1">
        <f t="array" ref="J280">INDEX('Limit raise'!$A:$O,
MATCH(1,('Limit raise'!$A:$A=$C280)*('Limit raise'!$D:$D=J$16), 0),
MATCH(J$17,'Limit raise'!$1:$1,0))</f>
        <v>0.88333333333333341</v>
      </c>
      <c r="K280" s="18" cm="1">
        <f t="array" ref="K280">INDEX('Limit raise'!$A:$O,
MATCH(1,('Limit raise'!$A:$A=$C280)*('Limit raise'!$D:$D=K$16), 0),
MATCH(K$17,'Limit raise'!$1:$1,0))</f>
        <v>0.78031002873845823</v>
      </c>
      <c r="L280" s="18">
        <f>INDEX('Limit raise'!$A:$O,
MATCH($C280, 'Limit raise'!$A:$A, 0),
MATCH(L$17,'Limit raise'!$1:$1,0))</f>
        <v>0.116469963301156</v>
      </c>
      <c r="M280" s="18">
        <v>0.15</v>
      </c>
      <c r="N280" s="18"/>
    </row>
    <row r="281" spans="3:14" s="13" customFormat="1" ht="7.2" customHeight="1" x14ac:dyDescent="0.3">
      <c r="C281" s="17">
        <v>263</v>
      </c>
      <c r="D281" s="18" cm="1">
        <f t="array" ref="D281">INDEX('New credit'!$A:$O,
MATCH(1,('New credit'!$A:$A=$C281)*('New credit'!$D:$D=D$16), 0),
MATCH(D$17,'New credit'!$1:$1,0))</f>
        <v>0.68181818181818177</v>
      </c>
      <c r="E281" s="18" cm="1">
        <f t="array" ref="E281">INDEX('New credit'!$A:$O,
MATCH(1,('New credit'!$A:$A=$C281)*('New credit'!$D:$D=E$16), 0),
MATCH(E$17,'New credit'!$1:$1,0))</f>
        <v>0.86058823529411754</v>
      </c>
      <c r="F281" s="18" cm="1">
        <f t="array" ref="F281">INDEX('New credit'!$A:$O,
MATCH(1,('New credit'!$A:$A=$C281)*('New credit'!$D:$D=F$16), 0),
MATCH(F$17,'New credit'!$1:$1,0))</f>
        <v>0.76483235969335939</v>
      </c>
      <c r="G281" s="18">
        <f>INDEX('New credit'!$A:$O,
MATCH($C281, 'New credit'!$A:$A, 0),
MATCH(G$17, 'New credit'!$1:$1, 0))</f>
        <v>1</v>
      </c>
      <c r="H281" s="18">
        <v>0.15</v>
      </c>
      <c r="I281" s="18" cm="1">
        <f t="array" ref="I281">INDEX('Limit raise'!$A:$O,
MATCH(1,('Limit raise'!$A:$A=$C281)*('Limit raise'!$D:$D=I$16), 0),
MATCH(I$17,'Limit raise'!$1:$1,0))</f>
        <v>0.67241379310344829</v>
      </c>
      <c r="J281" s="18" cm="1">
        <f t="array" ref="J281">INDEX('Limit raise'!$A:$O,
MATCH(1,('Limit raise'!$A:$A=$C281)*('Limit raise'!$D:$D=J$16), 0),
MATCH(J$17,'Limit raise'!$1:$1,0))</f>
        <v>0.88363636363636366</v>
      </c>
      <c r="K281" s="18" cm="1">
        <f t="array" ref="K281">INDEX('Limit raise'!$A:$O,
MATCH(1,('Limit raise'!$A:$A=$C281)*('Limit raise'!$D:$D=K$16), 0),
MATCH(K$17,'Limit raise'!$1:$1,0))</f>
        <v>0.82167473839054028</v>
      </c>
      <c r="L281" s="18">
        <f>INDEX('Limit raise'!$A:$O,
MATCH($C281, 'Limit raise'!$A:$A, 0),
MATCH(L$17,'Limit raise'!$1:$1,0))</f>
        <v>0.12325831399444891</v>
      </c>
      <c r="M281" s="18">
        <v>0.15</v>
      </c>
      <c r="N281" s="18"/>
    </row>
    <row r="282" spans="3:14" s="13" customFormat="1" ht="7.2" customHeight="1" x14ac:dyDescent="0.3">
      <c r="C282" s="17">
        <v>264</v>
      </c>
      <c r="D282" s="18" cm="1">
        <f t="array" ref="D282">INDEX('New credit'!$A:$O,
MATCH(1,('New credit'!$A:$A=$C282)*('New credit'!$D:$D=D$16), 0),
MATCH(D$17,'New credit'!$1:$1,0))</f>
        <v>0.75757575757575757</v>
      </c>
      <c r="E282" s="18" cm="1">
        <f t="array" ref="E282">INDEX('New credit'!$A:$O,
MATCH(1,('New credit'!$A:$A=$C282)*('New credit'!$D:$D=E$16), 0),
MATCH(E$17,'New credit'!$1:$1,0))</f>
        <v>0.85781249999999964</v>
      </c>
      <c r="F282" s="18" cm="1">
        <f t="array" ref="F282">INDEX('New credit'!$A:$O,
MATCH(1,('New credit'!$A:$A=$C282)*('New credit'!$D:$D=F$16), 0),
MATCH(F$17,'New credit'!$1:$1,0))</f>
        <v>0.75260213665249143</v>
      </c>
      <c r="G282" s="18">
        <f>INDEX('New credit'!$A:$O,
MATCH($C282, 'New credit'!$A:$A, 0),
MATCH(G$17, 'New credit'!$1:$1, 0))</f>
        <v>0.12860102207782539</v>
      </c>
      <c r="H282" s="18">
        <v>0.15</v>
      </c>
      <c r="I282" s="18" cm="1">
        <f t="array" ref="I282">INDEX('Limit raise'!$A:$O,
MATCH(1,('Limit raise'!$A:$A=$C282)*('Limit raise'!$D:$D=I$16), 0),
MATCH(I$17,'Limit raise'!$1:$1,0))</f>
        <v>0.66666666666666663</v>
      </c>
      <c r="J282" s="18" cm="1">
        <f t="array" ref="J282">INDEX('Limit raise'!$A:$O,
MATCH(1,('Limit raise'!$A:$A=$C282)*('Limit raise'!$D:$D=J$16), 0),
MATCH(J$17,'Limit raise'!$1:$1,0))</f>
        <v>0.88380952380952393</v>
      </c>
      <c r="K282" s="18" cm="1">
        <f t="array" ref="K282">INDEX('Limit raise'!$A:$O,
MATCH(1,('Limit raise'!$A:$A=$C282)*('Limit raise'!$D:$D=K$16), 0),
MATCH(K$17,'Limit raise'!$1:$1,0))</f>
        <v>0.82207525661473035</v>
      </c>
      <c r="L282" s="18">
        <f>INDEX('Limit raise'!$A:$O,
MATCH($C282, 'Limit raise'!$A:$A, 0),
MATCH(L$17,'Limit raise'!$1:$1,0))</f>
        <v>0.1232379944966943</v>
      </c>
      <c r="M282" s="18">
        <v>0.15</v>
      </c>
      <c r="N282" s="18"/>
    </row>
    <row r="283" spans="3:14" s="13" customFormat="1" ht="7.2" customHeight="1" x14ac:dyDescent="0.3">
      <c r="C283" s="17">
        <v>265</v>
      </c>
      <c r="D283" s="18" cm="1">
        <f t="array" ref="D283">INDEX('New credit'!$A:$O,
MATCH(1,('New credit'!$A:$A=$C283)*('New credit'!$D:$D=D$16), 0),
MATCH(D$17,'New credit'!$1:$1,0))</f>
        <v>0.71875</v>
      </c>
      <c r="E283" s="18" cm="1">
        <f t="array" ref="E283">INDEX('New credit'!$A:$O,
MATCH(1,('New credit'!$A:$A=$C283)*('New credit'!$D:$D=E$16), 0),
MATCH(E$17,'New credit'!$1:$1,0))</f>
        <v>0.85379310344827575</v>
      </c>
      <c r="F283" s="18" cm="1">
        <f t="array" ref="F283">INDEX('New credit'!$A:$O,
MATCH(1,('New credit'!$A:$A=$C283)*('New credit'!$D:$D=F$16), 0),
MATCH(F$17,'New credit'!$1:$1,0))</f>
        <v>0.73658519971283287</v>
      </c>
      <c r="G283" s="18">
        <f>INDEX('New credit'!$A:$O,
MATCH($C283, 'New credit'!$A:$A, 0),
MATCH(G$17, 'New credit'!$1:$1, 0))</f>
        <v>0.17632801339860249</v>
      </c>
      <c r="H283" s="18">
        <v>0.15</v>
      </c>
      <c r="I283" s="18" cm="1">
        <f t="array" ref="I283">INDEX('Limit raise'!$A:$O,
MATCH(1,('Limit raise'!$A:$A=$C283)*('Limit raise'!$D:$D=I$16), 0),
MATCH(I$17,'Limit raise'!$1:$1,0))</f>
        <v>0.6428571428571429</v>
      </c>
      <c r="J283" s="18" cm="1">
        <f t="array" ref="J283">INDEX('Limit raise'!$A:$O,
MATCH(1,('Limit raise'!$A:$A=$C283)*('Limit raise'!$D:$D=J$16), 0),
MATCH(J$17,'Limit raise'!$1:$1,0))</f>
        <v>0.88333333333333341</v>
      </c>
      <c r="K283" s="18" cm="1">
        <f t="array" ref="K283">INDEX('Limit raise'!$A:$O,
MATCH(1,('Limit raise'!$A:$A=$C283)*('Limit raise'!$D:$D=K$16), 0),
MATCH(K$17,'Limit raise'!$1:$1,0))</f>
        <v>0.82104986923528001</v>
      </c>
      <c r="L283" s="18">
        <f>INDEX('Limit raise'!$A:$O,
MATCH($C283, 'Limit raise'!$A:$A, 0),
MATCH(L$17,'Limit raise'!$1:$1,0))</f>
        <v>0.1249671677158922</v>
      </c>
      <c r="M283" s="18">
        <v>0.15</v>
      </c>
      <c r="N283" s="18"/>
    </row>
    <row r="284" spans="3:14" s="13" customFormat="1" ht="7.2" customHeight="1" x14ac:dyDescent="0.3">
      <c r="C284" s="17">
        <v>266</v>
      </c>
      <c r="D284" s="18" cm="1">
        <f t="array" ref="D284">INDEX('New credit'!$A:$O,
MATCH(1,('New credit'!$A:$A=$C284)*('New credit'!$D:$D=D$16), 0),
MATCH(D$17,'New credit'!$1:$1,0))</f>
        <v>0.73770491803278693</v>
      </c>
      <c r="E284" s="18" cm="1">
        <f t="array" ref="E284">INDEX('New credit'!$A:$O,
MATCH(1,('New credit'!$A:$A=$C284)*('New credit'!$D:$D=E$16), 0),
MATCH(E$17,'New credit'!$1:$1,0))</f>
        <v>0.85</v>
      </c>
      <c r="F284" s="18" cm="1">
        <f t="array" ref="F284">INDEX('New credit'!$A:$O,
MATCH(1,('New credit'!$A:$A=$C284)*('New credit'!$D:$D=F$16), 0),
MATCH(F$17,'New credit'!$1:$1,0))</f>
        <v>0.76926346741086282</v>
      </c>
      <c r="G284" s="18">
        <f>INDEX('New credit'!$A:$O,
MATCH($C284, 'New credit'!$A:$A, 0),
MATCH(G$17, 'New credit'!$1:$1, 0))</f>
        <v>1</v>
      </c>
      <c r="H284" s="18">
        <v>0.15</v>
      </c>
      <c r="I284" s="18" cm="1">
        <f t="array" ref="I284">INDEX('Limit raise'!$A:$O,
MATCH(1,('Limit raise'!$A:$A=$C284)*('Limit raise'!$D:$D=I$16), 0),
MATCH(I$17,'Limit raise'!$1:$1,0))</f>
        <v>0.625</v>
      </c>
      <c r="J284" s="18" cm="1">
        <f t="array" ref="J284">INDEX('Limit raise'!$A:$O,
MATCH(1,('Limit raise'!$A:$A=$C284)*('Limit raise'!$D:$D=J$16), 0),
MATCH(J$17,'Limit raise'!$1:$1,0))</f>
        <v>0.88363636363636366</v>
      </c>
      <c r="K284" s="18" cm="1">
        <f t="array" ref="K284">INDEX('Limit raise'!$A:$O,
MATCH(1,('Limit raise'!$A:$A=$C284)*('Limit raise'!$D:$D=K$16), 0),
MATCH(K$17,'Limit raise'!$1:$1,0))</f>
        <v>0.81562741067458056</v>
      </c>
      <c r="L284" s="18">
        <f>INDEX('Limit raise'!$A:$O,
MATCH($C284, 'Limit raise'!$A:$A, 0),
MATCH(L$17,'Limit raise'!$1:$1,0))</f>
        <v>0.1209168765031312</v>
      </c>
      <c r="M284" s="18">
        <v>0.15</v>
      </c>
      <c r="N284" s="18"/>
    </row>
    <row r="285" spans="3:14" s="13" customFormat="1" ht="7.2" customHeight="1" x14ac:dyDescent="0.3">
      <c r="C285" s="17">
        <v>267</v>
      </c>
      <c r="D285" s="18" cm="1">
        <f t="array" ref="D285">INDEX('New credit'!$A:$O,
MATCH(1,('New credit'!$A:$A=$C285)*('New credit'!$D:$D=D$16), 0),
MATCH(D$17,'New credit'!$1:$1,0))</f>
        <v>0.68333333333333335</v>
      </c>
      <c r="E285" s="18" cm="1">
        <f t="array" ref="E285">INDEX('New credit'!$A:$O,
MATCH(1,('New credit'!$A:$A=$C285)*('New credit'!$D:$D=E$16), 0),
MATCH(E$17,'New credit'!$1:$1,0))</f>
        <v>0.85071428571428565</v>
      </c>
      <c r="F285" s="18" cm="1">
        <f t="array" ref="F285">INDEX('New credit'!$A:$O,
MATCH(1,('New credit'!$A:$A=$C285)*('New credit'!$D:$D=F$16), 0),
MATCH(F$17,'New credit'!$1:$1,0))</f>
        <v>0.66197546182436062</v>
      </c>
      <c r="G285" s="18">
        <f>INDEX('New credit'!$A:$O,
MATCH($C285, 'New credit'!$A:$A, 0),
MATCH(G$17, 'New credit'!$1:$1, 0))</f>
        <v>8.5673389663378133E-2</v>
      </c>
      <c r="H285" s="18">
        <v>0.15</v>
      </c>
      <c r="I285" s="18" cm="1">
        <f t="array" ref="I285">INDEX('Limit raise'!$A:$O,
MATCH(1,('Limit raise'!$A:$A=$C285)*('Limit raise'!$D:$D=I$16), 0),
MATCH(I$17,'Limit raise'!$1:$1,0))</f>
        <v>0.625</v>
      </c>
      <c r="J285" s="18" cm="1">
        <f t="array" ref="J285">INDEX('Limit raise'!$A:$O,
MATCH(1,('Limit raise'!$A:$A=$C285)*('Limit raise'!$D:$D=J$16), 0),
MATCH(J$17,'Limit raise'!$1:$1,0))</f>
        <v>0.88380952380952393</v>
      </c>
      <c r="K285" s="18" cm="1">
        <f t="array" ref="K285">INDEX('Limit raise'!$A:$O,
MATCH(1,('Limit raise'!$A:$A=$C285)*('Limit raise'!$D:$D=K$16), 0),
MATCH(K$17,'Limit raise'!$1:$1,0))</f>
        <v>0.82118781550675246</v>
      </c>
      <c r="L285" s="18">
        <f>INDEX('Limit raise'!$A:$O,
MATCH($C285, 'Limit raise'!$A:$A, 0),
MATCH(L$17,'Limit raise'!$1:$1,0))</f>
        <v>0.12264070568941381</v>
      </c>
      <c r="M285" s="18">
        <v>0.15</v>
      </c>
      <c r="N285" s="18"/>
    </row>
    <row r="286" spans="3:14" s="13" customFormat="1" ht="7.2" customHeight="1" x14ac:dyDescent="0.3">
      <c r="C286" s="17">
        <v>268</v>
      </c>
      <c r="D286" s="18" cm="1">
        <f t="array" ref="D286">INDEX('New credit'!$A:$O,
MATCH(1,('New credit'!$A:$A=$C286)*('New credit'!$D:$D=D$16), 0),
MATCH(D$17,'New credit'!$1:$1,0))</f>
        <v>0.7142857142857143</v>
      </c>
      <c r="E286" s="18" cm="1">
        <f t="array" ref="E286">INDEX('New credit'!$A:$O,
MATCH(1,('New credit'!$A:$A=$C286)*('New credit'!$D:$D=E$16), 0),
MATCH(E$17,'New credit'!$1:$1,0))</f>
        <v>0.8514285714285712</v>
      </c>
      <c r="F286" s="18" cm="1">
        <f t="array" ref="F286">INDEX('New credit'!$A:$O,
MATCH(1,('New credit'!$A:$A=$C286)*('New credit'!$D:$D=F$16), 0),
MATCH(F$17,'New credit'!$1:$1,0))</f>
        <v>0.74028085240230501</v>
      </c>
      <c r="G286" s="18">
        <f>INDEX('New credit'!$A:$O,
MATCH($C286, 'New credit'!$A:$A, 0),
MATCH(G$17, 'New credit'!$1:$1, 0))</f>
        <v>1</v>
      </c>
      <c r="H286" s="18">
        <v>0.15</v>
      </c>
      <c r="I286" s="18" cm="1">
        <f t="array" ref="I286">INDEX('Limit raise'!$A:$O,
MATCH(1,('Limit raise'!$A:$A=$C286)*('Limit raise'!$D:$D=I$16), 0),
MATCH(I$17,'Limit raise'!$1:$1,0))</f>
        <v>0.61403508771929827</v>
      </c>
      <c r="J286" s="18" cm="1">
        <f t="array" ref="J286">INDEX('Limit raise'!$A:$O,
MATCH(1,('Limit raise'!$A:$A=$C286)*('Limit raise'!$D:$D=J$16), 0),
MATCH(J$17,'Limit raise'!$1:$1,0))</f>
        <v>0.88454545454545463</v>
      </c>
      <c r="K286" s="18" cm="1">
        <f t="array" ref="K286">INDEX('Limit raise'!$A:$O,
MATCH(1,('Limit raise'!$A:$A=$C286)*('Limit raise'!$D:$D=K$16), 0),
MATCH(K$17,'Limit raise'!$1:$1,0))</f>
        <v>0.82267528223410569</v>
      </c>
      <c r="L286" s="18">
        <f>INDEX('Limit raise'!$A:$O,
MATCH($C286, 'Limit raise'!$A:$A, 0),
MATCH(L$17,'Limit raise'!$1:$1,0))</f>
        <v>0.1228488901583718</v>
      </c>
      <c r="M286" s="18">
        <v>0.15</v>
      </c>
      <c r="N286" s="18"/>
    </row>
    <row r="287" spans="3:14" s="13" customFormat="1" ht="7.2" customHeight="1" x14ac:dyDescent="0.3">
      <c r="C287" s="17">
        <v>269</v>
      </c>
      <c r="D287" s="18" cm="1">
        <f t="array" ref="D287">INDEX('New credit'!$A:$O,
MATCH(1,('New credit'!$A:$A=$C287)*('New credit'!$D:$D=D$16), 0),
MATCH(D$17,'New credit'!$1:$1,0))</f>
        <v>0.68965517241379315</v>
      </c>
      <c r="E287" s="18" cm="1">
        <f t="array" ref="E287">INDEX('New credit'!$A:$O,
MATCH(1,('New credit'!$A:$A=$C287)*('New credit'!$D:$D=E$16), 0),
MATCH(E$17,'New credit'!$1:$1,0))</f>
        <v>0.86269230769230743</v>
      </c>
      <c r="F287" s="18" cm="1">
        <f t="array" ref="F287">INDEX('New credit'!$A:$O,
MATCH(1,('New credit'!$A:$A=$C287)*('New credit'!$D:$D=F$16), 0),
MATCH(F$17,'New credit'!$1:$1,0))</f>
        <v>0.72151497532491771</v>
      </c>
      <c r="G287" s="18">
        <f>INDEX('New credit'!$A:$O,
MATCH($C287, 'New credit'!$A:$A, 0),
MATCH(G$17, 'New credit'!$1:$1, 0))</f>
        <v>1</v>
      </c>
      <c r="H287" s="18">
        <v>0.15</v>
      </c>
      <c r="I287" s="18" cm="1">
        <f t="array" ref="I287">INDEX('Limit raise'!$A:$O,
MATCH(1,('Limit raise'!$A:$A=$C287)*('Limit raise'!$D:$D=I$16), 0),
MATCH(I$17,'Limit raise'!$1:$1,0))</f>
        <v>0.625</v>
      </c>
      <c r="J287" s="18" cm="1">
        <f t="array" ref="J287">INDEX('Limit raise'!$A:$O,
MATCH(1,('Limit raise'!$A:$A=$C287)*('Limit raise'!$D:$D=J$16), 0),
MATCH(J$17,'Limit raise'!$1:$1,0))</f>
        <v>0.88333333333333319</v>
      </c>
      <c r="K287" s="18" cm="1">
        <f t="array" ref="K287">INDEX('Limit raise'!$A:$O,
MATCH(1,('Limit raise'!$A:$A=$C287)*('Limit raise'!$D:$D=K$16), 0),
MATCH(K$17,'Limit raise'!$1:$1,0))</f>
        <v>0.81993854275458045</v>
      </c>
      <c r="L287" s="18">
        <f>INDEX('Limit raise'!$A:$O,
MATCH($C287, 'Limit raise'!$A:$A, 0),
MATCH(L$17,'Limit raise'!$1:$1,0))</f>
        <v>0.1174751504011516</v>
      </c>
      <c r="M287" s="18">
        <v>0.15</v>
      </c>
      <c r="N287" s="18"/>
    </row>
    <row r="288" spans="3:14" s="13" customFormat="1" ht="7.2" customHeight="1" x14ac:dyDescent="0.3">
      <c r="C288" s="17">
        <v>270</v>
      </c>
      <c r="D288" s="18" cm="1">
        <f t="array" ref="D288">INDEX('New credit'!$A:$O,
MATCH(1,('New credit'!$A:$A=$C288)*('New credit'!$D:$D=D$16), 0),
MATCH(D$17,'New credit'!$1:$1,0))</f>
        <v>0.69354838709677424</v>
      </c>
      <c r="E288" s="18" cm="1">
        <f t="array" ref="E288">INDEX('New credit'!$A:$O,
MATCH(1,('New credit'!$A:$A=$C288)*('New credit'!$D:$D=E$16), 0),
MATCH(E$17,'New credit'!$1:$1,0))</f>
        <v>0.86115384615384605</v>
      </c>
      <c r="F288" s="18" cm="1">
        <f t="array" ref="F288">INDEX('New credit'!$A:$O,
MATCH(1,('New credit'!$A:$A=$C288)*('New credit'!$D:$D=F$16), 0),
MATCH(F$17,'New credit'!$1:$1,0))</f>
        <v>0.71131064515872666</v>
      </c>
      <c r="G288" s="18">
        <f>INDEX('New credit'!$A:$O,
MATCH($C288, 'New credit'!$A:$A, 0),
MATCH(G$17, 'New credit'!$1:$1, 0))</f>
        <v>1</v>
      </c>
      <c r="H288" s="18">
        <v>0.15</v>
      </c>
      <c r="I288" s="18" cm="1">
        <f t="array" ref="I288">INDEX('Limit raise'!$A:$O,
MATCH(1,('Limit raise'!$A:$A=$C288)*('Limit raise'!$D:$D=I$16), 0),
MATCH(I$17,'Limit raise'!$1:$1,0))</f>
        <v>0.625</v>
      </c>
      <c r="J288" s="18" cm="1">
        <f t="array" ref="J288">INDEX('Limit raise'!$A:$O,
MATCH(1,('Limit raise'!$A:$A=$C288)*('Limit raise'!$D:$D=J$16), 0),
MATCH(J$17,'Limit raise'!$1:$1,0))</f>
        <v>0.88380952380952371</v>
      </c>
      <c r="K288" s="18" cm="1">
        <f t="array" ref="K288">INDEX('Limit raise'!$A:$O,
MATCH(1,('Limit raise'!$A:$A=$C288)*('Limit raise'!$D:$D=K$16), 0),
MATCH(K$17,'Limit raise'!$1:$1,0))</f>
        <v>0.82012442826882259</v>
      </c>
      <c r="L288" s="18">
        <f>INDEX('Limit raise'!$A:$O,
MATCH($C288, 'Limit raise'!$A:$A, 0),
MATCH(L$17,'Limit raise'!$1:$1,0))</f>
        <v>0.118126768450553</v>
      </c>
      <c r="M288" s="18">
        <v>0.15</v>
      </c>
      <c r="N288" s="18"/>
    </row>
    <row r="289" spans="3:14" s="13" customFormat="1" ht="7.2" customHeight="1" x14ac:dyDescent="0.3">
      <c r="C289" s="17">
        <v>271</v>
      </c>
      <c r="D289" s="18" cm="1">
        <f t="array" ref="D289">INDEX('New credit'!$A:$O,
MATCH(1,('New credit'!$A:$A=$C289)*('New credit'!$D:$D=D$16), 0),
MATCH(D$17,'New credit'!$1:$1,0))</f>
        <v>0.69230769230769229</v>
      </c>
      <c r="E289" s="18" cm="1">
        <f t="array" ref="E289">INDEX('New credit'!$A:$O,
MATCH(1,('New credit'!$A:$A=$C289)*('New credit'!$D:$D=E$16), 0),
MATCH(E$17,'New credit'!$1:$1,0))</f>
        <v>0.85884615384615359</v>
      </c>
      <c r="F289" s="18" cm="1">
        <f t="array" ref="F289">INDEX('New credit'!$A:$O,
MATCH(1,('New credit'!$A:$A=$C289)*('New credit'!$D:$D=F$16), 0),
MATCH(F$17,'New credit'!$1:$1,0))</f>
        <v>0.6930406101837161</v>
      </c>
      <c r="G289" s="18">
        <f>INDEX('New credit'!$A:$O,
MATCH($C289, 'New credit'!$A:$A, 0),
MATCH(G$17, 'New credit'!$1:$1, 0))</f>
        <v>8.5830980943580215E-2</v>
      </c>
      <c r="H289" s="18">
        <v>0.15</v>
      </c>
      <c r="I289" s="18" cm="1">
        <f t="array" ref="I289">INDEX('Limit raise'!$A:$O,
MATCH(1,('Limit raise'!$A:$A=$C289)*('Limit raise'!$D:$D=I$16), 0),
MATCH(I$17,'Limit raise'!$1:$1,0))</f>
        <v>0.625</v>
      </c>
      <c r="J289" s="18" cm="1">
        <f t="array" ref="J289">INDEX('Limit raise'!$A:$O,
MATCH(1,('Limit raise'!$A:$A=$C289)*('Limit raise'!$D:$D=J$16), 0),
MATCH(J$17,'Limit raise'!$1:$1,0))</f>
        <v>0.88409090909090904</v>
      </c>
      <c r="K289" s="18" cm="1">
        <f t="array" ref="K289">INDEX('Limit raise'!$A:$O,
MATCH(1,('Limit raise'!$A:$A=$C289)*('Limit raise'!$D:$D=K$16), 0),
MATCH(K$17,'Limit raise'!$1:$1,0))</f>
        <v>0.82107190503416927</v>
      </c>
      <c r="L289" s="18">
        <f>INDEX('Limit raise'!$A:$O,
MATCH($C289, 'Limit raise'!$A:$A, 0),
MATCH(L$17,'Limit raise'!$1:$1,0))</f>
        <v>0.1184259037792265</v>
      </c>
      <c r="M289" s="18">
        <v>0.15</v>
      </c>
      <c r="N289" s="18"/>
    </row>
    <row r="290" spans="3:14" s="13" customFormat="1" ht="7.2" customHeight="1" x14ac:dyDescent="0.3">
      <c r="C290" s="17">
        <v>272</v>
      </c>
      <c r="D290" s="18" cm="1">
        <f t="array" ref="D290">INDEX('New credit'!$A:$O,
MATCH(1,('New credit'!$A:$A=$C290)*('New credit'!$D:$D=D$16), 0),
MATCH(D$17,'New credit'!$1:$1,0))</f>
        <v>0.72580645161290325</v>
      </c>
      <c r="E290" s="18" cm="1">
        <f t="array" ref="E290">INDEX('New credit'!$A:$O,
MATCH(1,('New credit'!$A:$A=$C290)*('New credit'!$D:$D=E$16), 0),
MATCH(E$17,'New credit'!$1:$1,0))</f>
        <v>0.82259259259259254</v>
      </c>
      <c r="F290" s="18" cm="1">
        <f t="array" ref="F290">INDEX('New credit'!$A:$O,
MATCH(1,('New credit'!$A:$A=$C290)*('New credit'!$D:$D=F$16), 0),
MATCH(F$17,'New credit'!$1:$1,0))</f>
        <v>0.73601944375972783</v>
      </c>
      <c r="G290" s="18">
        <f>INDEX('New credit'!$A:$O,
MATCH($C290, 'New credit'!$A:$A, 0),
MATCH(G$17, 'New credit'!$1:$1, 0))</f>
        <v>0.113730350637683</v>
      </c>
      <c r="H290" s="18">
        <v>0.15</v>
      </c>
      <c r="I290" s="18" cm="1">
        <f t="array" ref="I290">INDEX('Limit raise'!$A:$O,
MATCH(1,('Limit raise'!$A:$A=$C290)*('Limit raise'!$D:$D=I$16), 0),
MATCH(I$17,'Limit raise'!$1:$1,0))</f>
        <v>0.625</v>
      </c>
      <c r="J290" s="18" cm="1">
        <f t="array" ref="J290">INDEX('Limit raise'!$A:$O,
MATCH(1,('Limit raise'!$A:$A=$C290)*('Limit raise'!$D:$D=J$16), 0),
MATCH(J$17,'Limit raise'!$1:$1,0))</f>
        <v>0.88363636363636355</v>
      </c>
      <c r="K290" s="18" cm="1">
        <f t="array" ref="K290">INDEX('Limit raise'!$A:$O,
MATCH(1,('Limit raise'!$A:$A=$C290)*('Limit raise'!$D:$D=K$16), 0),
MATCH(K$17,'Limit raise'!$1:$1,0))</f>
        <v>0.82024249974831376</v>
      </c>
      <c r="L290" s="18">
        <f>INDEX('Limit raise'!$A:$O,
MATCH($C290, 'Limit raise'!$A:$A, 0),
MATCH(L$17,'Limit raise'!$1:$1,0))</f>
        <v>0.11931729130444479</v>
      </c>
      <c r="M290" s="18">
        <v>0.15</v>
      </c>
      <c r="N290" s="18"/>
    </row>
    <row r="291" spans="3:14" s="13" customFormat="1" ht="7.2" customHeight="1" x14ac:dyDescent="0.3">
      <c r="C291" s="17">
        <v>273</v>
      </c>
      <c r="D291" s="18" cm="1">
        <f t="array" ref="D291">INDEX('New credit'!$A:$O,
MATCH(1,('New credit'!$A:$A=$C291)*('New credit'!$D:$D=D$16), 0),
MATCH(D$17,'New credit'!$1:$1,0))</f>
        <v>0.71186440677966101</v>
      </c>
      <c r="E291" s="18" cm="1">
        <f t="array" ref="E291">INDEX('New credit'!$A:$O,
MATCH(1,('New credit'!$A:$A=$C291)*('New credit'!$D:$D=E$16), 0),
MATCH(E$17,'New credit'!$1:$1,0))</f>
        <v>0.85555555555555529</v>
      </c>
      <c r="F291" s="18" cm="1">
        <f t="array" ref="F291">INDEX('New credit'!$A:$O,
MATCH(1,('New credit'!$A:$A=$C291)*('New credit'!$D:$D=F$16), 0),
MATCH(F$17,'New credit'!$1:$1,0))</f>
        <v>0.76842720825829258</v>
      </c>
      <c r="G291" s="18">
        <f>INDEX('New credit'!$A:$O,
MATCH($C291, 'New credit'!$A:$A, 0),
MATCH(G$17, 'New credit'!$1:$1, 0))</f>
        <v>1</v>
      </c>
      <c r="H291" s="18">
        <v>0.15</v>
      </c>
      <c r="I291" s="18" cm="1">
        <f t="array" ref="I291">INDEX('Limit raise'!$A:$O,
MATCH(1,('Limit raise'!$A:$A=$C291)*('Limit raise'!$D:$D=I$16), 0),
MATCH(I$17,'Limit raise'!$1:$1,0))</f>
        <v>0.63157894736842102</v>
      </c>
      <c r="J291" s="18" cm="1">
        <f t="array" ref="J291">INDEX('Limit raise'!$A:$O,
MATCH(1,('Limit raise'!$A:$A=$C291)*('Limit raise'!$D:$D=J$16), 0),
MATCH(J$17,'Limit raise'!$1:$1,0))</f>
        <v>0.88318181818181796</v>
      </c>
      <c r="K291" s="18" cm="1">
        <f t="array" ref="K291">INDEX('Limit raise'!$A:$O,
MATCH(1,('Limit raise'!$A:$A=$C291)*('Limit raise'!$D:$D=K$16), 0),
MATCH(K$17,'Limit raise'!$1:$1,0))</f>
        <v>0.87689104868916001</v>
      </c>
      <c r="L291" s="18">
        <f>INDEX('Limit raise'!$A:$O,
MATCH($C291, 'Limit raise'!$A:$A, 0),
MATCH(L$17,'Limit raise'!$1:$1,0))</f>
        <v>0.1194151880658948</v>
      </c>
      <c r="M291" s="18">
        <v>0.15</v>
      </c>
      <c r="N291" s="18"/>
    </row>
    <row r="292" spans="3:14" s="13" customFormat="1" ht="7.2" customHeight="1" x14ac:dyDescent="0.3">
      <c r="C292" s="17">
        <v>274</v>
      </c>
      <c r="D292" s="18" cm="1">
        <f t="array" ref="D292">INDEX('New credit'!$A:$O,
MATCH(1,('New credit'!$A:$A=$C292)*('New credit'!$D:$D=D$16), 0),
MATCH(D$17,'New credit'!$1:$1,0))</f>
        <v>0.76271186440677963</v>
      </c>
      <c r="E292" s="18" cm="1">
        <f t="array" ref="E292">INDEX('New credit'!$A:$O,
MATCH(1,('New credit'!$A:$A=$C292)*('New credit'!$D:$D=E$16), 0),
MATCH(E$17,'New credit'!$1:$1,0))</f>
        <v>0.85615384615384593</v>
      </c>
      <c r="F292" s="18" cm="1">
        <f t="array" ref="F292">INDEX('New credit'!$A:$O,
MATCH(1,('New credit'!$A:$A=$C292)*('New credit'!$D:$D=F$16), 0),
MATCH(F$17,'New credit'!$1:$1,0))</f>
        <v>0.7615691449508275</v>
      </c>
      <c r="G292" s="18">
        <f>INDEX('New credit'!$A:$O,
MATCH($C292, 'New credit'!$A:$A, 0),
MATCH(G$17, 'New credit'!$1:$1, 0))</f>
        <v>1</v>
      </c>
      <c r="H292" s="18">
        <v>0.15</v>
      </c>
      <c r="I292" s="18" cm="1">
        <f t="array" ref="I292">INDEX('Limit raise'!$A:$O,
MATCH(1,('Limit raise'!$A:$A=$C292)*('Limit raise'!$D:$D=I$16), 0),
MATCH(I$17,'Limit raise'!$1:$1,0))</f>
        <v>0.62068965517241381</v>
      </c>
      <c r="J292" s="18" cm="1">
        <f t="array" ref="J292">INDEX('Limit raise'!$A:$O,
MATCH(1,('Limit raise'!$A:$A=$C292)*('Limit raise'!$D:$D=J$16), 0),
MATCH(J$17,'Limit raise'!$1:$1,0))</f>
        <v>0.92789473684210522</v>
      </c>
      <c r="K292" s="18" cm="1">
        <f t="array" ref="K292">INDEX('Limit raise'!$A:$O,
MATCH(1,('Limit raise'!$A:$A=$C292)*('Limit raise'!$D:$D=K$16), 0),
MATCH(K$17,'Limit raise'!$1:$1,0))</f>
        <v>0.86050209632886798</v>
      </c>
      <c r="L292" s="18">
        <f>INDEX('Limit raise'!$A:$O,
MATCH($C292, 'Limit raise'!$A:$A, 0),
MATCH(L$17,'Limit raise'!$1:$1,0))</f>
        <v>0.12093934722166109</v>
      </c>
      <c r="M292" s="18">
        <v>0.15</v>
      </c>
      <c r="N292" s="18"/>
    </row>
    <row r="293" spans="3:14" s="13" customFormat="1" ht="7.2" customHeight="1" x14ac:dyDescent="0.3">
      <c r="C293" s="17">
        <v>275</v>
      </c>
      <c r="D293" s="18" cm="1">
        <f t="array" ref="D293">INDEX('New credit'!$A:$O,
MATCH(1,('New credit'!$A:$A=$C293)*('New credit'!$D:$D=D$16), 0),
MATCH(D$17,'New credit'!$1:$1,0))</f>
        <v>0.67213114754098358</v>
      </c>
      <c r="E293" s="18" cm="1">
        <f t="array" ref="E293">INDEX('New credit'!$A:$O,
MATCH(1,('New credit'!$A:$A=$C293)*('New credit'!$D:$D=E$16), 0),
MATCH(E$17,'New credit'!$1:$1,0))</f>
        <v>0.85812500000000003</v>
      </c>
      <c r="F293" s="18" cm="1">
        <f t="array" ref="F293">INDEX('New credit'!$A:$O,
MATCH(1,('New credit'!$A:$A=$C293)*('New credit'!$D:$D=F$16), 0),
MATCH(F$17,'New credit'!$1:$1,0))</f>
        <v>0.80424167884752118</v>
      </c>
      <c r="G293" s="18">
        <f>INDEX('New credit'!$A:$O,
MATCH($C293, 'New credit'!$A:$A, 0),
MATCH(G$17, 'New credit'!$1:$1, 0))</f>
        <v>1</v>
      </c>
      <c r="H293" s="18">
        <v>0.15</v>
      </c>
      <c r="I293" s="18" cm="1">
        <f t="array" ref="I293">INDEX('Limit raise'!$A:$O,
MATCH(1,('Limit raise'!$A:$A=$C293)*('Limit raise'!$D:$D=I$16), 0),
MATCH(I$17,'Limit raise'!$1:$1,0))</f>
        <v>0.60344827586206895</v>
      </c>
      <c r="J293" s="18" cm="1">
        <f t="array" ref="J293">INDEX('Limit raise'!$A:$O,
MATCH(1,('Limit raise'!$A:$A=$C293)*('Limit raise'!$D:$D=J$16), 0),
MATCH(J$17,'Limit raise'!$1:$1,0))</f>
        <v>0.92649999999999988</v>
      </c>
      <c r="K293" s="18" cm="1">
        <f t="array" ref="K293">INDEX('Limit raise'!$A:$O,
MATCH(1,('Limit raise'!$A:$A=$C293)*('Limit raise'!$D:$D=K$16), 0),
MATCH(K$17,'Limit raise'!$1:$1,0))</f>
        <v>0.78724019787301247</v>
      </c>
      <c r="L293" s="18">
        <f>INDEX('Limit raise'!$A:$O,
MATCH($C293, 'Limit raise'!$A:$A, 0),
MATCH(L$17,'Limit raise'!$1:$1,0))</f>
        <v>0.1208497323110207</v>
      </c>
      <c r="M293" s="18">
        <v>0.15</v>
      </c>
      <c r="N293" s="18"/>
    </row>
    <row r="294" spans="3:14" s="13" customFormat="1" ht="7.2" customHeight="1" x14ac:dyDescent="0.3">
      <c r="C294" s="17">
        <v>276</v>
      </c>
      <c r="D294" s="18" cm="1">
        <f t="array" ref="D294">INDEX('New credit'!$A:$O,
MATCH(1,('New credit'!$A:$A=$C294)*('New credit'!$D:$D=D$16), 0),
MATCH(D$17,'New credit'!$1:$1,0))</f>
        <v>0.69696969696969702</v>
      </c>
      <c r="E294" s="18" cm="1">
        <f t="array" ref="E294">INDEX('New credit'!$A:$O,
MATCH(1,('New credit'!$A:$A=$C294)*('New credit'!$D:$D=E$16), 0),
MATCH(E$17,'New credit'!$1:$1,0))</f>
        <v>0.85709677419354824</v>
      </c>
      <c r="F294" s="18" cm="1">
        <f t="array" ref="F294">INDEX('New credit'!$A:$O,
MATCH(1,('New credit'!$A:$A=$C294)*('New credit'!$D:$D=F$16), 0),
MATCH(F$17,'New credit'!$1:$1,0))</f>
        <v>0.76513471053695181</v>
      </c>
      <c r="G294" s="18">
        <f>INDEX('New credit'!$A:$O,
MATCH($C294, 'New credit'!$A:$A, 0),
MATCH(G$17, 'New credit'!$1:$1, 0))</f>
        <v>0.1027100702708057</v>
      </c>
      <c r="H294" s="18">
        <v>0.15</v>
      </c>
      <c r="I294" s="18" cm="1">
        <f t="array" ref="I294">INDEX('Limit raise'!$A:$O,
MATCH(1,('Limit raise'!$A:$A=$C294)*('Limit raise'!$D:$D=I$16), 0),
MATCH(I$17,'Limit raise'!$1:$1,0))</f>
        <v>0.61016949152542377</v>
      </c>
      <c r="J294" s="18" cm="1">
        <f t="array" ref="J294">INDEX('Limit raise'!$A:$O,
MATCH(1,('Limit raise'!$A:$A=$C294)*('Limit raise'!$D:$D=J$16), 0),
MATCH(J$17,'Limit raise'!$1:$1,0))</f>
        <v>0.92842105263157892</v>
      </c>
      <c r="K294" s="18" cm="1">
        <f t="array" ref="K294">INDEX('Limit raise'!$A:$O,
MATCH(1,('Limit raise'!$A:$A=$C294)*('Limit raise'!$D:$D=K$16), 0),
MATCH(K$17,'Limit raise'!$1:$1,0))</f>
        <v>0.81578157815047059</v>
      </c>
      <c r="L294" s="18">
        <f>INDEX('Limit raise'!$A:$O,
MATCH($C294, 'Limit raise'!$A:$A, 0),
MATCH(L$17,'Limit raise'!$1:$1,0))</f>
        <v>0.1260161534298776</v>
      </c>
      <c r="M294" s="18">
        <v>0.15</v>
      </c>
      <c r="N294" s="18"/>
    </row>
    <row r="295" spans="3:14" s="13" customFormat="1" ht="7.2" customHeight="1" x14ac:dyDescent="0.3">
      <c r="C295" s="17">
        <v>277</v>
      </c>
      <c r="D295" s="18" cm="1">
        <f t="array" ref="D295">INDEX('New credit'!$A:$O,
MATCH(1,('New credit'!$A:$A=$C295)*('New credit'!$D:$D=D$16), 0),
MATCH(D$17,'New credit'!$1:$1,0))</f>
        <v>0.73333333333333328</v>
      </c>
      <c r="E295" s="18" cm="1">
        <f t="array" ref="E295">INDEX('New credit'!$A:$O,
MATCH(1,('New credit'!$A:$A=$C295)*('New credit'!$D:$D=E$16), 0),
MATCH(E$17,'New credit'!$1:$1,0))</f>
        <v>0.8336363636363634</v>
      </c>
      <c r="F295" s="18" cm="1">
        <f t="array" ref="F295">INDEX('New credit'!$A:$O,
MATCH(1,('New credit'!$A:$A=$C295)*('New credit'!$D:$D=F$16), 0),
MATCH(F$17,'New credit'!$1:$1,0))</f>
        <v>0.76497515029777119</v>
      </c>
      <c r="G295" s="18">
        <f>INDEX('New credit'!$A:$O,
MATCH($C295, 'New credit'!$A:$A, 0),
MATCH(G$17, 'New credit'!$1:$1, 0))</f>
        <v>0.14202690732339129</v>
      </c>
      <c r="H295" s="18">
        <v>0.15</v>
      </c>
      <c r="I295" s="18" cm="1">
        <f t="array" ref="I295">INDEX('Limit raise'!$A:$O,
MATCH(1,('Limit raise'!$A:$A=$C295)*('Limit raise'!$D:$D=I$16), 0),
MATCH(I$17,'Limit raise'!$1:$1,0))</f>
        <v>0.61016949152542377</v>
      </c>
      <c r="J295" s="18" cm="1">
        <f t="array" ref="J295">INDEX('Limit raise'!$A:$O,
MATCH(1,('Limit raise'!$A:$A=$C295)*('Limit raise'!$D:$D=J$16), 0),
MATCH(J$17,'Limit raise'!$1:$1,0))</f>
        <v>0.92842105263157881</v>
      </c>
      <c r="K295" s="18" cm="1">
        <f t="array" ref="K295">INDEX('Limit raise'!$A:$O,
MATCH(1,('Limit raise'!$A:$A=$C295)*('Limit raise'!$D:$D=K$16), 0),
MATCH(K$17,'Limit raise'!$1:$1,0))</f>
        <v>0.85015120707778458</v>
      </c>
      <c r="L295" s="18">
        <f>INDEX('Limit raise'!$A:$O,
MATCH($C295, 'Limit raise'!$A:$A, 0),
MATCH(L$17,'Limit raise'!$1:$1,0))</f>
        <v>0.1257136327440414</v>
      </c>
      <c r="M295" s="18">
        <v>0.15</v>
      </c>
      <c r="N295" s="18"/>
    </row>
    <row r="296" spans="3:14" s="13" customFormat="1" ht="7.2" customHeight="1" x14ac:dyDescent="0.3">
      <c r="C296" s="17">
        <v>278</v>
      </c>
      <c r="D296" s="18" cm="1">
        <f t="array" ref="D296">INDEX('New credit'!$A:$O,
MATCH(1,('New credit'!$A:$A=$C296)*('New credit'!$D:$D=D$16), 0),
MATCH(D$17,'New credit'!$1:$1,0))</f>
        <v>0.73015873015873012</v>
      </c>
      <c r="E296" s="18" cm="1">
        <f t="array" ref="E296">INDEX('New credit'!$A:$O,
MATCH(1,('New credit'!$A:$A=$C296)*('New credit'!$D:$D=E$16), 0),
MATCH(E$17,'New credit'!$1:$1,0))</f>
        <v>0.86310344827586194</v>
      </c>
      <c r="F296" s="18" cm="1">
        <f t="array" ref="F296">INDEX('New credit'!$A:$O,
MATCH(1,('New credit'!$A:$A=$C296)*('New credit'!$D:$D=F$16), 0),
MATCH(F$17,'New credit'!$1:$1,0))</f>
        <v>0.79041243400991212</v>
      </c>
      <c r="G296" s="18">
        <f>INDEX('New credit'!$A:$O,
MATCH($C296, 'New credit'!$A:$A, 0),
MATCH(G$17, 'New credit'!$1:$1, 0))</f>
        <v>0.15563048673280039</v>
      </c>
      <c r="H296" s="18">
        <v>0.15</v>
      </c>
      <c r="I296" s="18" cm="1">
        <f t="array" ref="I296">INDEX('Limit raise'!$A:$O,
MATCH(1,('Limit raise'!$A:$A=$C296)*('Limit raise'!$D:$D=I$16), 0),
MATCH(I$17,'Limit raise'!$1:$1,0))</f>
        <v>0.61016949152542377</v>
      </c>
      <c r="J296" s="18" cm="1">
        <f t="array" ref="J296">INDEX('Limit raise'!$A:$O,
MATCH(1,('Limit raise'!$A:$A=$C296)*('Limit raise'!$D:$D=J$16), 0),
MATCH(J$17,'Limit raise'!$1:$1,0))</f>
        <v>0.92789473684210522</v>
      </c>
      <c r="K296" s="18" cm="1">
        <f t="array" ref="K296">INDEX('Limit raise'!$A:$O,
MATCH(1,('Limit raise'!$A:$A=$C296)*('Limit raise'!$D:$D=K$16), 0),
MATCH(K$17,'Limit raise'!$1:$1,0))</f>
        <v>0.82605787458617641</v>
      </c>
      <c r="L296" s="18">
        <f>INDEX('Limit raise'!$A:$O,
MATCH($C296, 'Limit raise'!$A:$A, 0),
MATCH(L$17,'Limit raise'!$1:$1,0))</f>
        <v>0.1294971879114325</v>
      </c>
      <c r="M296" s="18">
        <v>0.15</v>
      </c>
      <c r="N296" s="18"/>
    </row>
    <row r="297" spans="3:14" s="13" customFormat="1" ht="7.2" customHeight="1" x14ac:dyDescent="0.3">
      <c r="C297" s="17">
        <v>279</v>
      </c>
      <c r="D297" s="18" cm="1">
        <f t="array" ref="D297">INDEX('New credit'!$A:$O,
MATCH(1,('New credit'!$A:$A=$C297)*('New credit'!$D:$D=D$16), 0),
MATCH(D$17,'New credit'!$1:$1,0))</f>
        <v>0.77777777777777779</v>
      </c>
      <c r="E297" s="18" cm="1">
        <f t="array" ref="E297">INDEX('New credit'!$A:$O,
MATCH(1,('New credit'!$A:$A=$C297)*('New credit'!$D:$D=E$16), 0),
MATCH(E$17,'New credit'!$1:$1,0))</f>
        <v>0.86448275862068968</v>
      </c>
      <c r="F297" s="18" cm="1">
        <f t="array" ref="F297">INDEX('New credit'!$A:$O,
MATCH(1,('New credit'!$A:$A=$C297)*('New credit'!$D:$D=F$16), 0),
MATCH(F$17,'New credit'!$1:$1,0))</f>
        <v>0.78376989759528537</v>
      </c>
      <c r="G297" s="18">
        <f>INDEX('New credit'!$A:$O,
MATCH($C297, 'New credit'!$A:$A, 0),
MATCH(G$17, 'New credit'!$1:$1, 0))</f>
        <v>7.0577396874834691E-2</v>
      </c>
      <c r="H297" s="18">
        <v>0.15</v>
      </c>
      <c r="I297" s="18" cm="1">
        <f t="array" ref="I297">INDEX('Limit raise'!$A:$O,
MATCH(1,('Limit raise'!$A:$A=$C297)*('Limit raise'!$D:$D=I$16), 0),
MATCH(I$17,'Limit raise'!$1:$1,0))</f>
        <v>0.6166666666666667</v>
      </c>
      <c r="J297" s="18" cm="1">
        <f t="array" ref="J297">INDEX('Limit raise'!$A:$O,
MATCH(1,('Limit raise'!$A:$A=$C297)*('Limit raise'!$D:$D=J$16), 0),
MATCH(J$17,'Limit raise'!$1:$1,0))</f>
        <v>0.92842105263157892</v>
      </c>
      <c r="K297" s="18" cm="1">
        <f t="array" ref="K297">INDEX('Limit raise'!$A:$O,
MATCH(1,('Limit raise'!$A:$A=$C297)*('Limit raise'!$D:$D=K$16), 0),
MATCH(K$17,'Limit raise'!$1:$1,0))</f>
        <v>0.85775622006392227</v>
      </c>
      <c r="L297" s="18">
        <f>INDEX('Limit raise'!$A:$O,
MATCH($C297, 'Limit raise'!$A:$A, 0),
MATCH(L$17,'Limit raise'!$1:$1,0))</f>
        <v>0.12990318630268849</v>
      </c>
      <c r="M297" s="18">
        <v>0.15</v>
      </c>
      <c r="N297" s="18"/>
    </row>
    <row r="298" spans="3:14" s="13" customFormat="1" ht="7.2" customHeight="1" x14ac:dyDescent="0.3">
      <c r="C298" s="17">
        <v>280</v>
      </c>
      <c r="D298" s="18" cm="1">
        <f t="array" ref="D298">INDEX('New credit'!$A:$O,
MATCH(1,('New credit'!$A:$A=$C298)*('New credit'!$D:$D=D$16), 0),
MATCH(D$17,'New credit'!$1:$1,0))</f>
        <v>0.78688524590163933</v>
      </c>
      <c r="E298" s="18" cm="1">
        <f t="array" ref="E298">INDEX('New credit'!$A:$O,
MATCH(1,('New credit'!$A:$A=$C298)*('New credit'!$D:$D=E$16), 0),
MATCH(E$17,'New credit'!$1:$1,0))</f>
        <v>0.8574074074074074</v>
      </c>
      <c r="F298" s="18" cm="1">
        <f t="array" ref="F298">INDEX('New credit'!$A:$O,
MATCH(1,('New credit'!$A:$A=$C298)*('New credit'!$D:$D=F$16), 0),
MATCH(F$17,'New credit'!$1:$1,0))</f>
        <v>0.73402996351875172</v>
      </c>
      <c r="G298" s="18">
        <f>INDEX('New credit'!$A:$O,
MATCH($C298, 'New credit'!$A:$A, 0),
MATCH(G$17, 'New credit'!$1:$1, 0))</f>
        <v>9.6650054120026724E-2</v>
      </c>
      <c r="H298" s="18">
        <v>0.15</v>
      </c>
      <c r="I298" s="18" cm="1">
        <f t="array" ref="I298">INDEX('Limit raise'!$A:$O,
MATCH(1,('Limit raise'!$A:$A=$C298)*('Limit raise'!$D:$D=I$16), 0),
MATCH(I$17,'Limit raise'!$1:$1,0))</f>
        <v>0.6271186440677966</v>
      </c>
      <c r="J298" s="18" cm="1">
        <f t="array" ref="J298">INDEX('Limit raise'!$A:$O,
MATCH(1,('Limit raise'!$A:$A=$C298)*('Limit raise'!$D:$D=J$16), 0),
MATCH(J$17,'Limit raise'!$1:$1,0))</f>
        <v>0.92684210526315791</v>
      </c>
      <c r="K298" s="18" cm="1">
        <f t="array" ref="K298">INDEX('Limit raise'!$A:$O,
MATCH(1,('Limit raise'!$A:$A=$C298)*('Limit raise'!$D:$D=K$16), 0),
MATCH(K$17,'Limit raise'!$1:$1,0))</f>
        <v>0.85765914714640212</v>
      </c>
      <c r="L298" s="18">
        <f>INDEX('Limit raise'!$A:$O,
MATCH($C298, 'Limit raise'!$A:$A, 0),
MATCH(L$17,'Limit raise'!$1:$1,0))</f>
        <v>0.1312416466922022</v>
      </c>
      <c r="M298" s="18">
        <v>0.15</v>
      </c>
      <c r="N298" s="18"/>
    </row>
    <row r="299" spans="3:14" s="13" customFormat="1" ht="7.2" customHeight="1" x14ac:dyDescent="0.3">
      <c r="C299" s="17">
        <v>281</v>
      </c>
      <c r="D299" s="18" cm="1">
        <f t="array" ref="D299">INDEX('New credit'!$A:$O,
MATCH(1,('New credit'!$A:$A=$C299)*('New credit'!$D:$D=D$16), 0),
MATCH(D$17,'New credit'!$1:$1,0))</f>
        <v>0.75409836065573765</v>
      </c>
      <c r="E299" s="18" cm="1">
        <f t="array" ref="E299">INDEX('New credit'!$A:$O,
MATCH(1,('New credit'!$A:$A=$C299)*('New credit'!$D:$D=E$16), 0),
MATCH(E$17,'New credit'!$1:$1,0))</f>
        <v>0.85777777777777742</v>
      </c>
      <c r="F299" s="18" cm="1">
        <f t="array" ref="F299">INDEX('New credit'!$A:$O,
MATCH(1,('New credit'!$A:$A=$C299)*('New credit'!$D:$D=F$16), 0),
MATCH(F$17,'New credit'!$1:$1,0))</f>
        <v>0.69738477322264658</v>
      </c>
      <c r="G299" s="18">
        <f>INDEX('New credit'!$A:$O,
MATCH($C299, 'New credit'!$A:$A, 0),
MATCH(G$17, 'New credit'!$1:$1, 0))</f>
        <v>0.12854379463839891</v>
      </c>
      <c r="H299" s="18">
        <v>0.15</v>
      </c>
      <c r="I299" s="18" cm="1">
        <f t="array" ref="I299">INDEX('Limit raise'!$A:$O,
MATCH(1,('Limit raise'!$A:$A=$C299)*('Limit raise'!$D:$D=I$16), 0),
MATCH(I$17,'Limit raise'!$1:$1,0))</f>
        <v>0.6271186440677966</v>
      </c>
      <c r="J299" s="18" cm="1">
        <f t="array" ref="J299">INDEX('Limit raise'!$A:$O,
MATCH(1,('Limit raise'!$A:$A=$C299)*('Limit raise'!$D:$D=J$16), 0),
MATCH(J$17,'Limit raise'!$1:$1,0))</f>
        <v>0.92631578947368409</v>
      </c>
      <c r="K299" s="18" cm="1">
        <f t="array" ref="K299">INDEX('Limit raise'!$A:$O,
MATCH(1,('Limit raise'!$A:$A=$C299)*('Limit raise'!$D:$D=K$16), 0),
MATCH(K$17,'Limit raise'!$1:$1,0))</f>
        <v>0.85822327745401339</v>
      </c>
      <c r="L299" s="18">
        <f>INDEX('Limit raise'!$A:$O,
MATCH($C299, 'Limit raise'!$A:$A, 0),
MATCH(L$17,'Limit raise'!$1:$1,0))</f>
        <v>0.13195647455385981</v>
      </c>
      <c r="M299" s="18">
        <v>0.15</v>
      </c>
      <c r="N299" s="18"/>
    </row>
    <row r="300" spans="3:14" s="13" customFormat="1" ht="7.2" customHeight="1" x14ac:dyDescent="0.3">
      <c r="C300" s="17">
        <v>282</v>
      </c>
      <c r="D300" s="18" cm="1">
        <f t="array" ref="D300">INDEX('New credit'!$A:$O,
MATCH(1,('New credit'!$A:$A=$C300)*('New credit'!$D:$D=D$16), 0),
MATCH(D$17,'New credit'!$1:$1,0))</f>
        <v>0.73770491803278693</v>
      </c>
      <c r="E300" s="18" cm="1">
        <f t="array" ref="E300">INDEX('New credit'!$A:$O,
MATCH(1,('New credit'!$A:$A=$C300)*('New credit'!$D:$D=E$16), 0),
MATCH(E$17,'New credit'!$1:$1,0))</f>
        <v>0.85559999999999992</v>
      </c>
      <c r="F300" s="18" cm="1">
        <f t="array" ref="F300">INDEX('New credit'!$A:$O,
MATCH(1,('New credit'!$A:$A=$C300)*('New credit'!$D:$D=F$16), 0),
MATCH(F$17,'New credit'!$1:$1,0))</f>
        <v>0.82452882980437148</v>
      </c>
      <c r="G300" s="18">
        <f>INDEX('New credit'!$A:$O,
MATCH($C300, 'New credit'!$A:$A, 0),
MATCH(G$17, 'New credit'!$1:$1, 0))</f>
        <v>0.24287696963844679</v>
      </c>
      <c r="H300" s="18">
        <v>0.15</v>
      </c>
      <c r="I300" s="18" cm="1">
        <f t="array" ref="I300">INDEX('Limit raise'!$A:$O,
MATCH(1,('Limit raise'!$A:$A=$C300)*('Limit raise'!$D:$D=I$16), 0),
MATCH(I$17,'Limit raise'!$1:$1,0))</f>
        <v>0.62068965517241381</v>
      </c>
      <c r="J300" s="18" cm="1">
        <f t="array" ref="J300">INDEX('Limit raise'!$A:$O,
MATCH(1,('Limit raise'!$A:$A=$C300)*('Limit raise'!$D:$D=J$16), 0),
MATCH(J$17,'Limit raise'!$1:$1,0))</f>
        <v>0.92631578947368409</v>
      </c>
      <c r="K300" s="18" cm="1">
        <f t="array" ref="K300">INDEX('Limit raise'!$A:$O,
MATCH(1,('Limit raise'!$A:$A=$C300)*('Limit raise'!$D:$D=K$16), 0),
MATCH(K$17,'Limit raise'!$1:$1,0))</f>
        <v>0.86338587848932669</v>
      </c>
      <c r="L300" s="18">
        <f>INDEX('Limit raise'!$A:$O,
MATCH($C300, 'Limit raise'!$A:$A, 0),
MATCH(L$17,'Limit raise'!$1:$1,0))</f>
        <v>0.13584712340347119</v>
      </c>
      <c r="M300" s="18">
        <v>0.15</v>
      </c>
      <c r="N300" s="18"/>
    </row>
    <row r="301" spans="3:14" s="13" customFormat="1" ht="7.2" customHeight="1" x14ac:dyDescent="0.3">
      <c r="C301" s="17">
        <v>283</v>
      </c>
      <c r="D301" s="18" cm="1">
        <f t="array" ref="D301">INDEX('New credit'!$A:$O,
MATCH(1,('New credit'!$A:$A=$C301)*('New credit'!$D:$D=D$16), 0),
MATCH(D$17,'New credit'!$1:$1,0))</f>
        <v>0.73333333333333328</v>
      </c>
      <c r="E301" s="18" cm="1">
        <f t="array" ref="E301">INDEX('New credit'!$A:$O,
MATCH(1,('New credit'!$A:$A=$C301)*('New credit'!$D:$D=E$16), 0),
MATCH(E$17,'New credit'!$1:$1,0))</f>
        <v>0.86466666666666681</v>
      </c>
      <c r="F301" s="18" cm="1">
        <f t="array" ref="F301">INDEX('New credit'!$A:$O,
MATCH(1,('New credit'!$A:$A=$C301)*('New credit'!$D:$D=F$16), 0),
MATCH(F$17,'New credit'!$1:$1,0))</f>
        <v>0.75966594084683758</v>
      </c>
      <c r="G301" s="18">
        <f>INDEX('New credit'!$A:$O,
MATCH($C301, 'New credit'!$A:$A, 0),
MATCH(G$17, 'New credit'!$1:$1, 0))</f>
        <v>0.15685760416756531</v>
      </c>
      <c r="H301" s="18">
        <v>0.15</v>
      </c>
      <c r="I301" s="18" cm="1">
        <f t="array" ref="I301">INDEX('Limit raise'!$A:$O,
MATCH(1,('Limit raise'!$A:$A=$C301)*('Limit raise'!$D:$D=I$16), 0),
MATCH(I$17,'Limit raise'!$1:$1,0))</f>
        <v>0.60344827586206895</v>
      </c>
      <c r="J301" s="18" cm="1">
        <f t="array" ref="J301">INDEX('Limit raise'!$A:$O,
MATCH(1,('Limit raise'!$A:$A=$C301)*('Limit raise'!$D:$D=J$16), 0),
MATCH(J$17,'Limit raise'!$1:$1,0))</f>
        <v>0.92578947368421038</v>
      </c>
      <c r="K301" s="18" cm="1">
        <f t="array" ref="K301">INDEX('Limit raise'!$A:$O,
MATCH(1,('Limit raise'!$A:$A=$C301)*('Limit raise'!$D:$D=K$16), 0),
MATCH(K$17,'Limit raise'!$1:$1,0))</f>
        <v>0.84323757904245711</v>
      </c>
      <c r="L301" s="18">
        <f>INDEX('Limit raise'!$A:$O,
MATCH($C301, 'Limit raise'!$A:$A, 0),
MATCH(L$17,'Limit raise'!$1:$1,0))</f>
        <v>0.1410185766108967</v>
      </c>
      <c r="M301" s="18">
        <v>0.15</v>
      </c>
      <c r="N301" s="18"/>
    </row>
    <row r="302" spans="3:14" s="13" customFormat="1" ht="7.2" customHeight="1" x14ac:dyDescent="0.3">
      <c r="C302" s="17">
        <v>284</v>
      </c>
      <c r="D302" s="18" cm="1">
        <f t="array" ref="D302">INDEX('New credit'!$A:$O,
MATCH(1,('New credit'!$A:$A=$C302)*('New credit'!$D:$D=D$16), 0),
MATCH(D$17,'New credit'!$1:$1,0))</f>
        <v>0.68656716417910446</v>
      </c>
      <c r="E302" s="18" cm="1">
        <f t="array" ref="E302">INDEX('New credit'!$A:$O,
MATCH(1,('New credit'!$A:$A=$C302)*('New credit'!$D:$D=E$16), 0),
MATCH(E$17,'New credit'!$1:$1,0))</f>
        <v>0.82655172413793088</v>
      </c>
      <c r="F302" s="18" cm="1">
        <f t="array" ref="F302">INDEX('New credit'!$A:$O,
MATCH(1,('New credit'!$A:$A=$C302)*('New credit'!$D:$D=F$16), 0),
MATCH(F$17,'New credit'!$1:$1,0))</f>
        <v>0.71582018798965519</v>
      </c>
      <c r="G302" s="18">
        <f>INDEX('New credit'!$A:$O,
MATCH($C302, 'New credit'!$A:$A, 0),
MATCH(G$17, 'New credit'!$1:$1, 0))</f>
        <v>0.1395244204360295</v>
      </c>
      <c r="H302" s="18">
        <v>0.15</v>
      </c>
      <c r="I302" s="18" cm="1">
        <f t="array" ref="I302">INDEX('Limit raise'!$A:$O,
MATCH(1,('Limit raise'!$A:$A=$C302)*('Limit raise'!$D:$D=I$16), 0),
MATCH(I$17,'Limit raise'!$1:$1,0))</f>
        <v>0.61403508771929827</v>
      </c>
      <c r="J302" s="18" cm="1">
        <f t="array" ref="J302">INDEX('Limit raise'!$A:$O,
MATCH(1,('Limit raise'!$A:$A=$C302)*('Limit raise'!$D:$D=J$16), 0),
MATCH(J$17,'Limit raise'!$1:$1,0))</f>
        <v>0.92722222222222228</v>
      </c>
      <c r="K302" s="18" cm="1">
        <f t="array" ref="K302">INDEX('Limit raise'!$A:$O,
MATCH(1,('Limit raise'!$A:$A=$C302)*('Limit raise'!$D:$D=K$16), 0),
MATCH(K$17,'Limit raise'!$1:$1,0))</f>
        <v>0.84303124569648702</v>
      </c>
      <c r="L302" s="18">
        <f>INDEX('Limit raise'!$A:$O,
MATCH($C302, 'Limit raise'!$A:$A, 0),
MATCH(L$17,'Limit raise'!$1:$1,0))</f>
        <v>0.14066078601918999</v>
      </c>
      <c r="M302" s="18">
        <v>0.15</v>
      </c>
      <c r="N302" s="18"/>
    </row>
    <row r="303" spans="3:14" s="13" customFormat="1" ht="7.2" customHeight="1" x14ac:dyDescent="0.3">
      <c r="C303" s="17">
        <v>285</v>
      </c>
      <c r="D303" s="18" cm="1">
        <f t="array" ref="D303">INDEX('New credit'!$A:$O,
MATCH(1,('New credit'!$A:$A=$C303)*('New credit'!$D:$D=D$16), 0),
MATCH(D$17,'New credit'!$1:$1,0))</f>
        <v>0.69117647058823528</v>
      </c>
      <c r="E303" s="18" cm="1">
        <f t="array" ref="E303">INDEX('New credit'!$A:$O,
MATCH(1,('New credit'!$A:$A=$C303)*('New credit'!$D:$D=E$16), 0),
MATCH(E$17,'New credit'!$1:$1,0))</f>
        <v>0.85439999999999983</v>
      </c>
      <c r="F303" s="18" cm="1">
        <f t="array" ref="F303">INDEX('New credit'!$A:$O,
MATCH(1,('New credit'!$A:$A=$C303)*('New credit'!$D:$D=F$16), 0),
MATCH(F$17,'New credit'!$1:$1,0))</f>
        <v>0.79281468459601023</v>
      </c>
      <c r="G303" s="18">
        <f>INDEX('New credit'!$A:$O,
MATCH($C303, 'New credit'!$A:$A, 0),
MATCH(G$17, 'New credit'!$1:$1, 0))</f>
        <v>0.22163577649684171</v>
      </c>
      <c r="H303" s="18">
        <v>0.15</v>
      </c>
      <c r="I303" s="18" cm="1">
        <f t="array" ref="I303">INDEX('Limit raise'!$A:$O,
MATCH(1,('Limit raise'!$A:$A=$C303)*('Limit raise'!$D:$D=I$16), 0),
MATCH(I$17,'Limit raise'!$1:$1,0))</f>
        <v>0.61403508771929827</v>
      </c>
      <c r="J303" s="18" cm="1">
        <f t="array" ref="J303">INDEX('Limit raise'!$A:$O,
MATCH(1,('Limit raise'!$A:$A=$C303)*('Limit raise'!$D:$D=J$16), 0),
MATCH(J$17,'Limit raise'!$1:$1,0))</f>
        <v>0.92666666666666664</v>
      </c>
      <c r="K303" s="18" cm="1">
        <f t="array" ref="K303">INDEX('Limit raise'!$A:$O,
MATCH(1,('Limit raise'!$A:$A=$C303)*('Limit raise'!$D:$D=K$16), 0),
MATCH(K$17,'Limit raise'!$1:$1,0))</f>
        <v>0.83411664072594083</v>
      </c>
      <c r="L303" s="18">
        <f>INDEX('Limit raise'!$A:$O,
MATCH($C303, 'Limit raise'!$A:$A, 0),
MATCH(L$17,'Limit raise'!$1:$1,0))</f>
        <v>0.1392272761593637</v>
      </c>
      <c r="M303" s="18">
        <v>0.15</v>
      </c>
      <c r="N303" s="18"/>
    </row>
    <row r="304" spans="3:14" s="13" customFormat="1" ht="7.2" customHeight="1" x14ac:dyDescent="0.3">
      <c r="C304" s="17">
        <v>286</v>
      </c>
      <c r="D304" s="18" cm="1">
        <f t="array" ref="D304">INDEX('New credit'!$A:$O,
MATCH(1,('New credit'!$A:$A=$C304)*('New credit'!$D:$D=D$16), 0),
MATCH(D$17,'New credit'!$1:$1,0))</f>
        <v>0.71875</v>
      </c>
      <c r="E304" s="18" cm="1">
        <f t="array" ref="E304">INDEX('New credit'!$A:$O,
MATCH(1,('New credit'!$A:$A=$C304)*('New credit'!$D:$D=E$16), 0),
MATCH(E$17,'New credit'!$1:$1,0))</f>
        <v>0.85041666666666649</v>
      </c>
      <c r="F304" s="18" cm="1">
        <f t="array" ref="F304">INDEX('New credit'!$A:$O,
MATCH(1,('New credit'!$A:$A=$C304)*('New credit'!$D:$D=F$16), 0),
MATCH(F$17,'New credit'!$1:$1,0))</f>
        <v>0.79561840439086962</v>
      </c>
      <c r="G304" s="18">
        <f>INDEX('New credit'!$A:$O,
MATCH($C304, 'New credit'!$A:$A, 0),
MATCH(G$17, 'New credit'!$1:$1, 0))</f>
        <v>0.1426981582013053</v>
      </c>
      <c r="H304" s="18">
        <v>0.15</v>
      </c>
      <c r="I304" s="18" cm="1">
        <f t="array" ref="I304">INDEX('Limit raise'!$A:$O,
MATCH(1,('Limit raise'!$A:$A=$C304)*('Limit raise'!$D:$D=I$16), 0),
MATCH(I$17,'Limit raise'!$1:$1,0))</f>
        <v>0.60344827586206895</v>
      </c>
      <c r="J304" s="18" cm="1">
        <f t="array" ref="J304">INDEX('Limit raise'!$A:$O,
MATCH(1,('Limit raise'!$A:$A=$C304)*('Limit raise'!$D:$D=J$16), 0),
MATCH(J$17,'Limit raise'!$1:$1,0))</f>
        <v>0.92666666666666664</v>
      </c>
      <c r="K304" s="18" cm="1">
        <f t="array" ref="K304">INDEX('Limit raise'!$A:$O,
MATCH(1,('Limit raise'!$A:$A=$C304)*('Limit raise'!$D:$D=K$16), 0),
MATCH(K$17,'Limit raise'!$1:$1,0))</f>
        <v>0.83922996000999428</v>
      </c>
      <c r="L304" s="18">
        <f>INDEX('Limit raise'!$A:$O,
MATCH($C304, 'Limit raise'!$A:$A, 0),
MATCH(L$17,'Limit raise'!$1:$1,0))</f>
        <v>0.1429923067759811</v>
      </c>
      <c r="M304" s="18">
        <v>0.15</v>
      </c>
      <c r="N304" s="18"/>
    </row>
    <row r="305" spans="3:14" s="13" customFormat="1" ht="7.2" customHeight="1" x14ac:dyDescent="0.3">
      <c r="C305" s="17">
        <v>287</v>
      </c>
      <c r="D305" s="18" cm="1">
        <f t="array" ref="D305">INDEX('New credit'!$A:$O,
MATCH(1,('New credit'!$A:$A=$C305)*('New credit'!$D:$D=D$16), 0),
MATCH(D$17,'New credit'!$1:$1,0))</f>
        <v>0.66666666666666663</v>
      </c>
      <c r="E305" s="18" cm="1">
        <f t="array" ref="E305">INDEX('New credit'!$A:$O,
MATCH(1,('New credit'!$A:$A=$C305)*('New credit'!$D:$D=E$16), 0),
MATCH(E$17,'New credit'!$1:$1,0))</f>
        <v>0.8541935483870966</v>
      </c>
      <c r="F305" s="18" cm="1">
        <f t="array" ref="F305">INDEX('New credit'!$A:$O,
MATCH(1,('New credit'!$A:$A=$C305)*('New credit'!$D:$D=F$16), 0),
MATCH(F$17,'New credit'!$1:$1,0))</f>
        <v>0.79770266465976614</v>
      </c>
      <c r="G305" s="18">
        <f>INDEX('New credit'!$A:$O,
MATCH($C305, 'New credit'!$A:$A, 0),
MATCH(G$17, 'New credit'!$1:$1, 0))</f>
        <v>0.18094840340452761</v>
      </c>
      <c r="H305" s="18">
        <v>0.15</v>
      </c>
      <c r="I305" s="18" cm="1">
        <f t="array" ref="I305">INDEX('Limit raise'!$A:$O,
MATCH(1,('Limit raise'!$A:$A=$C305)*('Limit raise'!$D:$D=I$16), 0),
MATCH(I$17,'Limit raise'!$1:$1,0))</f>
        <v>0.60344827586206895</v>
      </c>
      <c r="J305" s="18" cm="1">
        <f t="array" ref="J305">INDEX('Limit raise'!$A:$O,
MATCH(1,('Limit raise'!$A:$A=$C305)*('Limit raise'!$D:$D=J$16), 0),
MATCH(J$17,'Limit raise'!$1:$1,0))</f>
        <v>0.92555555555555558</v>
      </c>
      <c r="K305" s="18" cm="1">
        <f t="array" ref="K305">INDEX('Limit raise'!$A:$O,
MATCH(1,('Limit raise'!$A:$A=$C305)*('Limit raise'!$D:$D=K$16), 0),
MATCH(K$17,'Limit raise'!$1:$1,0))</f>
        <v>0.84748265720825944</v>
      </c>
      <c r="L305" s="18">
        <f>INDEX('Limit raise'!$A:$O,
MATCH($C305, 'Limit raise'!$A:$A, 0),
MATCH(L$17,'Limit raise'!$1:$1,0))</f>
        <v>0.14648738556292179</v>
      </c>
      <c r="M305" s="18">
        <v>0.15</v>
      </c>
      <c r="N305" s="18"/>
    </row>
    <row r="306" spans="3:14" s="13" customFormat="1" ht="7.2" customHeight="1" x14ac:dyDescent="0.3">
      <c r="C306" s="17">
        <v>288</v>
      </c>
      <c r="D306" s="18" cm="1">
        <f t="array" ref="D306">INDEX('New credit'!$A:$O,
MATCH(1,('New credit'!$A:$A=$C306)*('New credit'!$D:$D=D$16), 0),
MATCH(D$17,'New credit'!$1:$1,0))</f>
        <v>0.65573770491803274</v>
      </c>
      <c r="E306" s="18" cm="1">
        <f t="array" ref="E306">INDEX('New credit'!$A:$O,
MATCH(1,('New credit'!$A:$A=$C306)*('New credit'!$D:$D=E$16), 0),
MATCH(E$17,'New credit'!$1:$1,0))</f>
        <v>0.85777777777777753</v>
      </c>
      <c r="F306" s="18" cm="1">
        <f t="array" ref="F306">INDEX('New credit'!$A:$O,
MATCH(1,('New credit'!$A:$A=$C306)*('New credit'!$D:$D=F$16), 0),
MATCH(F$17,'New credit'!$1:$1,0))</f>
        <v>0.83250140831236763</v>
      </c>
      <c r="G306" s="18">
        <f>INDEX('New credit'!$A:$O,
MATCH($C306, 'New credit'!$A:$A, 0),
MATCH(G$17, 'New credit'!$1:$1, 0))</f>
        <v>1</v>
      </c>
      <c r="H306" s="18">
        <v>0.15</v>
      </c>
      <c r="I306" s="18" cm="1">
        <f t="array" ref="I306">INDEX('Limit raise'!$A:$O,
MATCH(1,('Limit raise'!$A:$A=$C306)*('Limit raise'!$D:$D=I$16), 0),
MATCH(I$17,'Limit raise'!$1:$1,0))</f>
        <v>0.60344827586206895</v>
      </c>
      <c r="J306" s="18" cm="1">
        <f t="array" ref="J306">INDEX('Limit raise'!$A:$O,
MATCH(1,('Limit raise'!$A:$A=$C306)*('Limit raise'!$D:$D=J$16), 0),
MATCH(J$17,'Limit raise'!$1:$1,0))</f>
        <v>0.92500000000000016</v>
      </c>
      <c r="K306" s="18" cm="1">
        <f t="array" ref="K306">INDEX('Limit raise'!$A:$O,
MATCH(1,('Limit raise'!$A:$A=$C306)*('Limit raise'!$D:$D=K$16), 0),
MATCH(K$17,'Limit raise'!$1:$1,0))</f>
        <v>0.8474890360572932</v>
      </c>
      <c r="L306" s="18">
        <f>INDEX('Limit raise'!$A:$O,
MATCH($C306, 'Limit raise'!$A:$A, 0),
MATCH(L$17,'Limit raise'!$1:$1,0))</f>
        <v>0.1503312133022208</v>
      </c>
      <c r="M306" s="18">
        <v>0.15</v>
      </c>
      <c r="N306" s="18"/>
    </row>
    <row r="307" spans="3:14" s="13" customFormat="1" ht="7.2" customHeight="1" x14ac:dyDescent="0.3">
      <c r="C307" s="17">
        <v>289</v>
      </c>
      <c r="D307" s="18" cm="1">
        <f t="array" ref="D307">INDEX('New credit'!$A:$O,
MATCH(1,('New credit'!$A:$A=$C307)*('New credit'!$D:$D=D$16), 0),
MATCH(D$17,'New credit'!$1:$1,0))</f>
        <v>0.67647058823529416</v>
      </c>
      <c r="E307" s="18" cm="1">
        <f t="array" ref="E307">INDEX('New credit'!$A:$O,
MATCH(1,('New credit'!$A:$A=$C307)*('New credit'!$D:$D=E$16), 0),
MATCH(E$17,'New credit'!$1:$1,0))</f>
        <v>0.82892857142857124</v>
      </c>
      <c r="F307" s="18" cm="1">
        <f t="array" ref="F307">INDEX('New credit'!$A:$O,
MATCH(1,('New credit'!$A:$A=$C307)*('New credit'!$D:$D=F$16), 0),
MATCH(F$17,'New credit'!$1:$1,0))</f>
        <v>0.66627270840968211</v>
      </c>
      <c r="G307" s="18">
        <f>INDEX('New credit'!$A:$O,
MATCH($C307, 'New credit'!$A:$A, 0),
MATCH(G$17, 'New credit'!$1:$1, 0))</f>
        <v>8.5126501306926339E-2</v>
      </c>
      <c r="H307" s="18">
        <v>0.15</v>
      </c>
      <c r="I307" s="18" cm="1">
        <f t="array" ref="I307">INDEX('Limit raise'!$A:$O,
MATCH(1,('Limit raise'!$A:$A=$C307)*('Limit raise'!$D:$D=I$16), 0),
MATCH(I$17,'Limit raise'!$1:$1,0))</f>
        <v>0.60344827586206895</v>
      </c>
      <c r="J307" s="18" cm="1">
        <f t="array" ref="J307">INDEX('Limit raise'!$A:$O,
MATCH(1,('Limit raise'!$A:$A=$C307)*('Limit raise'!$D:$D=J$16), 0),
MATCH(J$17,'Limit raise'!$1:$1,0))</f>
        <v>0.92500000000000016</v>
      </c>
      <c r="K307" s="18" cm="1">
        <f t="array" ref="K307">INDEX('Limit raise'!$A:$O,
MATCH(1,('Limit raise'!$A:$A=$C307)*('Limit raise'!$D:$D=K$16), 0),
MATCH(K$17,'Limit raise'!$1:$1,0))</f>
        <v>0.84833544021111251</v>
      </c>
      <c r="L307" s="18">
        <f>INDEX('Limit raise'!$A:$O,
MATCH($C307, 'Limit raise'!$A:$A, 0),
MATCH(L$17,'Limit raise'!$1:$1,0))</f>
        <v>1.476486936055952E-2</v>
      </c>
      <c r="M307" s="18">
        <v>0.15</v>
      </c>
      <c r="N307" s="18"/>
    </row>
    <row r="308" spans="3:14" s="13" customFormat="1" ht="7.2" customHeight="1" x14ac:dyDescent="0.3">
      <c r="C308" s="17">
        <v>290</v>
      </c>
      <c r="D308" s="18" cm="1">
        <f t="array" ref="D308">INDEX('New credit'!$A:$O,
MATCH(1,('New credit'!$A:$A=$C308)*('New credit'!$D:$D=D$16), 0),
MATCH(D$17,'New credit'!$1:$1,0))</f>
        <v>0.71212121212121215</v>
      </c>
      <c r="E308" s="18" cm="1">
        <f t="array" ref="E308">INDEX('New credit'!$A:$O,
MATCH(1,('New credit'!$A:$A=$C308)*('New credit'!$D:$D=E$16), 0),
MATCH(E$17,'New credit'!$1:$1,0))</f>
        <v>0.82451612903225791</v>
      </c>
      <c r="F308" s="18" cm="1">
        <f t="array" ref="F308">INDEX('New credit'!$A:$O,
MATCH(1,('New credit'!$A:$A=$C308)*('New credit'!$D:$D=F$16), 0),
MATCH(F$17,'New credit'!$1:$1,0))</f>
        <v>0.80709120149496938</v>
      </c>
      <c r="G308" s="18">
        <f>INDEX('New credit'!$A:$O,
MATCH($C308, 'New credit'!$A:$A, 0),
MATCH(G$17, 'New credit'!$1:$1, 0))</f>
        <v>1</v>
      </c>
      <c r="H308" s="18">
        <v>0.15</v>
      </c>
      <c r="I308" s="18" cm="1">
        <f t="array" ref="I308">INDEX('Limit raise'!$A:$O,
MATCH(1,('Limit raise'!$A:$A=$C308)*('Limit raise'!$D:$D=I$16), 0),
MATCH(I$17,'Limit raise'!$1:$1,0))</f>
        <v>0.6071428571428571</v>
      </c>
      <c r="J308" s="18" cm="1">
        <f t="array" ref="J308">INDEX('Limit raise'!$A:$O,
MATCH(1,('Limit raise'!$A:$A=$C308)*('Limit raise'!$D:$D=J$16), 0),
MATCH(J$17,'Limit raise'!$1:$1,0))</f>
        <v>0.92666666666666664</v>
      </c>
      <c r="K308" s="18" cm="1">
        <f t="array" ref="K308">INDEX('Limit raise'!$A:$O,
MATCH(1,('Limit raise'!$A:$A=$C308)*('Limit raise'!$D:$D=K$16), 0),
MATCH(K$17,'Limit raise'!$1:$1,0))</f>
        <v>0.87230379187803753</v>
      </c>
      <c r="L308" s="18">
        <f>INDEX('Limit raise'!$A:$O,
MATCH($C308, 'Limit raise'!$A:$A, 0),
MATCH(L$17,'Limit raise'!$1:$1,0))</f>
        <v>3.2789939992155903E-2</v>
      </c>
      <c r="M308" s="18">
        <v>0.15</v>
      </c>
      <c r="N308" s="18"/>
    </row>
    <row r="309" spans="3:14" s="13" customFormat="1" ht="7.2" customHeight="1" x14ac:dyDescent="0.3">
      <c r="C309" s="17">
        <v>291</v>
      </c>
      <c r="D309" s="18" cm="1">
        <f t="array" ref="D309">INDEX('New credit'!$A:$O,
MATCH(1,('New credit'!$A:$A=$C309)*('New credit'!$D:$D=D$16), 0),
MATCH(D$17,'New credit'!$1:$1,0))</f>
        <v>0.73770491803278693</v>
      </c>
      <c r="E309" s="18" cm="1">
        <f t="array" ref="E309">INDEX('New credit'!$A:$O,
MATCH(1,('New credit'!$A:$A=$C309)*('New credit'!$D:$D=E$16), 0),
MATCH(E$17,'New credit'!$1:$1,0))</f>
        <v>0.81999999999999973</v>
      </c>
      <c r="F309" s="18" cm="1">
        <f t="array" ref="F309">INDEX('New credit'!$A:$O,
MATCH(1,('New credit'!$A:$A=$C309)*('New credit'!$D:$D=F$16), 0),
MATCH(F$17,'New credit'!$1:$1,0))</f>
        <v>0.76427159715211801</v>
      </c>
      <c r="G309" s="18">
        <f>INDEX('New credit'!$A:$O,
MATCH($C309, 'New credit'!$A:$A, 0),
MATCH(G$17, 'New credit'!$1:$1, 0))</f>
        <v>7.6543183690541167E-2</v>
      </c>
      <c r="H309" s="18">
        <v>0.15</v>
      </c>
      <c r="I309" s="18" cm="1">
        <f t="array" ref="I309">INDEX('Limit raise'!$A:$O,
MATCH(1,('Limit raise'!$A:$A=$C309)*('Limit raise'!$D:$D=I$16), 0),
MATCH(I$17,'Limit raise'!$1:$1,0))</f>
        <v>0.6071428571428571</v>
      </c>
      <c r="J309" s="18" cm="1">
        <f t="array" ref="J309">INDEX('Limit raise'!$A:$O,
MATCH(1,('Limit raise'!$A:$A=$C309)*('Limit raise'!$D:$D=J$16), 0),
MATCH(J$17,'Limit raise'!$1:$1,0))</f>
        <v>0.92666666666666664</v>
      </c>
      <c r="K309" s="18" cm="1">
        <f t="array" ref="K309">INDEX('Limit raise'!$A:$O,
MATCH(1,('Limit raise'!$A:$A=$C309)*('Limit raise'!$D:$D=K$16), 0),
MATCH(K$17,'Limit raise'!$1:$1,0))</f>
        <v>0.87321998689312597</v>
      </c>
      <c r="L309" s="18">
        <f>INDEX('Limit raise'!$A:$O,
MATCH($C309, 'Limit raise'!$A:$A, 0),
MATCH(L$17,'Limit raise'!$1:$1,0))</f>
        <v>3.5219863300281401E-2</v>
      </c>
      <c r="M309" s="18">
        <v>0.15</v>
      </c>
      <c r="N309" s="18"/>
    </row>
    <row r="310" spans="3:14" s="13" customFormat="1" ht="7.2" customHeight="1" x14ac:dyDescent="0.3">
      <c r="C310" s="17">
        <v>292</v>
      </c>
      <c r="D310" s="18" cm="1">
        <f t="array" ref="D310">INDEX('New credit'!$A:$O,
MATCH(1,('New credit'!$A:$A=$C310)*('New credit'!$D:$D=D$16), 0),
MATCH(D$17,'New credit'!$1:$1,0))</f>
        <v>0.70491803278688525</v>
      </c>
      <c r="E310" s="18" cm="1">
        <f t="array" ref="E310">INDEX('New credit'!$A:$O,
MATCH(1,('New credit'!$A:$A=$C310)*('New credit'!$D:$D=E$16), 0),
MATCH(E$17,'New credit'!$1:$1,0))</f>
        <v>0.84555555555555539</v>
      </c>
      <c r="F310" s="18" cm="1">
        <f t="array" ref="F310">INDEX('New credit'!$A:$O,
MATCH(1,('New credit'!$A:$A=$C310)*('New credit'!$D:$D=F$16), 0),
MATCH(F$17,'New credit'!$1:$1,0))</f>
        <v>0.72078252231099282</v>
      </c>
      <c r="G310" s="18">
        <f>INDEX('New credit'!$A:$O,
MATCH($C310, 'New credit'!$A:$A, 0),
MATCH(G$17, 'New credit'!$1:$1, 0))</f>
        <v>1</v>
      </c>
      <c r="H310" s="18">
        <v>0.15</v>
      </c>
      <c r="I310" s="18" cm="1">
        <f t="array" ref="I310">INDEX('Limit raise'!$A:$O,
MATCH(1,('Limit raise'!$A:$A=$C310)*('Limit raise'!$D:$D=I$16), 0),
MATCH(I$17,'Limit raise'!$1:$1,0))</f>
        <v>0.6071428571428571</v>
      </c>
      <c r="J310" s="18" cm="1">
        <f t="array" ref="J310">INDEX('Limit raise'!$A:$O,
MATCH(1,('Limit raise'!$A:$A=$C310)*('Limit raise'!$D:$D=J$16), 0),
MATCH(J$17,'Limit raise'!$1:$1,0))</f>
        <v>0.92666666666666664</v>
      </c>
      <c r="K310" s="18" cm="1">
        <f t="array" ref="K310">INDEX('Limit raise'!$A:$O,
MATCH(1,('Limit raise'!$A:$A=$C310)*('Limit raise'!$D:$D=K$16), 0),
MATCH(K$17,'Limit raise'!$1:$1,0))</f>
        <v>0.87205555160201609</v>
      </c>
      <c r="L310" s="18">
        <f>INDEX('Limit raise'!$A:$O,
MATCH($C310, 'Limit raise'!$A:$A, 0),
MATCH(L$17,'Limit raise'!$1:$1,0))</f>
        <v>3.8631936734404772E-2</v>
      </c>
      <c r="M310" s="18">
        <v>0.15</v>
      </c>
      <c r="N310" s="18"/>
    </row>
    <row r="311" spans="3:14" s="13" customFormat="1" ht="7.2" customHeight="1" x14ac:dyDescent="0.3">
      <c r="C311" s="17">
        <v>293</v>
      </c>
      <c r="D311" s="18" cm="1">
        <f t="array" ref="D311">INDEX('New credit'!$A:$O,
MATCH(1,('New credit'!$A:$A=$C311)*('New credit'!$D:$D=D$16), 0),
MATCH(D$17,'New credit'!$1:$1,0))</f>
        <v>0.74242424242424243</v>
      </c>
      <c r="E311" s="18" cm="1">
        <f t="array" ref="E311">INDEX('New credit'!$A:$O,
MATCH(1,('New credit'!$A:$A=$C311)*('New credit'!$D:$D=E$16), 0),
MATCH(E$17,'New credit'!$1:$1,0))</f>
        <v>0.82323529411764695</v>
      </c>
      <c r="F311" s="18" cm="1">
        <f t="array" ref="F311">INDEX('New credit'!$A:$O,
MATCH(1,('New credit'!$A:$A=$C311)*('New credit'!$D:$D=F$16), 0),
MATCH(F$17,'New credit'!$1:$1,0))</f>
        <v>0.76976458307014517</v>
      </c>
      <c r="G311" s="18">
        <f>INDEX('New credit'!$A:$O,
MATCH($C311, 'New credit'!$A:$A, 0),
MATCH(G$17, 'New credit'!$1:$1, 0))</f>
        <v>8.6325153284138423E-2</v>
      </c>
      <c r="H311" s="18">
        <v>0.15</v>
      </c>
      <c r="I311" s="18" cm="1">
        <f t="array" ref="I311">INDEX('Limit raise'!$A:$O,
MATCH(1,('Limit raise'!$A:$A=$C311)*('Limit raise'!$D:$D=I$16), 0),
MATCH(I$17,'Limit raise'!$1:$1,0))</f>
        <v>0.6071428571428571</v>
      </c>
      <c r="J311" s="18" cm="1">
        <f t="array" ref="J311">INDEX('Limit raise'!$A:$O,
MATCH(1,('Limit raise'!$A:$A=$C311)*('Limit raise'!$D:$D=J$16), 0),
MATCH(J$17,'Limit raise'!$1:$1,0))</f>
        <v>0.92722222222222228</v>
      </c>
      <c r="K311" s="18" cm="1">
        <f t="array" ref="K311">INDEX('Limit raise'!$A:$O,
MATCH(1,('Limit raise'!$A:$A=$C311)*('Limit raise'!$D:$D=K$16), 0),
MATCH(K$17,'Limit raise'!$1:$1,0))</f>
        <v>0.87528236609320853</v>
      </c>
      <c r="L311" s="18">
        <f>INDEX('Limit raise'!$A:$O,
MATCH($C311, 'Limit raise'!$A:$A, 0),
MATCH(L$17,'Limit raise'!$1:$1,0))</f>
        <v>4.1735030744088963E-2</v>
      </c>
      <c r="M311" s="18">
        <v>0.15</v>
      </c>
      <c r="N311" s="18"/>
    </row>
    <row r="312" spans="3:14" s="13" customFormat="1" ht="7.2" customHeight="1" x14ac:dyDescent="0.3">
      <c r="C312" s="17">
        <v>294</v>
      </c>
      <c r="D312" s="18" cm="1">
        <f t="array" ref="D312">INDEX('New credit'!$A:$O,
MATCH(1,('New credit'!$A:$A=$C312)*('New credit'!$D:$D=D$16), 0),
MATCH(D$17,'New credit'!$1:$1,0))</f>
        <v>0.73913043478260865</v>
      </c>
      <c r="E312" s="18" cm="1">
        <f t="array" ref="E312">INDEX('New credit'!$A:$O,
MATCH(1,('New credit'!$A:$A=$C312)*('New credit'!$D:$D=E$16), 0),
MATCH(E$17,'New credit'!$1:$1,0))</f>
        <v>0.85354838709677394</v>
      </c>
      <c r="F312" s="18" cm="1">
        <f t="array" ref="F312">INDEX('New credit'!$A:$O,
MATCH(1,('New credit'!$A:$A=$C312)*('New credit'!$D:$D=F$16), 0),
MATCH(F$17,'New credit'!$1:$1,0))</f>
        <v>0.79431542906513708</v>
      </c>
      <c r="G312" s="18">
        <f>INDEX('New credit'!$A:$O,
MATCH($C312, 'New credit'!$A:$A, 0),
MATCH(G$17, 'New credit'!$1:$1, 0))</f>
        <v>1</v>
      </c>
      <c r="H312" s="18">
        <v>0.15</v>
      </c>
      <c r="I312" s="18" cm="1">
        <f t="array" ref="I312">INDEX('Limit raise'!$A:$O,
MATCH(1,('Limit raise'!$A:$A=$C312)*('Limit raise'!$D:$D=I$16), 0),
MATCH(I$17,'Limit raise'!$1:$1,0))</f>
        <v>0.625</v>
      </c>
      <c r="J312" s="18" cm="1">
        <f t="array" ref="J312">INDEX('Limit raise'!$A:$O,
MATCH(1,('Limit raise'!$A:$A=$C312)*('Limit raise'!$D:$D=J$16), 0),
MATCH(J$17,'Limit raise'!$1:$1,0))</f>
        <v>0.92666666666666664</v>
      </c>
      <c r="K312" s="18" cm="1">
        <f t="array" ref="K312">INDEX('Limit raise'!$A:$O,
MATCH(1,('Limit raise'!$A:$A=$C312)*('Limit raise'!$D:$D=K$16), 0),
MATCH(K$17,'Limit raise'!$1:$1,0))</f>
        <v>0.89151072694526778</v>
      </c>
      <c r="L312" s="18">
        <f>INDEX('Limit raise'!$A:$O,
MATCH($C312, 'Limit raise'!$A:$A, 0),
MATCH(L$17,'Limit raise'!$1:$1,0))</f>
        <v>4.7509123173672181E-2</v>
      </c>
      <c r="M312" s="18">
        <v>0.15</v>
      </c>
      <c r="N312" s="18"/>
    </row>
    <row r="313" spans="3:14" s="13" customFormat="1" ht="7.2" customHeight="1" x14ac:dyDescent="0.3">
      <c r="C313" s="17">
        <v>295</v>
      </c>
      <c r="D313" s="18" cm="1">
        <f t="array" ref="D313">INDEX('New credit'!$A:$O,
MATCH(1,('New credit'!$A:$A=$C313)*('New credit'!$D:$D=D$16), 0),
MATCH(D$17,'New credit'!$1:$1,0))</f>
        <v>0.71232876712328763</v>
      </c>
      <c r="E313" s="18" cm="1">
        <f t="array" ref="E313">INDEX('New credit'!$A:$O,
MATCH(1,('New credit'!$A:$A=$C313)*('New credit'!$D:$D=E$16), 0),
MATCH(E$17,'New credit'!$1:$1,0))</f>
        <v>0.85851851851851824</v>
      </c>
      <c r="F313" s="18" cm="1">
        <f t="array" ref="F313">INDEX('New credit'!$A:$O,
MATCH(1,('New credit'!$A:$A=$C313)*('New credit'!$D:$D=F$16), 0),
MATCH(F$17,'New credit'!$1:$1,0))</f>
        <v>0.79153230267352281</v>
      </c>
      <c r="G313" s="18">
        <f>INDEX('New credit'!$A:$O,
MATCH($C313, 'New credit'!$A:$A, 0),
MATCH(G$17, 'New credit'!$1:$1, 0))</f>
        <v>0.1684966999712624</v>
      </c>
      <c r="H313" s="18">
        <v>0.15</v>
      </c>
      <c r="I313" s="18" cm="1">
        <f t="array" ref="I313">INDEX('Limit raise'!$A:$O,
MATCH(1,('Limit raise'!$A:$A=$C313)*('Limit raise'!$D:$D=I$16), 0),
MATCH(I$17,'Limit raise'!$1:$1,0))</f>
        <v>0.6071428571428571</v>
      </c>
      <c r="J313" s="18" cm="1">
        <f t="array" ref="J313">INDEX('Limit raise'!$A:$O,
MATCH(1,('Limit raise'!$A:$A=$C313)*('Limit raise'!$D:$D=J$16), 0),
MATCH(J$17,'Limit raise'!$1:$1,0))</f>
        <v>0.92722222222222228</v>
      </c>
      <c r="K313" s="18" cm="1">
        <f t="array" ref="K313">INDEX('Limit raise'!$A:$O,
MATCH(1,('Limit raise'!$A:$A=$C313)*('Limit raise'!$D:$D=K$16), 0),
MATCH(K$17,'Limit raise'!$1:$1,0))</f>
        <v>0.87362091107673034</v>
      </c>
      <c r="L313" s="18">
        <f>INDEX('Limit raise'!$A:$O,
MATCH($C313, 'Limit raise'!$A:$A, 0),
MATCH(L$17,'Limit raise'!$1:$1,0))</f>
        <v>4.5789990711005077E-2</v>
      </c>
      <c r="M313" s="18">
        <v>0.15</v>
      </c>
      <c r="N313" s="18"/>
    </row>
    <row r="314" spans="3:14" s="13" customFormat="1" ht="7.2" customHeight="1" x14ac:dyDescent="0.3">
      <c r="C314" s="17">
        <v>296</v>
      </c>
      <c r="D314" s="18" cm="1">
        <f t="array" ref="D314">INDEX('New credit'!$A:$O,
MATCH(1,('New credit'!$A:$A=$C314)*('New credit'!$D:$D=D$16), 0),
MATCH(D$17,'New credit'!$1:$1,0))</f>
        <v>0.65714285714285714</v>
      </c>
      <c r="E314" s="18" cm="1">
        <f t="array" ref="E314">INDEX('New credit'!$A:$O,
MATCH(1,('New credit'!$A:$A=$C314)*('New credit'!$D:$D=E$16), 0),
MATCH(E$17,'New credit'!$1:$1,0))</f>
        <v>0.85479999999999978</v>
      </c>
      <c r="F314" s="18" cm="1">
        <f t="array" ref="F314">INDEX('New credit'!$A:$O,
MATCH(1,('New credit'!$A:$A=$C314)*('New credit'!$D:$D=F$16), 0),
MATCH(F$17,'New credit'!$1:$1,0))</f>
        <v>0.75784644096747611</v>
      </c>
      <c r="G314" s="18">
        <f>INDEX('New credit'!$A:$O,
MATCH($C314, 'New credit'!$A:$A, 0),
MATCH(G$17, 'New credit'!$1:$1, 0))</f>
        <v>9.3011421276505871E-2</v>
      </c>
      <c r="H314" s="18">
        <v>0.15</v>
      </c>
      <c r="I314" s="18" cm="1">
        <f t="array" ref="I314">INDEX('Limit raise'!$A:$O,
MATCH(1,('Limit raise'!$A:$A=$C314)*('Limit raise'!$D:$D=I$16), 0),
MATCH(I$17,'Limit raise'!$1:$1,0))</f>
        <v>0.6071428571428571</v>
      </c>
      <c r="J314" s="18" cm="1">
        <f t="array" ref="J314">INDEX('Limit raise'!$A:$O,
MATCH(1,('Limit raise'!$A:$A=$C314)*('Limit raise'!$D:$D=J$16), 0),
MATCH(J$17,'Limit raise'!$1:$1,0))</f>
        <v>0.92449999999999988</v>
      </c>
      <c r="K314" s="18" cm="1">
        <f t="array" ref="K314">INDEX('Limit raise'!$A:$O,
MATCH(1,('Limit raise'!$A:$A=$C314)*('Limit raise'!$D:$D=K$16), 0),
MATCH(K$17,'Limit raise'!$1:$1,0))</f>
        <v>0.87217515026389025</v>
      </c>
      <c r="L314" s="18">
        <f>INDEX('Limit raise'!$A:$O,
MATCH($C314, 'Limit raise'!$A:$A, 0),
MATCH(L$17,'Limit raise'!$1:$1,0))</f>
        <v>4.8379376475742759E-2</v>
      </c>
      <c r="M314" s="18">
        <v>0.15</v>
      </c>
      <c r="N314" s="18"/>
    </row>
    <row r="315" spans="3:14" s="13" customFormat="1" ht="7.2" customHeight="1" x14ac:dyDescent="0.3">
      <c r="C315" s="17">
        <v>297</v>
      </c>
      <c r="D315" s="18" cm="1">
        <f t="array" ref="D315">INDEX('New credit'!$A:$O,
MATCH(1,('New credit'!$A:$A=$C315)*('New credit'!$D:$D=D$16), 0),
MATCH(D$17,'New credit'!$1:$1,0))</f>
        <v>0.65217391304347827</v>
      </c>
      <c r="E315" s="18" cm="1">
        <f t="array" ref="E315">INDEX('New credit'!$A:$O,
MATCH(1,('New credit'!$A:$A=$C315)*('New credit'!$D:$D=E$16), 0),
MATCH(E$17,'New credit'!$1:$1,0))</f>
        <v>0.86074074074074058</v>
      </c>
      <c r="F315" s="18" cm="1">
        <f t="array" ref="F315">INDEX('New credit'!$A:$O,
MATCH(1,('New credit'!$A:$A=$C315)*('New credit'!$D:$D=F$16), 0),
MATCH(F$17,'New credit'!$1:$1,0))</f>
        <v>0.7853730858121436</v>
      </c>
      <c r="G315" s="18">
        <f>INDEX('New credit'!$A:$O,
MATCH($C315, 'New credit'!$A:$A, 0),
MATCH(G$17, 'New credit'!$1:$1, 0))</f>
        <v>0.1642043577794696</v>
      </c>
      <c r="H315" s="18">
        <v>0.15</v>
      </c>
      <c r="I315" s="18" cm="1">
        <f t="array" ref="I315">INDEX('Limit raise'!$A:$O,
MATCH(1,('Limit raise'!$A:$A=$C315)*('Limit raise'!$D:$D=I$16), 0),
MATCH(I$17,'Limit raise'!$1:$1,0))</f>
        <v>0.63157894736842102</v>
      </c>
      <c r="J315" s="18" cm="1">
        <f t="array" ref="J315">INDEX('Limit raise'!$A:$O,
MATCH(1,('Limit raise'!$A:$A=$C315)*('Limit raise'!$D:$D=J$16), 0),
MATCH(J$17,'Limit raise'!$1:$1,0))</f>
        <v>0.92449999999999988</v>
      </c>
      <c r="K315" s="18" cm="1">
        <f t="array" ref="K315">INDEX('Limit raise'!$A:$O,
MATCH(1,('Limit raise'!$A:$A=$C315)*('Limit raise'!$D:$D=K$16), 0),
MATCH(K$17,'Limit raise'!$1:$1,0))</f>
        <v>0.87890377079935833</v>
      </c>
      <c r="L315" s="18">
        <f>INDEX('Limit raise'!$A:$O,
MATCH($C315, 'Limit raise'!$A:$A, 0),
MATCH(L$17,'Limit raise'!$1:$1,0))</f>
        <v>4.9420545143651143E-2</v>
      </c>
      <c r="M315" s="18">
        <v>0.15</v>
      </c>
      <c r="N315" s="18"/>
    </row>
    <row r="316" spans="3:14" s="13" customFormat="1" ht="7.2" customHeight="1" x14ac:dyDescent="0.3">
      <c r="C316" s="17">
        <v>298</v>
      </c>
      <c r="D316" s="18" cm="1">
        <f t="array" ref="D316">INDEX('New credit'!$A:$O,
MATCH(1,('New credit'!$A:$A=$C316)*('New credit'!$D:$D=D$16), 0),
MATCH(D$17,'New credit'!$1:$1,0))</f>
        <v>0.65151515151515149</v>
      </c>
      <c r="E316" s="18" cm="1">
        <f t="array" ref="E316">INDEX('New credit'!$A:$O,
MATCH(1,('New credit'!$A:$A=$C316)*('New credit'!$D:$D=E$16), 0),
MATCH(E$17,'New credit'!$1:$1,0))</f>
        <v>0.89423076923076894</v>
      </c>
      <c r="F316" s="18" cm="1">
        <f t="array" ref="F316">INDEX('New credit'!$A:$O,
MATCH(1,('New credit'!$A:$A=$C316)*('New credit'!$D:$D=F$16), 0),
MATCH(F$17,'New credit'!$1:$1,0))</f>
        <v>0.79792145371605483</v>
      </c>
      <c r="G316" s="18">
        <f>INDEX('New credit'!$A:$O,
MATCH($C316, 'New credit'!$A:$A, 0),
MATCH(G$17, 'New credit'!$1:$1, 0))</f>
        <v>1</v>
      </c>
      <c r="H316" s="18">
        <v>0.15</v>
      </c>
      <c r="I316" s="18" cm="1">
        <f t="array" ref="I316">INDEX('Limit raise'!$A:$O,
MATCH(1,('Limit raise'!$A:$A=$C316)*('Limit raise'!$D:$D=I$16), 0),
MATCH(I$17,'Limit raise'!$1:$1,0))</f>
        <v>0.6607142857142857</v>
      </c>
      <c r="J316" s="18" cm="1">
        <f t="array" ref="J316">INDEX('Limit raise'!$A:$O,
MATCH(1,('Limit raise'!$A:$A=$C316)*('Limit raise'!$D:$D=J$16), 0),
MATCH(J$17,'Limit raise'!$1:$1,0))</f>
        <v>0.92181818181818154</v>
      </c>
      <c r="K316" s="18" cm="1">
        <f t="array" ref="K316">INDEX('Limit raise'!$A:$O,
MATCH(1,('Limit raise'!$A:$A=$C316)*('Limit raise'!$D:$D=K$16), 0),
MATCH(K$17,'Limit raise'!$1:$1,0))</f>
        <v>0.89409975096355687</v>
      </c>
      <c r="L316" s="18">
        <f>INDEX('Limit raise'!$A:$O,
MATCH($C316, 'Limit raise'!$A:$A, 0),
MATCH(L$17,'Limit raise'!$1:$1,0))</f>
        <v>5.5721838311996397E-2</v>
      </c>
      <c r="M316" s="18">
        <v>0.15</v>
      </c>
      <c r="N316" s="18"/>
    </row>
    <row r="317" spans="3:14" s="13" customFormat="1" ht="7.2" customHeight="1" x14ac:dyDescent="0.3">
      <c r="C317" s="17">
        <v>299</v>
      </c>
      <c r="D317" s="18" cm="1">
        <f t="array" ref="D317">INDEX('New credit'!$A:$O,
MATCH(1,('New credit'!$A:$A=$C317)*('New credit'!$D:$D=D$16), 0),
MATCH(D$17,'New credit'!$1:$1,0))</f>
        <v>0.6901408450704225</v>
      </c>
      <c r="E317" s="18" cm="1">
        <f t="array" ref="E317">INDEX('New credit'!$A:$O,
MATCH(1,('New credit'!$A:$A=$C317)*('New credit'!$D:$D=E$16), 0),
MATCH(E$17,'New credit'!$1:$1,0))</f>
        <v>0.86548387096774149</v>
      </c>
      <c r="F317" s="18" cm="1">
        <f t="array" ref="F317">INDEX('New credit'!$A:$O,
MATCH(1,('New credit'!$A:$A=$C317)*('New credit'!$D:$D=F$16), 0),
MATCH(F$17,'New credit'!$1:$1,0))</f>
        <v>0.78635697028039853</v>
      </c>
      <c r="G317" s="18">
        <f>INDEX('New credit'!$A:$O,
MATCH($C317, 'New credit'!$A:$A, 0),
MATCH(G$17, 'New credit'!$1:$1, 0))</f>
        <v>1</v>
      </c>
      <c r="H317" s="18">
        <v>0.15</v>
      </c>
      <c r="I317" s="18" cm="1">
        <f t="array" ref="I317">INDEX('Limit raise'!$A:$O,
MATCH(1,('Limit raise'!$A:$A=$C317)*('Limit raise'!$D:$D=I$16), 0),
MATCH(I$17,'Limit raise'!$1:$1,0))</f>
        <v>0.6607142857142857</v>
      </c>
      <c r="J317" s="18" cm="1">
        <f t="array" ref="J317">INDEX('Limit raise'!$A:$O,
MATCH(1,('Limit raise'!$A:$A=$C317)*('Limit raise'!$D:$D=J$16), 0),
MATCH(J$17,'Limit raise'!$1:$1,0))</f>
        <v>0.92272727272727262</v>
      </c>
      <c r="K317" s="18" cm="1">
        <f t="array" ref="K317">INDEX('Limit raise'!$A:$O,
MATCH(1,('Limit raise'!$A:$A=$C317)*('Limit raise'!$D:$D=K$16), 0),
MATCH(K$17,'Limit raise'!$1:$1,0))</f>
        <v>0.89690436230949688</v>
      </c>
      <c r="L317" s="18">
        <f>INDEX('Limit raise'!$A:$O,
MATCH($C317, 'Limit raise'!$A:$A, 0),
MATCH(L$17,'Limit raise'!$1:$1,0))</f>
        <v>5.751878791078989E-2</v>
      </c>
      <c r="M317" s="18">
        <v>0.15</v>
      </c>
      <c r="N317" s="18"/>
    </row>
    <row r="318" spans="3:14" s="13" customFormat="1" ht="7.2" customHeight="1" x14ac:dyDescent="0.3">
      <c r="C318" s="17">
        <v>300</v>
      </c>
      <c r="D318" s="18" cm="1">
        <f t="array" ref="D318">INDEX('New credit'!$A:$O,
MATCH(1,('New credit'!$A:$A=$C318)*('New credit'!$D:$D=D$16), 0),
MATCH(D$17,'New credit'!$1:$1,0))</f>
        <v>0.69565217391304346</v>
      </c>
      <c r="E318" s="18" cm="1">
        <f t="array" ref="E318">INDEX('New credit'!$A:$O,
MATCH(1,('New credit'!$A:$A=$C318)*('New credit'!$D:$D=E$16), 0),
MATCH(E$17,'New credit'!$1:$1,0))</f>
        <v>0.85437499999999988</v>
      </c>
      <c r="F318" s="18" cm="1">
        <f t="array" ref="F318">INDEX('New credit'!$A:$O,
MATCH(1,('New credit'!$A:$A=$C318)*('New credit'!$D:$D=F$16), 0),
MATCH(F$17,'New credit'!$1:$1,0))</f>
        <v>0.74561234371928586</v>
      </c>
      <c r="G318" s="18">
        <f>INDEX('New credit'!$A:$O,
MATCH($C318, 'New credit'!$A:$A, 0),
MATCH(G$17, 'New credit'!$1:$1, 0))</f>
        <v>0.13596725121229489</v>
      </c>
      <c r="H318" s="18">
        <v>0.15</v>
      </c>
      <c r="I318" s="18" cm="1">
        <f t="array" ref="I318">INDEX('Limit raise'!$A:$O,
MATCH(1,('Limit raise'!$A:$A=$C318)*('Limit raise'!$D:$D=I$16), 0),
MATCH(I$17,'Limit raise'!$1:$1,0))</f>
        <v>0.6071428571428571</v>
      </c>
      <c r="J318" s="18" cm="1">
        <f t="array" ref="J318">INDEX('Limit raise'!$A:$O,
MATCH(1,('Limit raise'!$A:$A=$C318)*('Limit raise'!$D:$D=J$16), 0),
MATCH(J$17,'Limit raise'!$1:$1,0))</f>
        <v>0.92428571428571416</v>
      </c>
      <c r="K318" s="18" cm="1">
        <f t="array" ref="K318">INDEX('Limit raise'!$A:$O,
MATCH(1,('Limit raise'!$A:$A=$C318)*('Limit raise'!$D:$D=K$16), 0),
MATCH(K$17,'Limit raise'!$1:$1,0))</f>
        <v>0.85803667360941238</v>
      </c>
      <c r="L318" s="18">
        <f>INDEX('Limit raise'!$A:$O,
MATCH($C318, 'Limit raise'!$A:$A, 0),
MATCH(L$17,'Limit raise'!$1:$1,0))</f>
        <v>5.7378260995127058E-2</v>
      </c>
      <c r="M318" s="18">
        <v>0.15</v>
      </c>
      <c r="N318" s="18"/>
    </row>
    <row r="319" spans="3:14" s="13" customFormat="1" ht="7.2" customHeight="1" x14ac:dyDescent="0.3">
      <c r="C319" s="17">
        <v>301</v>
      </c>
      <c r="D319" s="18" cm="1">
        <f t="array" ref="D319">INDEX('New credit'!$A:$O,
MATCH(1,('New credit'!$A:$A=$C319)*('New credit'!$D:$D=D$16), 0),
MATCH(D$17,'New credit'!$1:$1,0))</f>
        <v>0.67692307692307696</v>
      </c>
      <c r="E319" s="18" cm="1">
        <f t="array" ref="E319">INDEX('New credit'!$A:$O,
MATCH(1,('New credit'!$A:$A=$C319)*('New credit'!$D:$D=E$16), 0),
MATCH(E$17,'New credit'!$1:$1,0))</f>
        <v>0.85533333333333306</v>
      </c>
      <c r="F319" s="18" cm="1">
        <f t="array" ref="F319">INDEX('New credit'!$A:$O,
MATCH(1,('New credit'!$A:$A=$C319)*('New credit'!$D:$D=F$16), 0),
MATCH(F$17,'New credit'!$1:$1,0))</f>
        <v>0.75828835796703431</v>
      </c>
      <c r="G319" s="18">
        <f>INDEX('New credit'!$A:$O,
MATCH($C319, 'New credit'!$A:$A, 0),
MATCH(G$17, 'New credit'!$1:$1, 0))</f>
        <v>0.14257593306233721</v>
      </c>
      <c r="H319" s="18">
        <v>0.15</v>
      </c>
      <c r="I319" s="18" cm="1">
        <f t="array" ref="I319">INDEX('Limit raise'!$A:$O,
MATCH(1,('Limit raise'!$A:$A=$C319)*('Limit raise'!$D:$D=I$16), 0),
MATCH(I$17,'Limit raise'!$1:$1,0))</f>
        <v>0.57894736842105265</v>
      </c>
      <c r="J319" s="18" cm="1">
        <f t="array" ref="J319">INDEX('Limit raise'!$A:$O,
MATCH(1,('Limit raise'!$A:$A=$C319)*('Limit raise'!$D:$D=J$16), 0),
MATCH(J$17,'Limit raise'!$1:$1,0))</f>
        <v>0.9228571428571426</v>
      </c>
      <c r="K319" s="18" cm="1">
        <f t="array" ref="K319">INDEX('Limit raise'!$A:$O,
MATCH(1,('Limit raise'!$A:$A=$C319)*('Limit raise'!$D:$D=K$16), 0),
MATCH(K$17,'Limit raise'!$1:$1,0))</f>
        <v>0.86086709459059385</v>
      </c>
      <c r="L319" s="18">
        <f>INDEX('Limit raise'!$A:$O,
MATCH($C319, 'Limit raise'!$A:$A, 0),
MATCH(L$17,'Limit raise'!$1:$1,0))</f>
        <v>6.5060231628651113E-2</v>
      </c>
      <c r="M319" s="18">
        <v>0.15</v>
      </c>
      <c r="N319" s="18"/>
    </row>
    <row r="320" spans="3:14" s="13" customFormat="1" ht="7.2" customHeight="1" x14ac:dyDescent="0.3">
      <c r="C320" s="17">
        <v>302</v>
      </c>
      <c r="D320" s="18" cm="1">
        <f t="array" ref="D320">INDEX('New credit'!$A:$O,
MATCH(1,('New credit'!$A:$A=$C320)*('New credit'!$D:$D=D$16), 0),
MATCH(D$17,'New credit'!$1:$1,0))</f>
        <v>0.71186440677966101</v>
      </c>
      <c r="E320" s="18" cm="1">
        <f t="array" ref="E320">INDEX('New credit'!$A:$O,
MATCH(1,('New credit'!$A:$A=$C320)*('New credit'!$D:$D=E$16), 0),
MATCH(E$17,'New credit'!$1:$1,0))</f>
        <v>0.84966666666666657</v>
      </c>
      <c r="F320" s="18" cm="1">
        <f t="array" ref="F320">INDEX('New credit'!$A:$O,
MATCH(1,('New credit'!$A:$A=$C320)*('New credit'!$D:$D=F$16), 0),
MATCH(F$17,'New credit'!$1:$1,0))</f>
        <v>0.76692218729050932</v>
      </c>
      <c r="G320" s="18">
        <f>INDEX('New credit'!$A:$O,
MATCH($C320, 'New credit'!$A:$A, 0),
MATCH(G$17, 'New credit'!$1:$1, 0))</f>
        <v>0.2393604514748528</v>
      </c>
      <c r="H320" s="18">
        <v>0.15</v>
      </c>
      <c r="I320" s="18" cm="1">
        <f t="array" ref="I320">INDEX('Limit raise'!$A:$O,
MATCH(1,('Limit raise'!$A:$A=$C320)*('Limit raise'!$D:$D=I$16), 0),
MATCH(I$17,'Limit raise'!$1:$1,0))</f>
        <v>0.57894736842105265</v>
      </c>
      <c r="J320" s="18" cm="1">
        <f t="array" ref="J320">INDEX('Limit raise'!$A:$O,
MATCH(1,('Limit raise'!$A:$A=$C320)*('Limit raise'!$D:$D=J$16), 0),
MATCH(J$17,'Limit raise'!$1:$1,0))</f>
        <v>0.92285714285714282</v>
      </c>
      <c r="K320" s="18" cm="1">
        <f t="array" ref="K320">INDEX('Limit raise'!$A:$O,
MATCH(1,('Limit raise'!$A:$A=$C320)*('Limit raise'!$D:$D=K$16), 0),
MATCH(K$17,'Limit raise'!$1:$1,0))</f>
        <v>0.8615106176700682</v>
      </c>
      <c r="L320" s="18">
        <f>INDEX('Limit raise'!$A:$O,
MATCH($C320, 'Limit raise'!$A:$A, 0),
MATCH(L$17,'Limit raise'!$1:$1,0))</f>
        <v>6.5651771229809086E-2</v>
      </c>
      <c r="M320" s="18">
        <v>0.15</v>
      </c>
      <c r="N320" s="18"/>
    </row>
    <row r="321" spans="3:14" s="13" customFormat="1" ht="7.2" customHeight="1" x14ac:dyDescent="0.3">
      <c r="C321" s="17">
        <v>303</v>
      </c>
      <c r="D321" s="18" cm="1">
        <f t="array" ref="D321">INDEX('New credit'!$A:$O,
MATCH(1,('New credit'!$A:$A=$C321)*('New credit'!$D:$D=D$16), 0),
MATCH(D$17,'New credit'!$1:$1,0))</f>
        <v>0.63492063492063489</v>
      </c>
      <c r="E321" s="18" cm="1">
        <f t="array" ref="E321">INDEX('New credit'!$A:$O,
MATCH(1,('New credit'!$A:$A=$C321)*('New credit'!$D:$D=E$16), 0),
MATCH(E$17,'New credit'!$1:$1,0))</f>
        <v>0.8606451612903222</v>
      </c>
      <c r="F321" s="18" cm="1">
        <f t="array" ref="F321">INDEX('New credit'!$A:$O,
MATCH(1,('New credit'!$A:$A=$C321)*('New credit'!$D:$D=F$16), 0),
MATCH(F$17,'New credit'!$1:$1,0))</f>
        <v>0.77769898581702646</v>
      </c>
      <c r="G321" s="18">
        <f>INDEX('New credit'!$A:$O,
MATCH($C321, 'New credit'!$A:$A, 0),
MATCH(G$17, 'New credit'!$1:$1, 0))</f>
        <v>1</v>
      </c>
      <c r="H321" s="18">
        <v>0.15</v>
      </c>
      <c r="I321" s="18" cm="1">
        <f t="array" ref="I321">INDEX('Limit raise'!$A:$O,
MATCH(1,('Limit raise'!$A:$A=$C321)*('Limit raise'!$D:$D=I$16), 0),
MATCH(I$17,'Limit raise'!$1:$1,0))</f>
        <v>0.57894736842105265</v>
      </c>
      <c r="J321" s="18" cm="1">
        <f t="array" ref="J321">INDEX('Limit raise'!$A:$O,
MATCH(1,('Limit raise'!$A:$A=$C321)*('Limit raise'!$D:$D=J$16), 0),
MATCH(J$17,'Limit raise'!$1:$1,0))</f>
        <v>0.92333333333333323</v>
      </c>
      <c r="K321" s="18" cm="1">
        <f t="array" ref="K321">INDEX('Limit raise'!$A:$O,
MATCH(1,('Limit raise'!$A:$A=$C321)*('Limit raise'!$D:$D=K$16), 0),
MATCH(K$17,'Limit raise'!$1:$1,0))</f>
        <v>0.86491780033816956</v>
      </c>
      <c r="L321" s="18">
        <f>INDEX('Limit raise'!$A:$O,
MATCH($C321, 'Limit raise'!$A:$A, 0),
MATCH(L$17,'Limit raise'!$1:$1,0))</f>
        <v>7.1639932901500739E-2</v>
      </c>
      <c r="M321" s="18">
        <v>0.15</v>
      </c>
      <c r="N321" s="18"/>
    </row>
    <row r="322" spans="3:14" s="13" customFormat="1" ht="7.2" customHeight="1" x14ac:dyDescent="0.3">
      <c r="C322" s="17">
        <v>304</v>
      </c>
      <c r="D322" s="18" cm="1">
        <f t="array" ref="D322">INDEX('New credit'!$A:$O,
MATCH(1,('New credit'!$A:$A=$C322)*('New credit'!$D:$D=D$16), 0),
MATCH(D$17,'New credit'!$1:$1,0))</f>
        <v>0.7</v>
      </c>
      <c r="E322" s="18" cm="1">
        <f t="array" ref="E322">INDEX('New credit'!$A:$O,
MATCH(1,('New credit'!$A:$A=$C322)*('New credit'!$D:$D=E$16), 0),
MATCH(E$17,'New credit'!$1:$1,0))</f>
        <v>0.88826086956521721</v>
      </c>
      <c r="F322" s="18" cm="1">
        <f t="array" ref="F322">INDEX('New credit'!$A:$O,
MATCH(1,('New credit'!$A:$A=$C322)*('New credit'!$D:$D=F$16), 0),
MATCH(F$17,'New credit'!$1:$1,0))</f>
        <v>0.75804974465034913</v>
      </c>
      <c r="G322" s="18">
        <f>INDEX('New credit'!$A:$O,
MATCH($C322, 'New credit'!$A:$A, 0),
MATCH(G$17, 'New credit'!$1:$1, 0))</f>
        <v>1</v>
      </c>
      <c r="H322" s="18">
        <v>0.15</v>
      </c>
      <c r="I322" s="18" cm="1">
        <f t="array" ref="I322">INDEX('Limit raise'!$A:$O,
MATCH(1,('Limit raise'!$A:$A=$C322)*('Limit raise'!$D:$D=I$16), 0),
MATCH(I$17,'Limit raise'!$1:$1,0))</f>
        <v>0.59649122807017541</v>
      </c>
      <c r="J322" s="18" cm="1">
        <f t="array" ref="J322">INDEX('Limit raise'!$A:$O,
MATCH(1,('Limit raise'!$A:$A=$C322)*('Limit raise'!$D:$D=J$16), 0),
MATCH(J$17,'Limit raise'!$1:$1,0))</f>
        <v>0.92285714285714282</v>
      </c>
      <c r="K322" s="18" cm="1">
        <f t="array" ref="K322">INDEX('Limit raise'!$A:$O,
MATCH(1,('Limit raise'!$A:$A=$C322)*('Limit raise'!$D:$D=K$16), 0),
MATCH(K$17,'Limit raise'!$1:$1,0))</f>
        <v>0.88424331842076087</v>
      </c>
      <c r="L322" s="18">
        <f>INDEX('Limit raise'!$A:$O,
MATCH($C322, 'Limit raise'!$A:$A, 0),
MATCH(L$17,'Limit raise'!$1:$1,0))</f>
        <v>7.1902460956052683E-2</v>
      </c>
      <c r="M322" s="18">
        <v>0.15</v>
      </c>
      <c r="N322" s="18"/>
    </row>
    <row r="323" spans="3:14" s="13" customFormat="1" ht="7.2" customHeight="1" x14ac:dyDescent="0.3">
      <c r="C323" s="17">
        <v>305</v>
      </c>
      <c r="D323" s="18" cm="1">
        <f t="array" ref="D323">INDEX('New credit'!$A:$O,
MATCH(1,('New credit'!$A:$A=$C323)*('New credit'!$D:$D=D$16), 0),
MATCH(D$17,'New credit'!$1:$1,0))</f>
        <v>0.69354838709677424</v>
      </c>
      <c r="E323" s="18" cm="1">
        <f t="array" ref="E323">INDEX('New credit'!$A:$O,
MATCH(1,('New credit'!$A:$A=$C323)*('New credit'!$D:$D=E$16), 0),
MATCH(E$17,'New credit'!$1:$1,0))</f>
        <v>0.8603846153846153</v>
      </c>
      <c r="F323" s="18" cm="1">
        <f t="array" ref="F323">INDEX('New credit'!$A:$O,
MATCH(1,('New credit'!$A:$A=$C323)*('New credit'!$D:$D=F$16), 0),
MATCH(F$17,'New credit'!$1:$1,0))</f>
        <v>0.75235107683066138</v>
      </c>
      <c r="G323" s="18">
        <f>INDEX('New credit'!$A:$O,
MATCH($C323, 'New credit'!$A:$A, 0),
MATCH(G$17, 'New credit'!$1:$1, 0))</f>
        <v>0.14520682781370431</v>
      </c>
      <c r="H323" s="18">
        <v>0.15</v>
      </c>
      <c r="I323" s="18" cm="1">
        <f t="array" ref="I323">INDEX('Limit raise'!$A:$O,
MATCH(1,('Limit raise'!$A:$A=$C323)*('Limit raise'!$D:$D=I$16), 0),
MATCH(I$17,'Limit raise'!$1:$1,0))</f>
        <v>0.59649122807017541</v>
      </c>
      <c r="J323" s="18" cm="1">
        <f t="array" ref="J323">INDEX('Limit raise'!$A:$O,
MATCH(1,('Limit raise'!$A:$A=$C323)*('Limit raise'!$D:$D=J$16), 0),
MATCH(J$17,'Limit raise'!$1:$1,0))</f>
        <v>0.87999999999999989</v>
      </c>
      <c r="K323" s="18" cm="1">
        <f t="array" ref="K323">INDEX('Limit raise'!$A:$O,
MATCH(1,('Limit raise'!$A:$A=$C323)*('Limit raise'!$D:$D=K$16), 0),
MATCH(K$17,'Limit raise'!$1:$1,0))</f>
        <v>0.88288026395562225</v>
      </c>
      <c r="L323" s="18">
        <f>INDEX('Limit raise'!$A:$O,
MATCH($C323, 'Limit raise'!$A:$A, 0),
MATCH(L$17,'Limit raise'!$1:$1,0))</f>
        <v>7.910416032287261E-2</v>
      </c>
      <c r="M323" s="18">
        <v>0.15</v>
      </c>
      <c r="N323" s="18"/>
    </row>
    <row r="324" spans="3:14" s="13" customFormat="1" ht="7.2" customHeight="1" x14ac:dyDescent="0.3">
      <c r="C324" s="17">
        <v>306</v>
      </c>
      <c r="D324" s="18" cm="1">
        <f t="array" ref="D324">INDEX('New credit'!$A:$O,
MATCH(1,('New credit'!$A:$A=$C324)*('New credit'!$D:$D=D$16), 0),
MATCH(D$17,'New credit'!$1:$1,0))</f>
        <v>0.70769230769230773</v>
      </c>
      <c r="E324" s="18" cm="1">
        <f t="array" ref="E324">INDEX('New credit'!$A:$O,
MATCH(1,('New credit'!$A:$A=$C324)*('New credit'!$D:$D=E$16), 0),
MATCH(E$17,'New credit'!$1:$1,0))</f>
        <v>0.86185185185185176</v>
      </c>
      <c r="F324" s="18" cm="1">
        <f t="array" ref="F324">INDEX('New credit'!$A:$O,
MATCH(1,('New credit'!$A:$A=$C324)*('New credit'!$D:$D=F$16), 0),
MATCH(F$17,'New credit'!$1:$1,0))</f>
        <v>0.81368331973177488</v>
      </c>
      <c r="G324" s="18">
        <f>INDEX('New credit'!$A:$O,
MATCH($C324, 'New credit'!$A:$A, 0),
MATCH(G$17, 'New credit'!$1:$1, 0))</f>
        <v>0.2040543471557166</v>
      </c>
      <c r="H324" s="18">
        <v>0.15</v>
      </c>
      <c r="I324" s="18" cm="1">
        <f t="array" ref="I324">INDEX('Limit raise'!$A:$O,
MATCH(1,('Limit raise'!$A:$A=$C324)*('Limit raise'!$D:$D=I$16), 0),
MATCH(I$17,'Limit raise'!$1:$1,0))</f>
        <v>0.59649122807017541</v>
      </c>
      <c r="J324" s="18" cm="1">
        <f t="array" ref="J324">INDEX('Limit raise'!$A:$O,
MATCH(1,('Limit raise'!$A:$A=$C324)*('Limit raise'!$D:$D=J$16), 0),
MATCH(J$17,'Limit raise'!$1:$1,0))</f>
        <v>0.87999999999999989</v>
      </c>
      <c r="K324" s="18" cm="1">
        <f t="array" ref="K324">INDEX('Limit raise'!$A:$O,
MATCH(1,('Limit raise'!$A:$A=$C324)*('Limit raise'!$D:$D=K$16), 0),
MATCH(K$17,'Limit raise'!$1:$1,0))</f>
        <v>0.88446174583435766</v>
      </c>
      <c r="L324" s="18">
        <f>INDEX('Limit raise'!$A:$O,
MATCH($C324, 'Limit raise'!$A:$A, 0),
MATCH(L$17,'Limit raise'!$1:$1,0))</f>
        <v>8.2177834137644679E-2</v>
      </c>
      <c r="M324" s="18">
        <v>0.15</v>
      </c>
      <c r="N324" s="18"/>
    </row>
    <row r="325" spans="3:14" s="13" customFormat="1" ht="7.2" customHeight="1" x14ac:dyDescent="0.3">
      <c r="C325" s="17">
        <v>307</v>
      </c>
      <c r="D325" s="18" cm="1">
        <f t="array" ref="D325">INDEX('New credit'!$A:$O,
MATCH(1,('New credit'!$A:$A=$C325)*('New credit'!$D:$D=D$16), 0),
MATCH(D$17,'New credit'!$1:$1,0))</f>
        <v>0.734375</v>
      </c>
      <c r="E325" s="18" cm="1">
        <f t="array" ref="E325">INDEX('New credit'!$A:$O,
MATCH(1,('New credit'!$A:$A=$C325)*('New credit'!$D:$D=E$16), 0),
MATCH(E$17,'New credit'!$1:$1,0))</f>
        <v>0.86272727272727245</v>
      </c>
      <c r="F325" s="18" cm="1">
        <f t="array" ref="F325">INDEX('New credit'!$A:$O,
MATCH(1,('New credit'!$A:$A=$C325)*('New credit'!$D:$D=F$16), 0),
MATCH(F$17,'New credit'!$1:$1,0))</f>
        <v>0.83156310985653492</v>
      </c>
      <c r="G325" s="18">
        <f>INDEX('New credit'!$A:$O,
MATCH($C325, 'New credit'!$A:$A, 0),
MATCH(G$17, 'New credit'!$1:$1, 0))</f>
        <v>1</v>
      </c>
      <c r="H325" s="18">
        <v>0.15</v>
      </c>
      <c r="I325" s="18" cm="1">
        <f t="array" ref="I325">INDEX('Limit raise'!$A:$O,
MATCH(1,('Limit raise'!$A:$A=$C325)*('Limit raise'!$D:$D=I$16), 0),
MATCH(I$17,'Limit raise'!$1:$1,0))</f>
        <v>0.6071428571428571</v>
      </c>
      <c r="J325" s="18" cm="1">
        <f t="array" ref="J325">INDEX('Limit raise'!$A:$O,
MATCH(1,('Limit raise'!$A:$A=$C325)*('Limit raise'!$D:$D=J$16), 0),
MATCH(J$17,'Limit raise'!$1:$1,0))</f>
        <v>0.88181818181818172</v>
      </c>
      <c r="K325" s="18" cm="1">
        <f t="array" ref="K325">INDEX('Limit raise'!$A:$O,
MATCH(1,('Limit raise'!$A:$A=$C325)*('Limit raise'!$D:$D=K$16), 0),
MATCH(K$17,'Limit raise'!$1:$1,0))</f>
        <v>0.88460617763183846</v>
      </c>
      <c r="L325" s="18">
        <f>INDEX('Limit raise'!$A:$O,
MATCH($C325, 'Limit raise'!$A:$A, 0),
MATCH(L$17,'Limit raise'!$1:$1,0))</f>
        <v>8.4466420618536125E-2</v>
      </c>
      <c r="M325" s="18">
        <v>0.15</v>
      </c>
      <c r="N325" s="18"/>
    </row>
    <row r="326" spans="3:14" s="13" customFormat="1" ht="7.2" customHeight="1" x14ac:dyDescent="0.3">
      <c r="C326" s="17">
        <v>308</v>
      </c>
      <c r="D326" s="18" cm="1">
        <f t="array" ref="D326">INDEX('New credit'!$A:$O,
MATCH(1,('New credit'!$A:$A=$C326)*('New credit'!$D:$D=D$16), 0),
MATCH(D$17,'New credit'!$1:$1,0))</f>
        <v>0.74626865671641796</v>
      </c>
      <c r="E326" s="18" cm="1">
        <f t="array" ref="E326">INDEX('New credit'!$A:$O,
MATCH(1,('New credit'!$A:$A=$C326)*('New credit'!$D:$D=E$16), 0),
MATCH(E$17,'New credit'!$1:$1,0))</f>
        <v>0.8596969696969694</v>
      </c>
      <c r="F326" s="18" cm="1">
        <f t="array" ref="F326">INDEX('New credit'!$A:$O,
MATCH(1,('New credit'!$A:$A=$C326)*('New credit'!$D:$D=F$16), 0),
MATCH(F$17,'New credit'!$1:$1,0))</f>
        <v>0.84512931504182542</v>
      </c>
      <c r="G326" s="18">
        <f>INDEX('New credit'!$A:$O,
MATCH($C326, 'New credit'!$A:$A, 0),
MATCH(G$17, 'New credit'!$1:$1, 0))</f>
        <v>1</v>
      </c>
      <c r="H326" s="18">
        <v>0.15</v>
      </c>
      <c r="I326" s="18" cm="1">
        <f t="array" ref="I326">INDEX('Limit raise'!$A:$O,
MATCH(1,('Limit raise'!$A:$A=$C326)*('Limit raise'!$D:$D=I$16), 0),
MATCH(I$17,'Limit raise'!$1:$1,0))</f>
        <v>0.59649122807017541</v>
      </c>
      <c r="J326" s="18" cm="1">
        <f t="array" ref="J326">INDEX('Limit raise'!$A:$O,
MATCH(1,('Limit raise'!$A:$A=$C326)*('Limit raise'!$D:$D=J$16), 0),
MATCH(J$17,'Limit raise'!$1:$1,0))</f>
        <v>0.88318181818181818</v>
      </c>
      <c r="K326" s="18" cm="1">
        <f t="array" ref="K326">INDEX('Limit raise'!$A:$O,
MATCH(1,('Limit raise'!$A:$A=$C326)*('Limit raise'!$D:$D=K$16), 0),
MATCH(K$17,'Limit raise'!$1:$1,0))</f>
        <v>0.80049770761715144</v>
      </c>
      <c r="L326" s="18">
        <f>INDEX('Limit raise'!$A:$O,
MATCH($C326, 'Limit raise'!$A:$A, 0),
MATCH(L$17,'Limit raise'!$1:$1,0))</f>
        <v>8.5983650676934406E-2</v>
      </c>
      <c r="M326" s="18">
        <v>0.15</v>
      </c>
      <c r="N326" s="18"/>
    </row>
    <row r="327" spans="3:14" s="13" customFormat="1" ht="7.2" customHeight="1" x14ac:dyDescent="0.3">
      <c r="C327" s="17">
        <v>309</v>
      </c>
      <c r="D327" s="18" cm="1">
        <f t="array" ref="D327">INDEX('New credit'!$A:$O,
MATCH(1,('New credit'!$A:$A=$C327)*('New credit'!$D:$D=D$16), 0),
MATCH(D$17,'New credit'!$1:$1,0))</f>
        <v>0.7846153846153846</v>
      </c>
      <c r="E327" s="18" cm="1">
        <f t="array" ref="E327">INDEX('New credit'!$A:$O,
MATCH(1,('New credit'!$A:$A=$C327)*('New credit'!$D:$D=E$16), 0),
MATCH(E$17,'New credit'!$1:$1,0))</f>
        <v>0.8581249999999998</v>
      </c>
      <c r="F327" s="18" cm="1">
        <f t="array" ref="F327">INDEX('New credit'!$A:$O,
MATCH(1,('New credit'!$A:$A=$C327)*('New credit'!$D:$D=F$16), 0),
MATCH(F$17,'New credit'!$1:$1,0))</f>
        <v>0.83176192363385937</v>
      </c>
      <c r="G327" s="18">
        <f>INDEX('New credit'!$A:$O,
MATCH($C327, 'New credit'!$A:$A, 0),
MATCH(G$17, 'New credit'!$1:$1, 0))</f>
        <v>8.6601513360103438E-2</v>
      </c>
      <c r="H327" s="18">
        <v>0.15</v>
      </c>
      <c r="I327" s="18" cm="1">
        <f t="array" ref="I327">INDEX('Limit raise'!$A:$O,
MATCH(1,('Limit raise'!$A:$A=$C327)*('Limit raise'!$D:$D=I$16), 0),
MATCH(I$17,'Limit raise'!$1:$1,0))</f>
        <v>0.59649122807017541</v>
      </c>
      <c r="J327" s="18" cm="1">
        <f t="array" ref="J327">INDEX('Limit raise'!$A:$O,
MATCH(1,('Limit raise'!$A:$A=$C327)*('Limit raise'!$D:$D=J$16), 0),
MATCH(J$17,'Limit raise'!$1:$1,0))</f>
        <v>0.88318181818181796</v>
      </c>
      <c r="K327" s="18" cm="1">
        <f t="array" ref="K327">INDEX('Limit raise'!$A:$O,
MATCH(1,('Limit raise'!$A:$A=$C327)*('Limit raise'!$D:$D=K$16), 0),
MATCH(K$17,'Limit raise'!$1:$1,0))</f>
        <v>0.79814672856614077</v>
      </c>
      <c r="L327" s="18">
        <f>INDEX('Limit raise'!$A:$O,
MATCH($C327, 'Limit raise'!$A:$A, 0),
MATCH(L$17,'Limit raise'!$1:$1,0))</f>
        <v>8.5184653316507264E-2</v>
      </c>
      <c r="M327" s="18">
        <v>0.15</v>
      </c>
      <c r="N327" s="18"/>
    </row>
    <row r="328" spans="3:14" s="13" customFormat="1" ht="7.2" customHeight="1" x14ac:dyDescent="0.3">
      <c r="C328" s="17">
        <v>310</v>
      </c>
      <c r="D328" s="18" cm="1">
        <f t="array" ref="D328">INDEX('New credit'!$A:$O,
MATCH(1,('New credit'!$A:$A=$C328)*('New credit'!$D:$D=D$16), 0),
MATCH(D$17,'New credit'!$1:$1,0))</f>
        <v>0.73333333333333328</v>
      </c>
      <c r="E328" s="18" cm="1">
        <f t="array" ref="E328">INDEX('New credit'!$A:$O,
MATCH(1,('New credit'!$A:$A=$C328)*('New credit'!$D:$D=E$16), 0),
MATCH(E$17,'New credit'!$1:$1,0))</f>
        <v>0.85099999999999953</v>
      </c>
      <c r="F328" s="18" cm="1">
        <f t="array" ref="F328">INDEX('New credit'!$A:$O,
MATCH(1,('New credit'!$A:$A=$C328)*('New credit'!$D:$D=F$16), 0),
MATCH(F$17,'New credit'!$1:$1,0))</f>
        <v>0.81877210244954635</v>
      </c>
      <c r="G328" s="18">
        <f>INDEX('New credit'!$A:$O,
MATCH($C328, 'New credit'!$A:$A, 0),
MATCH(G$17, 'New credit'!$1:$1, 0))</f>
        <v>1</v>
      </c>
      <c r="H328" s="18">
        <v>0.15</v>
      </c>
      <c r="I328" s="18" cm="1">
        <f t="array" ref="I328">INDEX('Limit raise'!$A:$O,
MATCH(1,('Limit raise'!$A:$A=$C328)*('Limit raise'!$D:$D=I$16), 0),
MATCH(I$17,'Limit raise'!$1:$1,0))</f>
        <v>0.61403508771929827</v>
      </c>
      <c r="J328" s="18" cm="1">
        <f t="array" ref="J328">INDEX('Limit raise'!$A:$O,
MATCH(1,('Limit raise'!$A:$A=$C328)*('Limit raise'!$D:$D=J$16), 0),
MATCH(J$17,'Limit raise'!$1:$1,0))</f>
        <v>0.88272727272727269</v>
      </c>
      <c r="K328" s="18" cm="1">
        <f t="array" ref="K328">INDEX('Limit raise'!$A:$O,
MATCH(1,('Limit raise'!$A:$A=$C328)*('Limit raise'!$D:$D=K$16), 0),
MATCH(K$17,'Limit raise'!$1:$1,0))</f>
        <v>0.79759521815349366</v>
      </c>
      <c r="L328" s="18">
        <f>INDEX('Limit raise'!$A:$O,
MATCH($C328, 'Limit raise'!$A:$A, 0),
MATCH(L$17,'Limit raise'!$1:$1,0))</f>
        <v>8.5227089927248798E-2</v>
      </c>
      <c r="M328" s="18">
        <v>0.15</v>
      </c>
      <c r="N328" s="18"/>
    </row>
    <row r="329" spans="3:14" s="13" customFormat="1" ht="7.2" customHeight="1" x14ac:dyDescent="0.3">
      <c r="C329" s="17">
        <v>311</v>
      </c>
      <c r="D329" s="18" cm="1">
        <f t="array" ref="D329">INDEX('New credit'!$A:$O,
MATCH(1,('New credit'!$A:$A=$C329)*('New credit'!$D:$D=D$16), 0),
MATCH(D$17,'New credit'!$1:$1,0))</f>
        <v>0.67241379310344829</v>
      </c>
      <c r="E329" s="18" cm="1">
        <f t="array" ref="E329">INDEX('New credit'!$A:$O,
MATCH(1,('New credit'!$A:$A=$C329)*('New credit'!$D:$D=E$16), 0),
MATCH(E$17,'New credit'!$1:$1,0))</f>
        <v>0.85299999999999976</v>
      </c>
      <c r="F329" s="18" cm="1">
        <f t="array" ref="F329">INDEX('New credit'!$A:$O,
MATCH(1,('New credit'!$A:$A=$C329)*('New credit'!$D:$D=F$16), 0),
MATCH(F$17,'New credit'!$1:$1,0))</f>
        <v>0.81624858098043018</v>
      </c>
      <c r="G329" s="18">
        <f>INDEX('New credit'!$A:$O,
MATCH($C329, 'New credit'!$A:$A, 0),
MATCH(G$17, 'New credit'!$1:$1, 0))</f>
        <v>8.2345268924873413E-2</v>
      </c>
      <c r="H329" s="18">
        <v>0.15</v>
      </c>
      <c r="I329" s="18" cm="1">
        <f t="array" ref="I329">INDEX('Limit raise'!$A:$O,
MATCH(1,('Limit raise'!$A:$A=$C329)*('Limit raise'!$D:$D=I$16), 0),
MATCH(I$17,'Limit raise'!$1:$1,0))</f>
        <v>0.61403508771929827</v>
      </c>
      <c r="J329" s="18" cm="1">
        <f t="array" ref="J329">INDEX('Limit raise'!$A:$O,
MATCH(1,('Limit raise'!$A:$A=$C329)*('Limit raise'!$D:$D=J$16), 0),
MATCH(J$17,'Limit raise'!$1:$1,0))</f>
        <v>0.88363636363636355</v>
      </c>
      <c r="K329" s="18" cm="1">
        <f t="array" ref="K329">INDEX('Limit raise'!$A:$O,
MATCH(1,('Limit raise'!$A:$A=$C329)*('Limit raise'!$D:$D=K$16), 0),
MATCH(K$17,'Limit raise'!$1:$1,0))</f>
        <v>0.80000496589100389</v>
      </c>
      <c r="L329" s="18">
        <f>INDEX('Limit raise'!$A:$O,
MATCH($C329, 'Limit raise'!$A:$A, 0),
MATCH(L$17,'Limit raise'!$1:$1,0))</f>
        <v>8.7306293094315826E-2</v>
      </c>
      <c r="M329" s="18">
        <v>0.15</v>
      </c>
      <c r="N329" s="18"/>
    </row>
    <row r="330" spans="3:14" s="13" customFormat="1" ht="7.2" customHeight="1" x14ac:dyDescent="0.3">
      <c r="C330" s="17">
        <v>312</v>
      </c>
      <c r="D330" s="18" cm="1">
        <f t="array" ref="D330">INDEX('New credit'!$A:$O,
MATCH(1,('New credit'!$A:$A=$C330)*('New credit'!$D:$D=D$16), 0),
MATCH(D$17,'New credit'!$1:$1,0))</f>
        <v>0.7</v>
      </c>
      <c r="E330" s="18" cm="1">
        <f t="array" ref="E330">INDEX('New credit'!$A:$O,
MATCH(1,('New credit'!$A:$A=$C330)*('New credit'!$D:$D=E$16), 0),
MATCH(E$17,'New credit'!$1:$1,0))</f>
        <v>0.88416666666666666</v>
      </c>
      <c r="F330" s="18" cm="1">
        <f t="array" ref="F330">INDEX('New credit'!$A:$O,
MATCH(1,('New credit'!$A:$A=$C330)*('New credit'!$D:$D=F$16), 0),
MATCH(F$17,'New credit'!$1:$1,0))</f>
        <v>0.83331482213119068</v>
      </c>
      <c r="G330" s="18">
        <f>INDEX('New credit'!$A:$O,
MATCH($C330, 'New credit'!$A:$A, 0),
MATCH(G$17, 'New credit'!$1:$1, 0))</f>
        <v>1</v>
      </c>
      <c r="H330" s="18">
        <v>0.15</v>
      </c>
      <c r="I330" s="18" cm="1">
        <f t="array" ref="I330">INDEX('Limit raise'!$A:$O,
MATCH(1,('Limit raise'!$A:$A=$C330)*('Limit raise'!$D:$D=I$16), 0),
MATCH(I$17,'Limit raise'!$1:$1,0))</f>
        <v>0.60344827586206895</v>
      </c>
      <c r="J330" s="18" cm="1">
        <f t="array" ref="J330">INDEX('Limit raise'!$A:$O,
MATCH(1,('Limit raise'!$A:$A=$C330)*('Limit raise'!$D:$D=J$16), 0),
MATCH(J$17,'Limit raise'!$1:$1,0))</f>
        <v>0.88363636363636366</v>
      </c>
      <c r="K330" s="18" cm="1">
        <f t="array" ref="K330">INDEX('Limit raise'!$A:$O,
MATCH(1,('Limit raise'!$A:$A=$C330)*('Limit raise'!$D:$D=K$16), 0),
MATCH(K$17,'Limit raise'!$1:$1,0))</f>
        <v>0.79813252991548767</v>
      </c>
      <c r="L330" s="18">
        <f>INDEX('Limit raise'!$A:$O,
MATCH($C330, 'Limit raise'!$A:$A, 0),
MATCH(L$17,'Limit raise'!$1:$1,0))</f>
        <v>8.7128121960622501E-2</v>
      </c>
      <c r="M330" s="18">
        <v>0.15</v>
      </c>
      <c r="N330" s="18"/>
    </row>
    <row r="331" spans="3:14" s="13" customFormat="1" ht="7.2" customHeight="1" x14ac:dyDescent="0.3">
      <c r="C331" s="17">
        <v>313</v>
      </c>
      <c r="D331" s="18" cm="1">
        <f t="array" ref="D331">INDEX('New credit'!$A:$O,
MATCH(1,('New credit'!$A:$A=$C331)*('New credit'!$D:$D=D$16), 0),
MATCH(D$17,'New credit'!$1:$1,0))</f>
        <v>0.65573770491803274</v>
      </c>
      <c r="E331" s="18" cm="1">
        <f t="array" ref="E331">INDEX('New credit'!$A:$O,
MATCH(1,('New credit'!$A:$A=$C331)*('New credit'!$D:$D=E$16), 0),
MATCH(E$17,'New credit'!$1:$1,0))</f>
        <v>0.85279999999999978</v>
      </c>
      <c r="F331" s="18" cm="1">
        <f t="array" ref="F331">INDEX('New credit'!$A:$O,
MATCH(1,('New credit'!$A:$A=$C331)*('New credit'!$D:$D=F$16), 0),
MATCH(F$17,'New credit'!$1:$1,0))</f>
        <v>0.78224289284588022</v>
      </c>
      <c r="G331" s="18">
        <f>INDEX('New credit'!$A:$O,
MATCH($C331, 'New credit'!$A:$A, 0),
MATCH(G$17, 'New credit'!$1:$1, 0))</f>
        <v>9.3495810206658786E-2</v>
      </c>
      <c r="H331" s="18">
        <v>0.15</v>
      </c>
      <c r="I331" s="18" cm="1">
        <f t="array" ref="I331">INDEX('Limit raise'!$A:$O,
MATCH(1,('Limit raise'!$A:$A=$C331)*('Limit raise'!$D:$D=I$16), 0),
MATCH(I$17,'Limit raise'!$1:$1,0))</f>
        <v>0.61016949152542377</v>
      </c>
      <c r="J331" s="18" cm="1">
        <f t="array" ref="J331">INDEX('Limit raise'!$A:$O,
MATCH(1,('Limit raise'!$A:$A=$C331)*('Limit raise'!$D:$D=J$16), 0),
MATCH(J$17,'Limit raise'!$1:$1,0))</f>
        <v>0.88318181818181818</v>
      </c>
      <c r="K331" s="18" cm="1">
        <f t="array" ref="K331">INDEX('Limit raise'!$A:$O,
MATCH(1,('Limit raise'!$A:$A=$C331)*('Limit raise'!$D:$D=K$16), 0),
MATCH(K$17,'Limit raise'!$1:$1,0))</f>
        <v>0.79701065852880748</v>
      </c>
      <c r="L331" s="18">
        <f>INDEX('Limit raise'!$A:$O,
MATCH($C331, 'Limit raise'!$A:$A, 0),
MATCH(L$17,'Limit raise'!$1:$1,0))</f>
        <v>8.663558180408204E-2</v>
      </c>
      <c r="M331" s="18">
        <v>0.15</v>
      </c>
      <c r="N331" s="18"/>
    </row>
    <row r="332" spans="3:14" s="13" customFormat="1" ht="7.2" customHeight="1" x14ac:dyDescent="0.3">
      <c r="C332" s="17">
        <v>314</v>
      </c>
      <c r="D332" s="18" cm="1">
        <f t="array" ref="D332">INDEX('New credit'!$A:$O,
MATCH(1,('New credit'!$A:$A=$C332)*('New credit'!$D:$D=D$16), 0),
MATCH(D$17,'New credit'!$1:$1,0))</f>
        <v>0.68253968253968256</v>
      </c>
      <c r="E332" s="18" cm="1">
        <f t="array" ref="E332">INDEX('New credit'!$A:$O,
MATCH(1,('New credit'!$A:$A=$C332)*('New credit'!$D:$D=E$16), 0),
MATCH(E$17,'New credit'!$1:$1,0))</f>
        <v>0.85423076923076902</v>
      </c>
      <c r="F332" s="18" cm="1">
        <f t="array" ref="F332">INDEX('New credit'!$A:$O,
MATCH(1,('New credit'!$A:$A=$C332)*('New credit'!$D:$D=F$16), 0),
MATCH(F$17,'New credit'!$1:$1,0))</f>
        <v>0.79771462477387711</v>
      </c>
      <c r="G332" s="18">
        <f>INDEX('New credit'!$A:$O,
MATCH($C332, 'New credit'!$A:$A, 0),
MATCH(G$17, 'New credit'!$1:$1, 0))</f>
        <v>1</v>
      </c>
      <c r="H332" s="18">
        <v>0.15</v>
      </c>
      <c r="I332" s="18" cm="1">
        <f t="array" ref="I332">INDEX('Limit raise'!$A:$O,
MATCH(1,('Limit raise'!$A:$A=$C332)*('Limit raise'!$D:$D=I$16), 0),
MATCH(I$17,'Limit raise'!$1:$1,0))</f>
        <v>0.60344827586206895</v>
      </c>
      <c r="J332" s="18" cm="1">
        <f t="array" ref="J332">INDEX('Limit raise'!$A:$O,
MATCH(1,('Limit raise'!$A:$A=$C332)*('Limit raise'!$D:$D=J$16), 0),
MATCH(J$17,'Limit raise'!$1:$1,0))</f>
        <v>0.88363636363636355</v>
      </c>
      <c r="K332" s="18" cm="1">
        <f t="array" ref="K332">INDEX('Limit raise'!$A:$O,
MATCH(1,('Limit raise'!$A:$A=$C332)*('Limit raise'!$D:$D=K$16), 0),
MATCH(K$17,'Limit raise'!$1:$1,0))</f>
        <v>0.7969781600695901</v>
      </c>
      <c r="L332" s="18">
        <f>INDEX('Limit raise'!$A:$O,
MATCH($C332, 'Limit raise'!$A:$A, 0),
MATCH(L$17,'Limit raise'!$1:$1,0))</f>
        <v>8.9844582415424964E-2</v>
      </c>
      <c r="M332" s="18">
        <v>0.15</v>
      </c>
      <c r="N332" s="18"/>
    </row>
    <row r="333" spans="3:14" s="13" customFormat="1" ht="7.2" customHeight="1" x14ac:dyDescent="0.3">
      <c r="C333" s="17">
        <v>315</v>
      </c>
      <c r="D333" s="18" cm="1">
        <f t="array" ref="D333">INDEX('New credit'!$A:$O,
MATCH(1,('New credit'!$A:$A=$C333)*('New credit'!$D:$D=D$16), 0),
MATCH(D$17,'New credit'!$1:$1,0))</f>
        <v>0.70149253731343286</v>
      </c>
      <c r="E333" s="18" cm="1">
        <f t="array" ref="E333">INDEX('New credit'!$A:$O,
MATCH(1,('New credit'!$A:$A=$C333)*('New credit'!$D:$D=E$16), 0),
MATCH(E$17,'New credit'!$1:$1,0))</f>
        <v>0.85928571428571399</v>
      </c>
      <c r="F333" s="18" cm="1">
        <f t="array" ref="F333">INDEX('New credit'!$A:$O,
MATCH(1,('New credit'!$A:$A=$C333)*('New credit'!$D:$D=F$16), 0),
MATCH(F$17,'New credit'!$1:$1,0))</f>
        <v>0.72219540155254736</v>
      </c>
      <c r="G333" s="18">
        <f>INDEX('New credit'!$A:$O,
MATCH($C333, 'New credit'!$A:$A, 0),
MATCH(G$17, 'New credit'!$1:$1, 0))</f>
        <v>8.5289610691416121E-2</v>
      </c>
      <c r="H333" s="18">
        <v>0.15</v>
      </c>
      <c r="I333" s="18" cm="1">
        <f t="array" ref="I333">INDEX('Limit raise'!$A:$O,
MATCH(1,('Limit raise'!$A:$A=$C333)*('Limit raise'!$D:$D=I$16), 0),
MATCH(I$17,'Limit raise'!$1:$1,0))</f>
        <v>0.64912280701754388</v>
      </c>
      <c r="J333" s="18" cm="1">
        <f t="array" ref="J333">INDEX('Limit raise'!$A:$O,
MATCH(1,('Limit raise'!$A:$A=$C333)*('Limit raise'!$D:$D=J$16), 0),
MATCH(J$17,'Limit raise'!$1:$1,0))</f>
        <v>0.88272727272727269</v>
      </c>
      <c r="K333" s="18" cm="1">
        <f t="array" ref="K333">INDEX('Limit raise'!$A:$O,
MATCH(1,('Limit raise'!$A:$A=$C333)*('Limit raise'!$D:$D=K$16), 0),
MATCH(K$17,'Limit raise'!$1:$1,0))</f>
        <v>0.7991236108829618</v>
      </c>
      <c r="L333" s="18">
        <f>INDEX('Limit raise'!$A:$O,
MATCH($C333, 'Limit raise'!$A:$A, 0),
MATCH(L$17,'Limit raise'!$1:$1,0))</f>
        <v>9.1174252617537241E-2</v>
      </c>
      <c r="M333" s="18">
        <v>0.15</v>
      </c>
      <c r="N333" s="18"/>
    </row>
    <row r="334" spans="3:14" s="13" customFormat="1" ht="7.2" customHeight="1" x14ac:dyDescent="0.3">
      <c r="C334" s="17">
        <v>316</v>
      </c>
      <c r="D334" s="18" cm="1">
        <f t="array" ref="D334">INDEX('New credit'!$A:$O,
MATCH(1,('New credit'!$A:$A=$C334)*('New credit'!$D:$D=D$16), 0),
MATCH(D$17,'New credit'!$1:$1,0))</f>
        <v>0.70769230769230773</v>
      </c>
      <c r="E334" s="18" cm="1">
        <f t="array" ref="E334">INDEX('New credit'!$A:$O,
MATCH(1,('New credit'!$A:$A=$C334)*('New credit'!$D:$D=E$16), 0),
MATCH(E$17,'New credit'!$1:$1,0))</f>
        <v>0.85444444444444434</v>
      </c>
      <c r="F334" s="18" cm="1">
        <f t="array" ref="F334">INDEX('New credit'!$A:$O,
MATCH(1,('New credit'!$A:$A=$C334)*('New credit'!$D:$D=F$16), 0),
MATCH(F$17,'New credit'!$1:$1,0))</f>
        <v>0.80307552420648454</v>
      </c>
      <c r="G334" s="18">
        <f>INDEX('New credit'!$A:$O,
MATCH($C334, 'New credit'!$A:$A, 0),
MATCH(G$17, 'New credit'!$1:$1, 0))</f>
        <v>0.14974312293088529</v>
      </c>
      <c r="H334" s="18">
        <v>0.15</v>
      </c>
      <c r="I334" s="18" cm="1">
        <f t="array" ref="I334">INDEX('Limit raise'!$A:$O,
MATCH(1,('Limit raise'!$A:$A=$C334)*('Limit raise'!$D:$D=I$16), 0),
MATCH(I$17,'Limit raise'!$1:$1,0))</f>
        <v>0.63157894736842102</v>
      </c>
      <c r="J334" s="18" cm="1">
        <f t="array" ref="J334">INDEX('Limit raise'!$A:$O,
MATCH(1,('Limit raise'!$A:$A=$C334)*('Limit raise'!$D:$D=J$16), 0),
MATCH(J$17,'Limit raise'!$1:$1,0))</f>
        <v>0.8822727272727271</v>
      </c>
      <c r="K334" s="18" cm="1">
        <f t="array" ref="K334">INDEX('Limit raise'!$A:$O,
MATCH(1,('Limit raise'!$A:$A=$C334)*('Limit raise'!$D:$D=K$16), 0),
MATCH(K$17,'Limit raise'!$1:$1,0))</f>
        <v>0.79768924153324827</v>
      </c>
      <c r="L334" s="18">
        <f>INDEX('Limit raise'!$A:$O,
MATCH($C334, 'Limit raise'!$A:$A, 0),
MATCH(L$17,'Limit raise'!$1:$1,0))</f>
        <v>9.2533324647101373E-2</v>
      </c>
      <c r="M334" s="18">
        <v>0.15</v>
      </c>
      <c r="N334" s="18"/>
    </row>
    <row r="335" spans="3:14" s="13" customFormat="1" ht="7.2" customHeight="1" x14ac:dyDescent="0.3">
      <c r="C335" s="17">
        <v>317</v>
      </c>
      <c r="D335" s="18" cm="1">
        <f t="array" ref="D335">INDEX('New credit'!$A:$O,
MATCH(1,('New credit'!$A:$A=$C335)*('New credit'!$D:$D=D$16), 0),
MATCH(D$17,'New credit'!$1:$1,0))</f>
        <v>0.703125</v>
      </c>
      <c r="E335" s="18" cm="1">
        <f t="array" ref="E335">INDEX('New credit'!$A:$O,
MATCH(1,('New credit'!$A:$A=$C335)*('New credit'!$D:$D=E$16), 0),
MATCH(E$17,'New credit'!$1:$1,0))</f>
        <v>0.85363636363636342</v>
      </c>
      <c r="F335" s="18" cm="1">
        <f t="array" ref="F335">INDEX('New credit'!$A:$O,
MATCH(1,('New credit'!$A:$A=$C335)*('New credit'!$D:$D=F$16), 0),
MATCH(F$17,'New credit'!$1:$1,0))</f>
        <v>0.7961859793854148</v>
      </c>
      <c r="G335" s="18">
        <f>INDEX('New credit'!$A:$O,
MATCH($C335, 'New credit'!$A:$A, 0),
MATCH(G$17, 'New credit'!$1:$1, 0))</f>
        <v>1</v>
      </c>
      <c r="H335" s="18">
        <v>0.15</v>
      </c>
      <c r="I335" s="18" cm="1">
        <f t="array" ref="I335">INDEX('Limit raise'!$A:$O,
MATCH(1,('Limit raise'!$A:$A=$C335)*('Limit raise'!$D:$D=I$16), 0),
MATCH(I$17,'Limit raise'!$1:$1,0))</f>
        <v>0.64912280701754388</v>
      </c>
      <c r="J335" s="18" cm="1">
        <f t="array" ref="J335">INDEX('Limit raise'!$A:$O,
MATCH(1,('Limit raise'!$A:$A=$C335)*('Limit raise'!$D:$D=J$16), 0),
MATCH(J$17,'Limit raise'!$1:$1,0))</f>
        <v>0.8822727272727271</v>
      </c>
      <c r="K335" s="18" cm="1">
        <f t="array" ref="K335">INDEX('Limit raise'!$A:$O,
MATCH(1,('Limit raise'!$A:$A=$C335)*('Limit raise'!$D:$D=K$16), 0),
MATCH(K$17,'Limit raise'!$1:$1,0))</f>
        <v>0.79734531063541847</v>
      </c>
      <c r="L335" s="18">
        <f>INDEX('Limit raise'!$A:$O,
MATCH($C335, 'Limit raise'!$A:$A, 0),
MATCH(L$17,'Limit raise'!$1:$1,0))</f>
        <v>9.0805618199171739E-2</v>
      </c>
      <c r="M335" s="18">
        <v>0.15</v>
      </c>
      <c r="N335" s="18"/>
    </row>
    <row r="336" spans="3:14" s="13" customFormat="1" ht="7.2" customHeight="1" x14ac:dyDescent="0.3">
      <c r="C336" s="17">
        <v>318</v>
      </c>
      <c r="D336" s="18" cm="1">
        <f t="array" ref="D336">INDEX('New credit'!$A:$O,
MATCH(1,('New credit'!$A:$A=$C336)*('New credit'!$D:$D=D$16), 0),
MATCH(D$17,'New credit'!$1:$1,0))</f>
        <v>0.81034482758620685</v>
      </c>
      <c r="E336" s="18" cm="1">
        <f t="array" ref="E336">INDEX('New credit'!$A:$O,
MATCH(1,('New credit'!$A:$A=$C336)*('New credit'!$D:$D=E$16), 0),
MATCH(E$17,'New credit'!$1:$1,0))</f>
        <v>0.85624999999999973</v>
      </c>
      <c r="F336" s="18" cm="1">
        <f t="array" ref="F336">INDEX('New credit'!$A:$O,
MATCH(1,('New credit'!$A:$A=$C336)*('New credit'!$D:$D=F$16), 0),
MATCH(F$17,'New credit'!$1:$1,0))</f>
        <v>0.7607287422541833</v>
      </c>
      <c r="G336" s="18">
        <f>INDEX('New credit'!$A:$O,
MATCH($C336, 'New credit'!$A:$A, 0),
MATCH(G$17, 'New credit'!$1:$1, 0))</f>
        <v>0.13208507430464769</v>
      </c>
      <c r="H336" s="18">
        <v>0.15</v>
      </c>
      <c r="I336" s="18" cm="1">
        <f t="array" ref="I336">INDEX('Limit raise'!$A:$O,
MATCH(1,('Limit raise'!$A:$A=$C336)*('Limit raise'!$D:$D=I$16), 0),
MATCH(I$17,'Limit raise'!$1:$1,0))</f>
        <v>0.63157894736842102</v>
      </c>
      <c r="J336" s="18" cm="1">
        <f t="array" ref="J336">INDEX('Limit raise'!$A:$O,
MATCH(1,('Limit raise'!$A:$A=$C336)*('Limit raise'!$D:$D=J$16), 0),
MATCH(J$17,'Limit raise'!$1:$1,0))</f>
        <v>0.88363636363636333</v>
      </c>
      <c r="K336" s="18" cm="1">
        <f t="array" ref="K336">INDEX('Limit raise'!$A:$O,
MATCH(1,('Limit raise'!$A:$A=$C336)*('Limit raise'!$D:$D=K$16), 0),
MATCH(K$17,'Limit raise'!$1:$1,0))</f>
        <v>0.7976633573504921</v>
      </c>
      <c r="L336" s="18">
        <f>INDEX('Limit raise'!$A:$O,
MATCH($C336, 'Limit raise'!$A:$A, 0),
MATCH(L$17,'Limit raise'!$1:$1,0))</f>
        <v>9.196651237678187E-2</v>
      </c>
      <c r="M336" s="18">
        <v>0.15</v>
      </c>
      <c r="N336" s="18"/>
    </row>
    <row r="337" spans="3:14" s="13" customFormat="1" ht="7.2" customHeight="1" x14ac:dyDescent="0.3">
      <c r="C337" s="17">
        <v>319</v>
      </c>
      <c r="D337" s="18" cm="1">
        <f t="array" ref="D337">INDEX('New credit'!$A:$O,
MATCH(1,('New credit'!$A:$A=$C337)*('New credit'!$D:$D=D$16), 0),
MATCH(D$17,'New credit'!$1:$1,0))</f>
        <v>0.7142857142857143</v>
      </c>
      <c r="E337" s="18" cm="1">
        <f t="array" ref="E337">INDEX('New credit'!$A:$O,
MATCH(1,('New credit'!$A:$A=$C337)*('New credit'!$D:$D=E$16), 0),
MATCH(E$17,'New credit'!$1:$1,0))</f>
        <v>0.8553124999999997</v>
      </c>
      <c r="F337" s="18" cm="1">
        <f t="array" ref="F337">INDEX('New credit'!$A:$O,
MATCH(1,('New credit'!$A:$A=$C337)*('New credit'!$D:$D=F$16), 0),
MATCH(F$17,'New credit'!$1:$1,0))</f>
        <v>0.79034269968038495</v>
      </c>
      <c r="G337" s="18">
        <f>INDEX('New credit'!$A:$O,
MATCH($C337, 'New credit'!$A:$A, 0),
MATCH(G$17, 'New credit'!$1:$1, 0))</f>
        <v>0.12453193136172</v>
      </c>
      <c r="H337" s="18">
        <v>0.15</v>
      </c>
      <c r="I337" s="18" cm="1">
        <f t="array" ref="I337">INDEX('Limit raise'!$A:$O,
MATCH(1,('Limit raise'!$A:$A=$C337)*('Limit raise'!$D:$D=I$16), 0),
MATCH(I$17,'Limit raise'!$1:$1,0))</f>
        <v>0.63157894736842102</v>
      </c>
      <c r="J337" s="18" cm="1">
        <f t="array" ref="J337">INDEX('Limit raise'!$A:$O,
MATCH(1,('Limit raise'!$A:$A=$C337)*('Limit raise'!$D:$D=J$16), 0),
MATCH(J$17,'Limit raise'!$1:$1,0))</f>
        <v>0.88272727272727247</v>
      </c>
      <c r="K337" s="18" cm="1">
        <f t="array" ref="K337">INDEX('Limit raise'!$A:$O,
MATCH(1,('Limit raise'!$A:$A=$C337)*('Limit raise'!$D:$D=K$16), 0),
MATCH(K$17,'Limit raise'!$1:$1,0))</f>
        <v>0.79203041775784333</v>
      </c>
      <c r="L337" s="18">
        <f>INDEX('Limit raise'!$A:$O,
MATCH($C337, 'Limit raise'!$A:$A, 0),
MATCH(L$17,'Limit raise'!$1:$1,0))</f>
        <v>9.5486693124097077E-2</v>
      </c>
      <c r="M337" s="18">
        <v>0.15</v>
      </c>
      <c r="N337" s="18"/>
    </row>
    <row r="338" spans="3:14" s="13" customFormat="1" ht="7.2" customHeight="1" x14ac:dyDescent="0.3">
      <c r="C338" s="17">
        <v>320</v>
      </c>
      <c r="D338" s="18" cm="1">
        <f t="array" ref="D338">INDEX('New credit'!$A:$O,
MATCH(1,('New credit'!$A:$A=$C338)*('New credit'!$D:$D=D$16), 0),
MATCH(D$17,'New credit'!$1:$1,0))</f>
        <v>0.734375</v>
      </c>
      <c r="E338" s="18" cm="1">
        <f t="array" ref="E338">INDEX('New credit'!$A:$O,
MATCH(1,('New credit'!$A:$A=$C338)*('New credit'!$D:$D=E$16), 0),
MATCH(E$17,'New credit'!$1:$1,0))</f>
        <v>0.85624999999999973</v>
      </c>
      <c r="F338" s="18" cm="1">
        <f t="array" ref="F338">INDEX('New credit'!$A:$O,
MATCH(1,('New credit'!$A:$A=$C338)*('New credit'!$D:$D=F$16), 0),
MATCH(F$17,'New credit'!$1:$1,0))</f>
        <v>0.7640629932980546</v>
      </c>
      <c r="G338" s="18">
        <f>INDEX('New credit'!$A:$O,
MATCH($C338, 'New credit'!$A:$A, 0),
MATCH(G$17, 'New credit'!$1:$1, 0))</f>
        <v>0.15335086087846311</v>
      </c>
      <c r="H338" s="18">
        <v>0.15</v>
      </c>
      <c r="I338" s="18" cm="1">
        <f t="array" ref="I338">INDEX('Limit raise'!$A:$O,
MATCH(1,('Limit raise'!$A:$A=$C338)*('Limit raise'!$D:$D=I$16), 0),
MATCH(I$17,'Limit raise'!$1:$1,0))</f>
        <v>0.62068965517241381</v>
      </c>
      <c r="J338" s="18" cm="1">
        <f t="array" ref="J338">INDEX('Limit raise'!$A:$O,
MATCH(1,('Limit raise'!$A:$A=$C338)*('Limit raise'!$D:$D=J$16), 0),
MATCH(J$17,'Limit raise'!$1:$1,0))</f>
        <v>0.88181818181818172</v>
      </c>
      <c r="K338" s="18" cm="1">
        <f t="array" ref="K338">INDEX('Limit raise'!$A:$O,
MATCH(1,('Limit raise'!$A:$A=$C338)*('Limit raise'!$D:$D=K$16), 0),
MATCH(K$17,'Limit raise'!$1:$1,0))</f>
        <v>0.8206063045130263</v>
      </c>
      <c r="L338" s="18">
        <f>INDEX('Limit raise'!$A:$O,
MATCH($C338, 'Limit raise'!$A:$A, 0),
MATCH(L$17,'Limit raise'!$1:$1,0))</f>
        <v>0.1022739159578798</v>
      </c>
      <c r="M338" s="18">
        <v>0.15</v>
      </c>
      <c r="N338" s="18"/>
    </row>
    <row r="339" spans="3:14" s="13" customFormat="1" ht="7.2" customHeight="1" x14ac:dyDescent="0.3">
      <c r="C339" s="17">
        <v>321</v>
      </c>
      <c r="D339" s="18" cm="1">
        <f t="array" ref="D339">INDEX('New credit'!$A:$O,
MATCH(1,('New credit'!$A:$A=$C339)*('New credit'!$D:$D=D$16), 0),
MATCH(D$17,'New credit'!$1:$1,0))</f>
        <v>0.69565217391304346</v>
      </c>
      <c r="E339" s="18" cm="1">
        <f t="array" ref="E339">INDEX('New credit'!$A:$O,
MATCH(1,('New credit'!$A:$A=$C339)*('New credit'!$D:$D=E$16), 0),
MATCH(E$17,'New credit'!$1:$1,0))</f>
        <v>0.85333333333333328</v>
      </c>
      <c r="F339" s="18" cm="1">
        <f t="array" ref="F339">INDEX('New credit'!$A:$O,
MATCH(1,('New credit'!$A:$A=$C339)*('New credit'!$D:$D=F$16), 0),
MATCH(F$17,'New credit'!$1:$1,0))</f>
        <v>0.72514517983857152</v>
      </c>
      <c r="G339" s="18">
        <f>INDEX('New credit'!$A:$O,
MATCH($C339, 'New credit'!$A:$A, 0),
MATCH(G$17, 'New credit'!$1:$1, 0))</f>
        <v>0.119931860566675</v>
      </c>
      <c r="H339" s="18">
        <v>0.15</v>
      </c>
      <c r="I339" s="18" cm="1">
        <f t="array" ref="I339">INDEX('Limit raise'!$A:$O,
MATCH(1,('Limit raise'!$A:$A=$C339)*('Limit raise'!$D:$D=I$16), 0),
MATCH(I$17,'Limit raise'!$1:$1,0))</f>
        <v>0.62068965517241381</v>
      </c>
      <c r="J339" s="18" cm="1">
        <f t="array" ref="J339">INDEX('Limit raise'!$A:$O,
MATCH(1,('Limit raise'!$A:$A=$C339)*('Limit raise'!$D:$D=J$16), 0),
MATCH(J$17,'Limit raise'!$1:$1,0))</f>
        <v>0.88181818181818172</v>
      </c>
      <c r="K339" s="18" cm="1">
        <f t="array" ref="K339">INDEX('Limit raise'!$A:$O,
MATCH(1,('Limit raise'!$A:$A=$C339)*('Limit raise'!$D:$D=K$16), 0),
MATCH(K$17,'Limit raise'!$1:$1,0))</f>
        <v>0.79853518454084593</v>
      </c>
      <c r="L339" s="18">
        <f>INDEX('Limit raise'!$A:$O,
MATCH($C339, 'Limit raise'!$A:$A, 0),
MATCH(L$17,'Limit raise'!$1:$1,0))</f>
        <v>0.1016452870339586</v>
      </c>
      <c r="M339" s="18">
        <v>0.15</v>
      </c>
      <c r="N339" s="18"/>
    </row>
    <row r="340" spans="3:14" s="13" customFormat="1" ht="7.2" customHeight="1" x14ac:dyDescent="0.3">
      <c r="C340" s="17">
        <v>322</v>
      </c>
      <c r="D340" s="18" cm="1">
        <f t="array" ref="D340">INDEX('New credit'!$A:$O,
MATCH(1,('New credit'!$A:$A=$C340)*('New credit'!$D:$D=D$16), 0),
MATCH(D$17,'New credit'!$1:$1,0))</f>
        <v>0.734375</v>
      </c>
      <c r="E340" s="18" cm="1">
        <f t="array" ref="E340">INDEX('New credit'!$A:$O,
MATCH(1,('New credit'!$A:$A=$C340)*('New credit'!$D:$D=E$16), 0),
MATCH(E$17,'New credit'!$1:$1,0))</f>
        <v>0.85310344827586182</v>
      </c>
      <c r="F340" s="18" cm="1">
        <f t="array" ref="F340">INDEX('New credit'!$A:$O,
MATCH(1,('New credit'!$A:$A=$C340)*('New credit'!$D:$D=F$16), 0),
MATCH(F$17,'New credit'!$1:$1,0))</f>
        <v>0.73722168009733102</v>
      </c>
      <c r="G340" s="18">
        <f>INDEX('New credit'!$A:$O,
MATCH($C340, 'New credit'!$A:$A, 0),
MATCH(G$17, 'New credit'!$1:$1, 0))</f>
        <v>0.11813989719446211</v>
      </c>
      <c r="H340" s="18">
        <v>0.15</v>
      </c>
      <c r="I340" s="18" cm="1">
        <f t="array" ref="I340">INDEX('Limit raise'!$A:$O,
MATCH(1,('Limit raise'!$A:$A=$C340)*('Limit raise'!$D:$D=I$16), 0),
MATCH(I$17,'Limit raise'!$1:$1,0))</f>
        <v>0.61016949152542377</v>
      </c>
      <c r="J340" s="18" cm="1">
        <f t="array" ref="J340">INDEX('Limit raise'!$A:$O,
MATCH(1,('Limit raise'!$A:$A=$C340)*('Limit raise'!$D:$D=J$16), 0),
MATCH(J$17,'Limit raise'!$1:$1,0))</f>
        <v>0.88318181818181818</v>
      </c>
      <c r="K340" s="18" cm="1">
        <f t="array" ref="K340">INDEX('Limit raise'!$A:$O,
MATCH(1,('Limit raise'!$A:$A=$C340)*('Limit raise'!$D:$D=K$16), 0),
MATCH(K$17,'Limit raise'!$1:$1,0))</f>
        <v>0.79463922450741176</v>
      </c>
      <c r="L340" s="18">
        <f>INDEX('Limit raise'!$A:$O,
MATCH($C340, 'Limit raise'!$A:$A, 0),
MATCH(L$17,'Limit raise'!$1:$1,0))</f>
        <v>0.1037117766766783</v>
      </c>
      <c r="M340" s="18">
        <v>0.15</v>
      </c>
      <c r="N340" s="18"/>
    </row>
    <row r="341" spans="3:14" s="13" customFormat="1" ht="7.2" customHeight="1" x14ac:dyDescent="0.3">
      <c r="C341" s="17">
        <v>323</v>
      </c>
      <c r="D341" s="18" cm="1">
        <f t="array" ref="D341">INDEX('New credit'!$A:$O,
MATCH(1,('New credit'!$A:$A=$C341)*('New credit'!$D:$D=D$16), 0),
MATCH(D$17,'New credit'!$1:$1,0))</f>
        <v>0.72413793103448276</v>
      </c>
      <c r="E341" s="18" cm="1">
        <f t="array" ref="E341">INDEX('New credit'!$A:$O,
MATCH(1,('New credit'!$A:$A=$C341)*('New credit'!$D:$D=E$16), 0),
MATCH(E$17,'New credit'!$1:$1,0))</f>
        <v>0.85079999999999989</v>
      </c>
      <c r="F341" s="18" cm="1">
        <f t="array" ref="F341">INDEX('New credit'!$A:$O,
MATCH(1,('New credit'!$A:$A=$C341)*('New credit'!$D:$D=F$16), 0),
MATCH(F$17,'New credit'!$1:$1,0))</f>
        <v>0.7215055817025976</v>
      </c>
      <c r="G341" s="18">
        <f>INDEX('New credit'!$A:$O,
MATCH($C341, 'New credit'!$A:$A, 0),
MATCH(G$17, 'New credit'!$1:$1, 0))</f>
        <v>1</v>
      </c>
      <c r="H341" s="18">
        <v>0.15</v>
      </c>
      <c r="I341" s="18" cm="1">
        <f t="array" ref="I341">INDEX('Limit raise'!$A:$O,
MATCH(1,('Limit raise'!$A:$A=$C341)*('Limit raise'!$D:$D=I$16), 0),
MATCH(I$17,'Limit raise'!$1:$1,0))</f>
        <v>0.65</v>
      </c>
      <c r="J341" s="18" cm="1">
        <f t="array" ref="J341">INDEX('Limit raise'!$A:$O,
MATCH(1,('Limit raise'!$A:$A=$C341)*('Limit raise'!$D:$D=J$16), 0),
MATCH(J$17,'Limit raise'!$1:$1,0))</f>
        <v>0.84434782608695658</v>
      </c>
      <c r="K341" s="18" cm="1">
        <f t="array" ref="K341">INDEX('Limit raise'!$A:$O,
MATCH(1,('Limit raise'!$A:$A=$C341)*('Limit raise'!$D:$D=K$16), 0),
MATCH(K$17,'Limit raise'!$1:$1,0))</f>
        <v>0.79439614804607739</v>
      </c>
      <c r="L341" s="18">
        <f>INDEX('Limit raise'!$A:$O,
MATCH($C341, 'Limit raise'!$A:$A, 0),
MATCH(L$17,'Limit raise'!$1:$1,0))</f>
        <v>0.1055337255974506</v>
      </c>
      <c r="M341" s="18">
        <v>0.15</v>
      </c>
      <c r="N341" s="18"/>
    </row>
    <row r="342" spans="3:14" s="13" customFormat="1" ht="7.2" customHeight="1" x14ac:dyDescent="0.3">
      <c r="C342" s="17">
        <v>324</v>
      </c>
      <c r="D342" s="18" cm="1">
        <f t="array" ref="D342">INDEX('New credit'!$A:$O,
MATCH(1,('New credit'!$A:$A=$C342)*('New credit'!$D:$D=D$16), 0),
MATCH(D$17,'New credit'!$1:$1,0))</f>
        <v>0.77777777777777779</v>
      </c>
      <c r="E342" s="18" cm="1">
        <f t="array" ref="E342">INDEX('New credit'!$A:$O,
MATCH(1,('New credit'!$A:$A=$C342)*('New credit'!$D:$D=E$16), 0),
MATCH(E$17,'New credit'!$1:$1,0))</f>
        <v>0.84857142857142842</v>
      </c>
      <c r="F342" s="18" cm="1">
        <f t="array" ref="F342">INDEX('New credit'!$A:$O,
MATCH(1,('New credit'!$A:$A=$C342)*('New credit'!$D:$D=F$16), 0),
MATCH(F$17,'New credit'!$1:$1,0))</f>
        <v>0.7708936755038277</v>
      </c>
      <c r="G342" s="18">
        <f>INDEX('New credit'!$A:$O,
MATCH($C342, 'New credit'!$A:$A, 0),
MATCH(G$17, 'New credit'!$1:$1, 0))</f>
        <v>1</v>
      </c>
      <c r="H342" s="18">
        <v>0.15</v>
      </c>
      <c r="I342" s="18" cm="1">
        <f t="array" ref="I342">INDEX('Limit raise'!$A:$O,
MATCH(1,('Limit raise'!$A:$A=$C342)*('Limit raise'!$D:$D=I$16), 0),
MATCH(I$17,'Limit raise'!$1:$1,0))</f>
        <v>0.62295081967213117</v>
      </c>
      <c r="J342" s="18" cm="1">
        <f t="array" ref="J342">INDEX('Limit raise'!$A:$O,
MATCH(1,('Limit raise'!$A:$A=$C342)*('Limit raise'!$D:$D=J$16), 0),
MATCH(J$17,'Limit raise'!$1:$1,0))</f>
        <v>0.84347826086956534</v>
      </c>
      <c r="K342" s="18" cm="1">
        <f t="array" ref="K342">INDEX('Limit raise'!$A:$O,
MATCH(1,('Limit raise'!$A:$A=$C342)*('Limit raise'!$D:$D=K$16), 0),
MATCH(K$17,'Limit raise'!$1:$1,0))</f>
        <v>0.79450620446959219</v>
      </c>
      <c r="L342" s="18">
        <f>INDEX('Limit raise'!$A:$O,
MATCH($C342, 'Limit raise'!$A:$A, 0),
MATCH(L$17,'Limit raise'!$1:$1,0))</f>
        <v>0.1103722050613479</v>
      </c>
      <c r="M342" s="18">
        <v>0.15</v>
      </c>
      <c r="N342" s="18"/>
    </row>
    <row r="343" spans="3:14" s="13" customFormat="1" ht="7.2" customHeight="1" x14ac:dyDescent="0.3">
      <c r="C343" s="17">
        <v>325</v>
      </c>
      <c r="D343" s="18" cm="1">
        <f t="array" ref="D343">INDEX('New credit'!$A:$O,
MATCH(1,('New credit'!$A:$A=$C343)*('New credit'!$D:$D=D$16), 0),
MATCH(D$17,'New credit'!$1:$1,0))</f>
        <v>0.69117647058823528</v>
      </c>
      <c r="E343" s="18" cm="1">
        <f t="array" ref="E343">INDEX('New credit'!$A:$O,
MATCH(1,('New credit'!$A:$A=$C343)*('New credit'!$D:$D=E$16), 0),
MATCH(E$17,'New credit'!$1:$1,0))</f>
        <v>0.81793103448275861</v>
      </c>
      <c r="F343" s="18" cm="1">
        <f t="array" ref="F343">INDEX('New credit'!$A:$O,
MATCH(1,('New credit'!$A:$A=$C343)*('New credit'!$D:$D=F$16), 0),
MATCH(F$17,'New credit'!$1:$1,0))</f>
        <v>0.69077538710006281</v>
      </c>
      <c r="G343" s="18">
        <f>INDEX('New credit'!$A:$O,
MATCH($C343, 'New credit'!$A:$A, 0),
MATCH(G$17, 'New credit'!$1:$1, 0))</f>
        <v>0.1106860800782261</v>
      </c>
      <c r="H343" s="18">
        <v>0.15</v>
      </c>
      <c r="I343" s="18" cm="1">
        <f t="array" ref="I343">INDEX('Limit raise'!$A:$O,
MATCH(1,('Limit raise'!$A:$A=$C343)*('Limit raise'!$D:$D=I$16), 0),
MATCH(I$17,'Limit raise'!$1:$1,0))</f>
        <v>0.60317460317460314</v>
      </c>
      <c r="J343" s="18" cm="1">
        <f t="array" ref="J343">INDEX('Limit raise'!$A:$O,
MATCH(1,('Limit raise'!$A:$A=$C343)*('Limit raise'!$D:$D=J$16), 0),
MATCH(J$17,'Limit raise'!$1:$1,0))</f>
        <v>0.84045454545454557</v>
      </c>
      <c r="K343" s="18" cm="1">
        <f t="array" ref="K343">INDEX('Limit raise'!$A:$O,
MATCH(1,('Limit raise'!$A:$A=$C343)*('Limit raise'!$D:$D=K$16), 0),
MATCH(K$17,'Limit raise'!$1:$1,0))</f>
        <v>0.79177181527335427</v>
      </c>
      <c r="L343" s="18">
        <f>INDEX('Limit raise'!$A:$O,
MATCH($C343, 'Limit raise'!$A:$A, 0),
MATCH(L$17,'Limit raise'!$1:$1,0))</f>
        <v>0.11363297580179781</v>
      </c>
      <c r="M343" s="18">
        <v>0.15</v>
      </c>
      <c r="N343" s="18"/>
    </row>
    <row r="344" spans="3:14" s="13" customFormat="1" ht="7.2" customHeight="1" x14ac:dyDescent="0.3">
      <c r="C344" s="17">
        <v>326</v>
      </c>
      <c r="D344" s="18" cm="1">
        <f t="array" ref="D344">INDEX('New credit'!$A:$O,
MATCH(1,('New credit'!$A:$A=$C344)*('New credit'!$D:$D=D$16), 0),
MATCH(D$17,'New credit'!$1:$1,0))</f>
        <v>0.69444444444444442</v>
      </c>
      <c r="E344" s="18" cm="1">
        <f t="array" ref="E344">INDEX('New credit'!$A:$O,
MATCH(1,('New credit'!$A:$A=$C344)*('New credit'!$D:$D=E$16), 0),
MATCH(E$17,'New credit'!$1:$1,0))</f>
        <v>0.82258064516129026</v>
      </c>
      <c r="F344" s="18" cm="1">
        <f t="array" ref="F344">INDEX('New credit'!$A:$O,
MATCH(1,('New credit'!$A:$A=$C344)*('New credit'!$D:$D=F$16), 0),
MATCH(F$17,'New credit'!$1:$1,0))</f>
        <v>0.68741314254044006</v>
      </c>
      <c r="G344" s="18">
        <f>INDEX('New credit'!$A:$O,
MATCH($C344, 'New credit'!$A:$A, 0),
MATCH(G$17, 'New credit'!$1:$1, 0))</f>
        <v>0.1199546128160885</v>
      </c>
      <c r="H344" s="18">
        <v>0.15</v>
      </c>
      <c r="I344" s="18" cm="1">
        <f t="array" ref="I344">INDEX('Limit raise'!$A:$O,
MATCH(1,('Limit raise'!$A:$A=$C344)*('Limit raise'!$D:$D=I$16), 0),
MATCH(I$17,'Limit raise'!$1:$1,0))</f>
        <v>0.60317460317460314</v>
      </c>
      <c r="J344" s="18" cm="1">
        <f t="array" ref="J344">INDEX('Limit raise'!$A:$O,
MATCH(1,('Limit raise'!$A:$A=$C344)*('Limit raise'!$D:$D=J$16), 0),
MATCH(J$17,'Limit raise'!$1:$1,0))</f>
        <v>0.8376190476190476</v>
      </c>
      <c r="K344" s="18" cm="1">
        <f t="array" ref="K344">INDEX('Limit raise'!$A:$O,
MATCH(1,('Limit raise'!$A:$A=$C344)*('Limit raise'!$D:$D=K$16), 0),
MATCH(K$17,'Limit raise'!$1:$1,0))</f>
        <v>0.78830975481602383</v>
      </c>
      <c r="L344" s="18">
        <f>INDEX('Limit raise'!$A:$O,
MATCH($C344, 'Limit raise'!$A:$A, 0),
MATCH(L$17,'Limit raise'!$1:$1,0))</f>
        <v>0.11412623071543131</v>
      </c>
      <c r="M344" s="18">
        <v>0.15</v>
      </c>
      <c r="N344" s="18"/>
    </row>
    <row r="345" spans="3:14" s="13" customFormat="1" ht="7.2" customHeight="1" x14ac:dyDescent="0.3">
      <c r="C345" s="17">
        <v>327</v>
      </c>
      <c r="D345" s="18" cm="1">
        <f t="array" ref="D345">INDEX('New credit'!$A:$O,
MATCH(1,('New credit'!$A:$A=$C345)*('New credit'!$D:$D=D$16), 0),
MATCH(D$17,'New credit'!$1:$1,0))</f>
        <v>0.69565217391304346</v>
      </c>
      <c r="E345" s="18" cm="1">
        <f t="array" ref="E345">INDEX('New credit'!$A:$O,
MATCH(1,('New credit'!$A:$A=$C345)*('New credit'!$D:$D=E$16), 0),
MATCH(E$17,'New credit'!$1:$1,0))</f>
        <v>0.84533333333333316</v>
      </c>
      <c r="F345" s="18" cm="1">
        <f t="array" ref="F345">INDEX('New credit'!$A:$O,
MATCH(1,('New credit'!$A:$A=$C345)*('New credit'!$D:$D=F$16), 0),
MATCH(F$17,'New credit'!$1:$1,0))</f>
        <v>0.75651002861512773</v>
      </c>
      <c r="G345" s="18">
        <f>INDEX('New credit'!$A:$O,
MATCH($C345, 'New credit'!$A:$A, 0),
MATCH(G$17, 'New credit'!$1:$1, 0))</f>
        <v>0.16855122979040671</v>
      </c>
      <c r="H345" s="18">
        <v>0.15</v>
      </c>
      <c r="I345" s="18" cm="1">
        <f t="array" ref="I345">INDEX('Limit raise'!$A:$O,
MATCH(1,('Limit raise'!$A:$A=$C345)*('Limit raise'!$D:$D=I$16), 0),
MATCH(I$17,'Limit raise'!$1:$1,0))</f>
        <v>0.625</v>
      </c>
      <c r="J345" s="18" cm="1">
        <f t="array" ref="J345">INDEX('Limit raise'!$A:$O,
MATCH(1,('Limit raise'!$A:$A=$C345)*('Limit raise'!$D:$D=J$16), 0),
MATCH(J$17,'Limit raise'!$1:$1,0))</f>
        <v>0.8376190476190476</v>
      </c>
      <c r="K345" s="18" cm="1">
        <f t="array" ref="K345">INDEX('Limit raise'!$A:$O,
MATCH(1,('Limit raise'!$A:$A=$C345)*('Limit raise'!$D:$D=K$16), 0),
MATCH(K$17,'Limit raise'!$1:$1,0))</f>
        <v>0.78963145949409586</v>
      </c>
      <c r="L345" s="18">
        <f>INDEX('Limit raise'!$A:$O,
MATCH($C345, 'Limit raise'!$A:$A, 0),
MATCH(L$17,'Limit raise'!$1:$1,0))</f>
        <v>0.1166958320133043</v>
      </c>
      <c r="M345" s="18">
        <v>0.15</v>
      </c>
      <c r="N345" s="18"/>
    </row>
    <row r="346" spans="3:14" s="13" customFormat="1" ht="7.2" customHeight="1" x14ac:dyDescent="0.3">
      <c r="C346" s="17">
        <v>328</v>
      </c>
      <c r="D346" s="18" cm="1">
        <f t="array" ref="D346">INDEX('New credit'!$A:$O,
MATCH(1,('New credit'!$A:$A=$C346)*('New credit'!$D:$D=D$16), 0),
MATCH(D$17,'New credit'!$1:$1,0))</f>
        <v>0.7384615384615385</v>
      </c>
      <c r="E346" s="18" cm="1">
        <f t="array" ref="E346">INDEX('New credit'!$A:$O,
MATCH(1,('New credit'!$A:$A=$C346)*('New credit'!$D:$D=E$16), 0),
MATCH(E$17,'New credit'!$1:$1,0))</f>
        <v>0.84733333333333327</v>
      </c>
      <c r="F346" s="18" cm="1">
        <f t="array" ref="F346">INDEX('New credit'!$A:$O,
MATCH(1,('New credit'!$A:$A=$C346)*('New credit'!$D:$D=F$16), 0),
MATCH(F$17,'New credit'!$1:$1,0))</f>
        <v>0.70659279230394756</v>
      </c>
      <c r="G346" s="18">
        <f>INDEX('New credit'!$A:$O,
MATCH($C346, 'New credit'!$A:$A, 0),
MATCH(G$17, 'New credit'!$1:$1, 0))</f>
        <v>9.6429370624937671E-2</v>
      </c>
      <c r="H346" s="18">
        <v>0.15</v>
      </c>
      <c r="I346" s="18" cm="1">
        <f t="array" ref="I346">INDEX('Limit raise'!$A:$O,
MATCH(1,('Limit raise'!$A:$A=$C346)*('Limit raise'!$D:$D=I$16), 0),
MATCH(I$17,'Limit raise'!$1:$1,0))</f>
        <v>0.59677419354838712</v>
      </c>
      <c r="J346" s="18" cm="1">
        <f t="array" ref="J346">INDEX('Limit raise'!$A:$O,
MATCH(1,('Limit raise'!$A:$A=$C346)*('Limit raise'!$D:$D=J$16), 0),
MATCH(J$17,'Limit raise'!$1:$1,0))</f>
        <v>0.84090909090909094</v>
      </c>
      <c r="K346" s="18" cm="1">
        <f t="array" ref="K346">INDEX('Limit raise'!$A:$O,
MATCH(1,('Limit raise'!$A:$A=$C346)*('Limit raise'!$D:$D=K$16), 0),
MATCH(K$17,'Limit raise'!$1:$1,0))</f>
        <v>0.75256900027062457</v>
      </c>
      <c r="L346" s="18">
        <f>INDEX('Limit raise'!$A:$O,
MATCH($C346, 'Limit raise'!$A:$A, 0),
MATCH(L$17,'Limit raise'!$1:$1,0))</f>
        <v>0.11768518628258801</v>
      </c>
      <c r="M346" s="18">
        <v>0.15</v>
      </c>
      <c r="N346" s="18"/>
    </row>
    <row r="347" spans="3:14" s="13" customFormat="1" ht="7.2" customHeight="1" x14ac:dyDescent="0.3">
      <c r="C347" s="17">
        <v>329</v>
      </c>
      <c r="D347" s="18" cm="1">
        <f t="array" ref="D347">INDEX('New credit'!$A:$O,
MATCH(1,('New credit'!$A:$A=$C347)*('New credit'!$D:$D=D$16), 0),
MATCH(D$17,'New credit'!$1:$1,0))</f>
        <v>0.74137931034482762</v>
      </c>
      <c r="E347" s="18" cm="1">
        <f t="array" ref="E347">INDEX('New credit'!$A:$O,
MATCH(1,('New credit'!$A:$A=$C347)*('New credit'!$D:$D=E$16), 0),
MATCH(E$17,'New credit'!$1:$1,0))</f>
        <v>0.88799999999999979</v>
      </c>
      <c r="F347" s="18" cm="1">
        <f t="array" ref="F347">INDEX('New credit'!$A:$O,
MATCH(1,('New credit'!$A:$A=$C347)*('New credit'!$D:$D=F$16), 0),
MATCH(F$17,'New credit'!$1:$1,0))</f>
        <v>0.69473138781201915</v>
      </c>
      <c r="G347" s="18">
        <f>INDEX('New credit'!$A:$O,
MATCH($C347, 'New credit'!$A:$A, 0),
MATCH(G$17, 'New credit'!$1:$1, 0))</f>
        <v>0.1596690330701854</v>
      </c>
      <c r="H347" s="18">
        <v>0.15</v>
      </c>
      <c r="I347" s="18" cm="1">
        <f t="array" ref="I347">INDEX('Limit raise'!$A:$O,
MATCH(1,('Limit raise'!$A:$A=$C347)*('Limit raise'!$D:$D=I$16), 0),
MATCH(I$17,'Limit raise'!$1:$1,0))</f>
        <v>0.5714285714285714</v>
      </c>
      <c r="J347" s="18" cm="1">
        <f t="array" ref="J347">INDEX('Limit raise'!$A:$O,
MATCH(1,('Limit raise'!$A:$A=$C347)*('Limit raise'!$D:$D=J$16), 0),
MATCH(J$17,'Limit raise'!$1:$1,0))</f>
        <v>0.84045454545454534</v>
      </c>
      <c r="K347" s="18" cm="1">
        <f t="array" ref="K347">INDEX('Limit raise'!$A:$O,
MATCH(1,('Limit raise'!$A:$A=$C347)*('Limit raise'!$D:$D=K$16), 0),
MATCH(K$17,'Limit raise'!$1:$1,0))</f>
        <v>0.72505385347632145</v>
      </c>
      <c r="L347" s="18">
        <f>INDEX('Limit raise'!$A:$O,
MATCH($C347, 'Limit raise'!$A:$A, 0),
MATCH(L$17,'Limit raise'!$1:$1,0))</f>
        <v>0.115057810863714</v>
      </c>
      <c r="M347" s="18">
        <v>0.15</v>
      </c>
      <c r="N347" s="18"/>
    </row>
    <row r="348" spans="3:14" s="13" customFormat="1" ht="7.2" customHeight="1" x14ac:dyDescent="0.3">
      <c r="C348" s="17">
        <v>330</v>
      </c>
      <c r="D348" s="18" cm="1">
        <f t="array" ref="D348">INDEX('New credit'!$A:$O,
MATCH(1,('New credit'!$A:$A=$C348)*('New credit'!$D:$D=D$16), 0),
MATCH(D$17,'New credit'!$1:$1,0))</f>
        <v>0.7192982456140351</v>
      </c>
      <c r="E348" s="18" cm="1">
        <f t="array" ref="E348">INDEX('New credit'!$A:$O,
MATCH(1,('New credit'!$A:$A=$C348)*('New credit'!$D:$D=E$16), 0),
MATCH(E$17,'New credit'!$1:$1,0))</f>
        <v>0.88565217391304341</v>
      </c>
      <c r="F348" s="18" cm="1">
        <f t="array" ref="F348">INDEX('New credit'!$A:$O,
MATCH(1,('New credit'!$A:$A=$C348)*('New credit'!$D:$D=F$16), 0),
MATCH(F$17,'New credit'!$1:$1,0))</f>
        <v>0.74820256874925117</v>
      </c>
      <c r="G348" s="18">
        <f>INDEX('New credit'!$A:$O,
MATCH($C348, 'New credit'!$A:$A, 0),
MATCH(G$17, 'New credit'!$1:$1, 0))</f>
        <v>1</v>
      </c>
      <c r="H348" s="18">
        <v>0.15</v>
      </c>
      <c r="I348" s="18" cm="1">
        <f t="array" ref="I348">INDEX('Limit raise'!$A:$O,
MATCH(1,('Limit raise'!$A:$A=$C348)*('Limit raise'!$D:$D=I$16), 0),
MATCH(I$17,'Limit raise'!$1:$1,0))</f>
        <v>0.5714285714285714</v>
      </c>
      <c r="J348" s="18" cm="1">
        <f t="array" ref="J348">INDEX('Limit raise'!$A:$O,
MATCH(1,('Limit raise'!$A:$A=$C348)*('Limit raise'!$D:$D=J$16), 0),
MATCH(J$17,'Limit raise'!$1:$1,0))</f>
        <v>0.84652173913043471</v>
      </c>
      <c r="K348" s="18" cm="1">
        <f t="array" ref="K348">INDEX('Limit raise'!$A:$O,
MATCH(1,('Limit raise'!$A:$A=$C348)*('Limit raise'!$D:$D=K$16), 0),
MATCH(K$17,'Limit raise'!$1:$1,0))</f>
        <v>0.72506217483413504</v>
      </c>
      <c r="L348" s="18">
        <f>INDEX('Limit raise'!$A:$O,
MATCH($C348, 'Limit raise'!$A:$A, 0),
MATCH(L$17,'Limit raise'!$1:$1,0))</f>
        <v>0.11619539077842719</v>
      </c>
      <c r="M348" s="18">
        <v>0.15</v>
      </c>
      <c r="N348" s="18"/>
    </row>
    <row r="349" spans="3:14" s="13" customFormat="1" ht="7.2" customHeight="1" x14ac:dyDescent="0.3">
      <c r="C349" s="17">
        <v>331</v>
      </c>
      <c r="D349" s="18" cm="1">
        <f t="array" ref="D349">INDEX('New credit'!$A:$O,
MATCH(1,('New credit'!$A:$A=$C349)*('New credit'!$D:$D=D$16), 0),
MATCH(D$17,'New credit'!$1:$1,0))</f>
        <v>0.72131147540983609</v>
      </c>
      <c r="E349" s="18" cm="1">
        <f t="array" ref="E349">INDEX('New credit'!$A:$O,
MATCH(1,('New credit'!$A:$A=$C349)*('New credit'!$D:$D=E$16), 0),
MATCH(E$17,'New credit'!$1:$1,0))</f>
        <v>0.88719999999999988</v>
      </c>
      <c r="F349" s="18" cm="1">
        <f t="array" ref="F349">INDEX('New credit'!$A:$O,
MATCH(1,('New credit'!$A:$A=$C349)*('New credit'!$D:$D=F$16), 0),
MATCH(F$17,'New credit'!$1:$1,0))</f>
        <v>0.81251999832920196</v>
      </c>
      <c r="G349" s="18">
        <f>INDEX('New credit'!$A:$O,
MATCH($C349, 'New credit'!$A:$A, 0),
MATCH(G$17, 'New credit'!$1:$1, 0))</f>
        <v>0.1013152440363425</v>
      </c>
      <c r="H349" s="18">
        <v>0.15</v>
      </c>
      <c r="I349" s="18" cm="1">
        <f t="array" ref="I349">INDEX('Limit raise'!$A:$O,
MATCH(1,('Limit raise'!$A:$A=$C349)*('Limit raise'!$D:$D=I$16), 0),
MATCH(I$17,'Limit raise'!$1:$1,0))</f>
        <v>0.59677419354838712</v>
      </c>
      <c r="J349" s="18" cm="1">
        <f t="array" ref="J349">INDEX('Limit raise'!$A:$O,
MATCH(1,('Limit raise'!$A:$A=$C349)*('Limit raise'!$D:$D=J$16), 0),
MATCH(J$17,'Limit raise'!$1:$1,0))</f>
        <v>0.84652173913043471</v>
      </c>
      <c r="K349" s="18" cm="1">
        <f t="array" ref="K349">INDEX('Limit raise'!$A:$O,
MATCH(1,('Limit raise'!$A:$A=$C349)*('Limit raise'!$D:$D=K$16), 0),
MATCH(K$17,'Limit raise'!$1:$1,0))</f>
        <v>0.7443963334632081</v>
      </c>
      <c r="L349" s="18">
        <f>INDEX('Limit raise'!$A:$O,
MATCH($C349, 'Limit raise'!$A:$A, 0),
MATCH(L$17,'Limit raise'!$1:$1,0))</f>
        <v>0.1210447993139962</v>
      </c>
      <c r="M349" s="18">
        <v>0.15</v>
      </c>
      <c r="N349" s="18"/>
    </row>
    <row r="350" spans="3:14" s="13" customFormat="1" ht="7.2" customHeight="1" x14ac:dyDescent="0.3">
      <c r="C350" s="17">
        <v>332</v>
      </c>
      <c r="D350" s="18" cm="1">
        <f t="array" ref="D350">INDEX('New credit'!$A:$O,
MATCH(1,('New credit'!$A:$A=$C350)*('New credit'!$D:$D=D$16), 0),
MATCH(D$17,'New credit'!$1:$1,0))</f>
        <v>0.7321428571428571</v>
      </c>
      <c r="E350" s="18" cm="1">
        <f t="array" ref="E350">INDEX('New credit'!$A:$O,
MATCH(1,('New credit'!$A:$A=$C350)*('New credit'!$D:$D=E$16), 0),
MATCH(E$17,'New credit'!$1:$1,0))</f>
        <v>0.85333333333333328</v>
      </c>
      <c r="F350" s="18" cm="1">
        <f t="array" ref="F350">INDEX('New credit'!$A:$O,
MATCH(1,('New credit'!$A:$A=$C350)*('New credit'!$D:$D=F$16), 0),
MATCH(F$17,'New credit'!$1:$1,0))</f>
        <v>0.81493320009612991</v>
      </c>
      <c r="G350" s="18">
        <f>INDEX('New credit'!$A:$O,
MATCH($C350, 'New credit'!$A:$A, 0),
MATCH(G$17, 'New credit'!$1:$1, 0))</f>
        <v>1</v>
      </c>
      <c r="H350" s="18">
        <v>0.15</v>
      </c>
      <c r="I350" s="18" cm="1">
        <f t="array" ref="I350">INDEX('Limit raise'!$A:$O,
MATCH(1,('Limit raise'!$A:$A=$C350)*('Limit raise'!$D:$D=I$16), 0),
MATCH(I$17,'Limit raise'!$1:$1,0))</f>
        <v>0.59677419354838712</v>
      </c>
      <c r="J350" s="18" cm="1">
        <f t="array" ref="J350">INDEX('Limit raise'!$A:$O,
MATCH(1,('Limit raise'!$A:$A=$C350)*('Limit raise'!$D:$D=J$16), 0),
MATCH(J$17,'Limit raise'!$1:$1,0))</f>
        <v>0.84652173913043471</v>
      </c>
      <c r="K350" s="18" cm="1">
        <f t="array" ref="K350">INDEX('Limit raise'!$A:$O,
MATCH(1,('Limit raise'!$A:$A=$C350)*('Limit raise'!$D:$D=K$16), 0),
MATCH(K$17,'Limit raise'!$1:$1,0))</f>
        <v>0.75202734562228146</v>
      </c>
      <c r="L350" s="18">
        <f>INDEX('Limit raise'!$A:$O,
MATCH($C350, 'Limit raise'!$A:$A, 0),
MATCH(L$17,'Limit raise'!$1:$1,0))</f>
        <v>0.12121923001424841</v>
      </c>
      <c r="M350" s="18">
        <v>0.15</v>
      </c>
      <c r="N350" s="18"/>
    </row>
    <row r="351" spans="3:14" s="13" customFormat="1" ht="7.2" customHeight="1" x14ac:dyDescent="0.3">
      <c r="C351" s="17">
        <v>333</v>
      </c>
      <c r="D351" s="18" cm="1">
        <f t="array" ref="D351">INDEX('New credit'!$A:$O,
MATCH(1,('New credit'!$A:$A=$C351)*('New credit'!$D:$D=D$16), 0),
MATCH(D$17,'New credit'!$1:$1,0))</f>
        <v>0.68181818181818177</v>
      </c>
      <c r="E351" s="18" cm="1">
        <f t="array" ref="E351">INDEX('New credit'!$A:$O,
MATCH(1,('New credit'!$A:$A=$C351)*('New credit'!$D:$D=E$16), 0),
MATCH(E$17,'New credit'!$1:$1,0))</f>
        <v>0.85468749999999993</v>
      </c>
      <c r="F351" s="18" cm="1">
        <f t="array" ref="F351">INDEX('New credit'!$A:$O,
MATCH(1,('New credit'!$A:$A=$C351)*('New credit'!$D:$D=F$16), 0),
MATCH(F$17,'New credit'!$1:$1,0))</f>
        <v>0.8002563700979014</v>
      </c>
      <c r="G351" s="18">
        <f>INDEX('New credit'!$A:$O,
MATCH($C351, 'New credit'!$A:$A, 0),
MATCH(G$17, 'New credit'!$1:$1, 0))</f>
        <v>1</v>
      </c>
      <c r="H351" s="18">
        <v>0.15</v>
      </c>
      <c r="I351" s="18" cm="1">
        <f t="array" ref="I351">INDEX('Limit raise'!$A:$O,
MATCH(1,('Limit raise'!$A:$A=$C351)*('Limit raise'!$D:$D=I$16), 0),
MATCH(I$17,'Limit raise'!$1:$1,0))</f>
        <v>0.59677419354838712</v>
      </c>
      <c r="J351" s="18" cm="1">
        <f t="array" ref="J351">INDEX('Limit raise'!$A:$O,
MATCH(1,('Limit raise'!$A:$A=$C351)*('Limit raise'!$D:$D=J$16), 0),
MATCH(J$17,'Limit raise'!$1:$1,0))</f>
        <v>0.84652173913043471</v>
      </c>
      <c r="K351" s="18" cm="1">
        <f t="array" ref="K351">INDEX('Limit raise'!$A:$O,
MATCH(1,('Limit raise'!$A:$A=$C351)*('Limit raise'!$D:$D=K$16), 0),
MATCH(K$17,'Limit raise'!$1:$1,0))</f>
        <v>0.7782411815201048</v>
      </c>
      <c r="L351" s="18">
        <f>INDEX('Limit raise'!$A:$O,
MATCH($C351, 'Limit raise'!$A:$A, 0),
MATCH(L$17,'Limit raise'!$1:$1,0))</f>
        <v>0.1233924144370379</v>
      </c>
      <c r="M351" s="18">
        <v>0.15</v>
      </c>
      <c r="N351" s="18"/>
    </row>
    <row r="352" spans="3:14" s="13" customFormat="1" ht="7.2" customHeight="1" x14ac:dyDescent="0.3">
      <c r="C352" s="17">
        <v>334</v>
      </c>
      <c r="D352" s="18" cm="1">
        <f t="array" ref="D352">INDEX('New credit'!$A:$O,
MATCH(1,('New credit'!$A:$A=$C352)*('New credit'!$D:$D=D$16), 0),
MATCH(D$17,'New credit'!$1:$1,0))</f>
        <v>0.71212121212121215</v>
      </c>
      <c r="E352" s="18" cm="1">
        <f t="array" ref="E352">INDEX('New credit'!$A:$O,
MATCH(1,('New credit'!$A:$A=$C352)*('New credit'!$D:$D=E$16), 0),
MATCH(E$17,'New credit'!$1:$1,0))</f>
        <v>0.84166666666666634</v>
      </c>
      <c r="F352" s="18" cm="1">
        <f t="array" ref="F352">INDEX('New credit'!$A:$O,
MATCH(1,('New credit'!$A:$A=$C352)*('New credit'!$D:$D=F$16), 0),
MATCH(F$17,'New credit'!$1:$1,0))</f>
        <v>0.71975215986206909</v>
      </c>
      <c r="G352" s="18">
        <f>INDEX('New credit'!$A:$O,
MATCH($C352, 'New credit'!$A:$A, 0),
MATCH(G$17, 'New credit'!$1:$1, 0))</f>
        <v>0.1439518872392492</v>
      </c>
      <c r="H352" s="18">
        <v>0.15</v>
      </c>
      <c r="I352" s="18" cm="1">
        <f t="array" ref="I352">INDEX('Limit raise'!$A:$O,
MATCH(1,('Limit raise'!$A:$A=$C352)*('Limit raise'!$D:$D=I$16), 0),
MATCH(I$17,'Limit raise'!$1:$1,0))</f>
        <v>0.6</v>
      </c>
      <c r="J352" s="18" cm="1">
        <f t="array" ref="J352">INDEX('Limit raise'!$A:$O,
MATCH(1,('Limit raise'!$A:$A=$C352)*('Limit raise'!$D:$D=J$16), 0),
MATCH(J$17,'Limit raise'!$1:$1,0))</f>
        <v>0.85043478260869565</v>
      </c>
      <c r="K352" s="18" cm="1">
        <f t="array" ref="K352">INDEX('Limit raise'!$A:$O,
MATCH(1,('Limit raise'!$A:$A=$C352)*('Limit raise'!$D:$D=K$16), 0),
MATCH(K$17,'Limit raise'!$1:$1,0))</f>
        <v>0.76047719230858768</v>
      </c>
      <c r="L352" s="18">
        <f>INDEX('Limit raise'!$A:$O,
MATCH($C352, 'Limit raise'!$A:$A, 0),
MATCH(L$17,'Limit raise'!$1:$1,0))</f>
        <v>0.1228325250900188</v>
      </c>
      <c r="M352" s="18">
        <v>0.15</v>
      </c>
      <c r="N352" s="18"/>
    </row>
    <row r="353" spans="3:14" s="13" customFormat="1" ht="7.2" customHeight="1" x14ac:dyDescent="0.3">
      <c r="C353" s="17">
        <v>335</v>
      </c>
      <c r="D353" s="18" cm="1">
        <f t="array" ref="D353">INDEX('New credit'!$A:$O,
MATCH(1,('New credit'!$A:$A=$C353)*('New credit'!$D:$D=D$16), 0),
MATCH(D$17,'New credit'!$1:$1,0))</f>
        <v>0.72881355932203384</v>
      </c>
      <c r="E353" s="18" cm="1">
        <f t="array" ref="E353">INDEX('New credit'!$A:$O,
MATCH(1,('New credit'!$A:$A=$C353)*('New credit'!$D:$D=E$16), 0),
MATCH(E$17,'New credit'!$1:$1,0))</f>
        <v>0.84999999999999976</v>
      </c>
      <c r="F353" s="18" cm="1">
        <f t="array" ref="F353">INDEX('New credit'!$A:$O,
MATCH(1,('New credit'!$A:$A=$C353)*('New credit'!$D:$D=F$16), 0),
MATCH(F$17,'New credit'!$1:$1,0))</f>
        <v>0.7213944689897227</v>
      </c>
      <c r="G353" s="18">
        <f>INDEX('New credit'!$A:$O,
MATCH($C353, 'New credit'!$A:$A, 0),
MATCH(G$17, 'New credit'!$1:$1, 0))</f>
        <v>0.1357387987551987</v>
      </c>
      <c r="H353" s="18">
        <v>0.15</v>
      </c>
      <c r="I353" s="18" cm="1">
        <f t="array" ref="I353">INDEX('Limit raise'!$A:$O,
MATCH(1,('Limit raise'!$A:$A=$C353)*('Limit raise'!$D:$D=I$16), 0),
MATCH(I$17,'Limit raise'!$1:$1,0))</f>
        <v>0.60655737704918034</v>
      </c>
      <c r="J353" s="18" cm="1">
        <f t="array" ref="J353">INDEX('Limit raise'!$A:$O,
MATCH(1,('Limit raise'!$A:$A=$C353)*('Limit raise'!$D:$D=J$16), 0),
MATCH(J$17,'Limit raise'!$1:$1,0))</f>
        <v>0.84999999999999987</v>
      </c>
      <c r="K353" s="18" cm="1">
        <f t="array" ref="K353">INDEX('Limit raise'!$A:$O,
MATCH(1,('Limit raise'!$A:$A=$C353)*('Limit raise'!$D:$D=K$16), 0),
MATCH(K$17,'Limit raise'!$1:$1,0))</f>
        <v>0.76039074222213765</v>
      </c>
      <c r="L353" s="18">
        <f>INDEX('Limit raise'!$A:$O,
MATCH($C353, 'Limit raise'!$A:$A, 0),
MATCH(L$17,'Limit raise'!$1:$1,0))</f>
        <v>0.12148338221947159</v>
      </c>
      <c r="M353" s="18">
        <v>0.15</v>
      </c>
      <c r="N353" s="18"/>
    </row>
    <row r="354" spans="3:14" s="13" customFormat="1" ht="7.2" customHeight="1" x14ac:dyDescent="0.3">
      <c r="C354" s="17">
        <v>336</v>
      </c>
      <c r="D354" s="18" cm="1">
        <f t="array" ref="D354">INDEX('New credit'!$A:$O,
MATCH(1,('New credit'!$A:$A=$C354)*('New credit'!$D:$D=D$16), 0),
MATCH(D$17,'New credit'!$1:$1,0))</f>
        <v>0.7142857142857143</v>
      </c>
      <c r="E354" s="18" cm="1">
        <f t="array" ref="E354">INDEX('New credit'!$A:$O,
MATCH(1,('New credit'!$A:$A=$C354)*('New credit'!$D:$D=E$16), 0),
MATCH(E$17,'New credit'!$1:$1,0))</f>
        <v>0.88130434782608691</v>
      </c>
      <c r="F354" s="18" cm="1">
        <f t="array" ref="F354">INDEX('New credit'!$A:$O,
MATCH(1,('New credit'!$A:$A=$C354)*('New credit'!$D:$D=F$16), 0),
MATCH(F$17,'New credit'!$1:$1,0))</f>
        <v>0.77940992228458716</v>
      </c>
      <c r="G354" s="18">
        <f>INDEX('New credit'!$A:$O,
MATCH($C354, 'New credit'!$A:$A, 0),
MATCH(G$17, 'New credit'!$1:$1, 0))</f>
        <v>1</v>
      </c>
      <c r="H354" s="18">
        <v>0.15</v>
      </c>
      <c r="I354" s="18" cm="1">
        <f t="array" ref="I354">INDEX('Limit raise'!$A:$O,
MATCH(1,('Limit raise'!$A:$A=$C354)*('Limit raise'!$D:$D=I$16), 0),
MATCH(I$17,'Limit raise'!$1:$1,0))</f>
        <v>0.60655737704918034</v>
      </c>
      <c r="J354" s="18" cm="1">
        <f t="array" ref="J354">INDEX('Limit raise'!$A:$O,
MATCH(1,('Limit raise'!$A:$A=$C354)*('Limit raise'!$D:$D=J$16), 0),
MATCH(J$17,'Limit raise'!$1:$1,0))</f>
        <v>0.84999999999999987</v>
      </c>
      <c r="K354" s="18" cm="1">
        <f t="array" ref="K354">INDEX('Limit raise'!$A:$O,
MATCH(1,('Limit raise'!$A:$A=$C354)*('Limit raise'!$D:$D=K$16), 0),
MATCH(K$17,'Limit raise'!$1:$1,0))</f>
        <v>0.73305380217579774</v>
      </c>
      <c r="L354" s="18">
        <f>INDEX('Limit raise'!$A:$O,
MATCH($C354, 'Limit raise'!$A:$A, 0),
MATCH(L$17,'Limit raise'!$1:$1,0))</f>
        <v>0.12197068911911629</v>
      </c>
      <c r="M354" s="18">
        <v>0.15</v>
      </c>
      <c r="N354" s="18"/>
    </row>
    <row r="355" spans="3:14" s="13" customFormat="1" ht="7.2" customHeight="1" x14ac:dyDescent="0.3">
      <c r="C355" s="17">
        <v>337</v>
      </c>
      <c r="D355" s="18" cm="1">
        <f t="array" ref="D355">INDEX('New credit'!$A:$O,
MATCH(1,('New credit'!$A:$A=$C355)*('New credit'!$D:$D=D$16), 0),
MATCH(D$17,'New credit'!$1:$1,0))</f>
        <v>0.75757575757575757</v>
      </c>
      <c r="E355" s="18" cm="1">
        <f t="array" ref="E355">INDEX('New credit'!$A:$O,
MATCH(1,('New credit'!$A:$A=$C355)*('New credit'!$D:$D=E$16), 0),
MATCH(E$17,'New credit'!$1:$1,0))</f>
        <v>0.85678571428571426</v>
      </c>
      <c r="F355" s="18" cm="1">
        <f t="array" ref="F355">INDEX('New credit'!$A:$O,
MATCH(1,('New credit'!$A:$A=$C355)*('New credit'!$D:$D=F$16), 0),
MATCH(F$17,'New credit'!$1:$1,0))</f>
        <v>0.77579125045397579</v>
      </c>
      <c r="G355" s="18">
        <f>INDEX('New credit'!$A:$O,
MATCH($C355, 'New credit'!$A:$A, 0),
MATCH(G$17, 'New credit'!$1:$1, 0))</f>
        <v>0.120430585242166</v>
      </c>
      <c r="H355" s="18">
        <v>0.15</v>
      </c>
      <c r="I355" s="18" cm="1">
        <f t="array" ref="I355">INDEX('Limit raise'!$A:$O,
MATCH(1,('Limit raise'!$A:$A=$C355)*('Limit raise'!$D:$D=I$16), 0),
MATCH(I$17,'Limit raise'!$1:$1,0))</f>
        <v>0.61016949152542377</v>
      </c>
      <c r="J355" s="18" cm="1">
        <f t="array" ref="J355">INDEX('Limit raise'!$A:$O,
MATCH(1,('Limit raise'!$A:$A=$C355)*('Limit raise'!$D:$D=J$16), 0),
MATCH(J$17,'Limit raise'!$1:$1,0))</f>
        <v>0.85086956521739121</v>
      </c>
      <c r="K355" s="18" cm="1">
        <f t="array" ref="K355">INDEX('Limit raise'!$A:$O,
MATCH(1,('Limit raise'!$A:$A=$C355)*('Limit raise'!$D:$D=K$16), 0),
MATCH(K$17,'Limit raise'!$1:$1,0))</f>
        <v>0.71928243190557273</v>
      </c>
      <c r="L355" s="18">
        <f>INDEX('Limit raise'!$A:$O,
MATCH($C355, 'Limit raise'!$A:$A, 0),
MATCH(L$17,'Limit raise'!$1:$1,0))</f>
        <v>0.12483518481516991</v>
      </c>
      <c r="M355" s="18">
        <v>0.15</v>
      </c>
      <c r="N355" s="18"/>
    </row>
    <row r="356" spans="3:14" s="13" customFormat="1" ht="7.2" customHeight="1" x14ac:dyDescent="0.3">
      <c r="C356" s="17">
        <v>338</v>
      </c>
      <c r="D356" s="18" cm="1">
        <f t="array" ref="D356">INDEX('New credit'!$A:$O,
MATCH(1,('New credit'!$A:$A=$C356)*('New credit'!$D:$D=D$16), 0),
MATCH(D$17,'New credit'!$1:$1,0))</f>
        <v>0.73134328358208955</v>
      </c>
      <c r="E356" s="18" cm="1">
        <f t="array" ref="E356">INDEX('New credit'!$A:$O,
MATCH(1,('New credit'!$A:$A=$C356)*('New credit'!$D:$D=E$16), 0),
MATCH(E$17,'New credit'!$1:$1,0))</f>
        <v>0.85343750000000007</v>
      </c>
      <c r="F356" s="18" cm="1">
        <f t="array" ref="F356">INDEX('New credit'!$A:$O,
MATCH(1,('New credit'!$A:$A=$C356)*('New credit'!$D:$D=F$16), 0),
MATCH(F$17,'New credit'!$1:$1,0))</f>
        <v>0.7756398031047208</v>
      </c>
      <c r="G356" s="18">
        <f>INDEX('New credit'!$A:$O,
MATCH($C356, 'New credit'!$A:$A, 0),
MATCH(G$17, 'New credit'!$1:$1, 0))</f>
        <v>0.1579178361997777</v>
      </c>
      <c r="H356" s="18">
        <v>0.15</v>
      </c>
      <c r="I356" s="18" cm="1">
        <f t="array" ref="I356">INDEX('Limit raise'!$A:$O,
MATCH(1,('Limit raise'!$A:$A=$C356)*('Limit raise'!$D:$D=I$16), 0),
MATCH(I$17,'Limit raise'!$1:$1,0))</f>
        <v>0.6166666666666667</v>
      </c>
      <c r="J356" s="18" cm="1">
        <f t="array" ref="J356">INDEX('Limit raise'!$A:$O,
MATCH(1,('Limit raise'!$A:$A=$C356)*('Limit raise'!$D:$D=J$16), 0),
MATCH(J$17,'Limit raise'!$1:$1,0))</f>
        <v>0.81499999999999995</v>
      </c>
      <c r="K356" s="18" cm="1">
        <f t="array" ref="K356">INDEX('Limit raise'!$A:$O,
MATCH(1,('Limit raise'!$A:$A=$C356)*('Limit raise'!$D:$D=K$16), 0),
MATCH(K$17,'Limit raise'!$1:$1,0))</f>
        <v>0.62578445910087199</v>
      </c>
      <c r="L356" s="18">
        <f>INDEX('Limit raise'!$A:$O,
MATCH($C356, 'Limit raise'!$A:$A, 0),
MATCH(L$17,'Limit raise'!$1:$1,0))</f>
        <v>0.1234221461250347</v>
      </c>
      <c r="M356" s="18">
        <v>0.15</v>
      </c>
      <c r="N356" s="18"/>
    </row>
    <row r="357" spans="3:14" s="13" customFormat="1" ht="7.2" customHeight="1" x14ac:dyDescent="0.3">
      <c r="C357" s="17">
        <v>339</v>
      </c>
      <c r="D357" s="18" cm="1">
        <f t="array" ref="D357">INDEX('New credit'!$A:$O,
MATCH(1,('New credit'!$A:$A=$C357)*('New credit'!$D:$D=D$16), 0),
MATCH(D$17,'New credit'!$1:$1,0))</f>
        <v>0.73333333333333328</v>
      </c>
      <c r="E357" s="18" cm="1">
        <f t="array" ref="E357">INDEX('New credit'!$A:$O,
MATCH(1,('New credit'!$A:$A=$C357)*('New credit'!$D:$D=E$16), 0),
MATCH(E$17,'New credit'!$1:$1,0))</f>
        <v>0.85742857142857121</v>
      </c>
      <c r="F357" s="18" cm="1">
        <f t="array" ref="F357">INDEX('New credit'!$A:$O,
MATCH(1,('New credit'!$A:$A=$C357)*('New credit'!$D:$D=F$16), 0),
MATCH(F$17,'New credit'!$1:$1,0))</f>
        <v>0.78958115679704743</v>
      </c>
      <c r="G357" s="18">
        <f>INDEX('New credit'!$A:$O,
MATCH($C357, 'New credit'!$A:$A, 0),
MATCH(G$17, 'New credit'!$1:$1, 0))</f>
        <v>0.1058648006655078</v>
      </c>
      <c r="H357" s="18">
        <v>0.15</v>
      </c>
      <c r="I357" s="18" cm="1">
        <f t="array" ref="I357">INDEX('Limit raise'!$A:$O,
MATCH(1,('Limit raise'!$A:$A=$C357)*('Limit raise'!$D:$D=I$16), 0),
MATCH(I$17,'Limit raise'!$1:$1,0))</f>
        <v>0.64912280701754388</v>
      </c>
      <c r="J357" s="18" cm="1">
        <f t="array" ref="J357">INDEX('Limit raise'!$A:$O,
MATCH(1,('Limit raise'!$A:$A=$C357)*('Limit raise'!$D:$D=J$16), 0),
MATCH(J$17,'Limit raise'!$1:$1,0))</f>
        <v>0.93095238095238086</v>
      </c>
      <c r="K357" s="18" cm="1">
        <f t="array" ref="K357">INDEX('Limit raise'!$A:$O,
MATCH(1,('Limit raise'!$A:$A=$C357)*('Limit raise'!$D:$D=K$16), 0),
MATCH(K$17,'Limit raise'!$1:$1,0))</f>
        <v>0.88694116048376148</v>
      </c>
      <c r="L357" s="18">
        <f>INDEX('Limit raise'!$A:$O,
MATCH($C357, 'Limit raise'!$A:$A, 0),
MATCH(L$17,'Limit raise'!$1:$1,0))</f>
        <v>1</v>
      </c>
      <c r="M357" s="18">
        <v>0.15</v>
      </c>
      <c r="N357" s="18"/>
    </row>
    <row r="358" spans="3:14" s="13" customFormat="1" ht="7.2" customHeight="1" x14ac:dyDescent="0.3">
      <c r="C358" s="17">
        <v>340</v>
      </c>
      <c r="D358" s="18" cm="1">
        <f t="array" ref="D358">INDEX('New credit'!$A:$O,
MATCH(1,('New credit'!$A:$A=$C358)*('New credit'!$D:$D=D$16), 0),
MATCH(D$17,'New credit'!$1:$1,0))</f>
        <v>0.74193548387096775</v>
      </c>
      <c r="E358" s="18" cm="1">
        <f t="array" ref="E358">INDEX('New credit'!$A:$O,
MATCH(1,('New credit'!$A:$A=$C358)*('New credit'!$D:$D=E$16), 0),
MATCH(E$17,'New credit'!$1:$1,0))</f>
        <v>0.88884615384615395</v>
      </c>
      <c r="F358" s="18" cm="1">
        <f t="array" ref="F358">INDEX('New credit'!$A:$O,
MATCH(1,('New credit'!$A:$A=$C358)*('New credit'!$D:$D=F$16), 0),
MATCH(F$17,'New credit'!$1:$1,0))</f>
        <v>0.83878245632569903</v>
      </c>
      <c r="G358" s="18">
        <f>INDEX('New credit'!$A:$O,
MATCH($C358, 'New credit'!$A:$A, 0),
MATCH(G$17, 'New credit'!$1:$1, 0))</f>
        <v>1</v>
      </c>
      <c r="H358" s="18">
        <v>0.15</v>
      </c>
      <c r="I358" s="18" cm="1">
        <f t="array" ref="I358">INDEX('Limit raise'!$A:$O,
MATCH(1,('Limit raise'!$A:$A=$C358)*('Limit raise'!$D:$D=I$16), 0),
MATCH(I$17,'Limit raise'!$1:$1,0))</f>
        <v>0.6271186440677966</v>
      </c>
      <c r="J358" s="18" cm="1">
        <f t="array" ref="J358">INDEX('Limit raise'!$A:$O,
MATCH(1,('Limit raise'!$A:$A=$C358)*('Limit raise'!$D:$D=J$16), 0),
MATCH(J$17,'Limit raise'!$1:$1,0))</f>
        <v>0.9290476190476189</v>
      </c>
      <c r="K358" s="18" cm="1">
        <f t="array" ref="K358">INDEX('Limit raise'!$A:$O,
MATCH(1,('Limit raise'!$A:$A=$C358)*('Limit raise'!$D:$D=K$16), 0),
MATCH(K$17,'Limit raise'!$1:$1,0))</f>
        <v>0.8850278850278851</v>
      </c>
      <c r="L358" s="18">
        <f>INDEX('Limit raise'!$A:$O,
MATCH($C358, 'Limit raise'!$A:$A, 0),
MATCH(L$17,'Limit raise'!$1:$1,0))</f>
        <v>2.9326570783646248E-2</v>
      </c>
      <c r="M358" s="18">
        <v>0.15</v>
      </c>
      <c r="N358" s="18"/>
    </row>
    <row r="359" spans="3:14" s="13" customFormat="1" ht="7.2" customHeight="1" x14ac:dyDescent="0.3">
      <c r="C359" s="17">
        <v>341</v>
      </c>
      <c r="D359" s="18" cm="1">
        <f t="array" ref="D359">INDEX('New credit'!$A:$O,
MATCH(1,('New credit'!$A:$A=$C359)*('New credit'!$D:$D=D$16), 0),
MATCH(D$17,'New credit'!$1:$1,0))</f>
        <v>0.6875</v>
      </c>
      <c r="E359" s="18" cm="1">
        <f t="array" ref="E359">INDEX('New credit'!$A:$O,
MATCH(1,('New credit'!$A:$A=$C359)*('New credit'!$D:$D=E$16), 0),
MATCH(E$17,'New credit'!$1:$1,0))</f>
        <v>0.86064516129032231</v>
      </c>
      <c r="F359" s="18" cm="1">
        <f t="array" ref="F359">INDEX('New credit'!$A:$O,
MATCH(1,('New credit'!$A:$A=$C359)*('New credit'!$D:$D=F$16), 0),
MATCH(F$17,'New credit'!$1:$1,0))</f>
        <v>0.7775730145228682</v>
      </c>
      <c r="G359" s="18">
        <f>INDEX('New credit'!$A:$O,
MATCH($C359, 'New credit'!$A:$A, 0),
MATCH(G$17, 'New credit'!$1:$1, 0))</f>
        <v>1</v>
      </c>
      <c r="H359" s="18">
        <v>0.15</v>
      </c>
      <c r="I359" s="18" cm="1">
        <f t="array" ref="I359">INDEX('Limit raise'!$A:$O,
MATCH(1,('Limit raise'!$A:$A=$C359)*('Limit raise'!$D:$D=I$16), 0),
MATCH(I$17,'Limit raise'!$1:$1,0))</f>
        <v>0.6271186440677966</v>
      </c>
      <c r="J359" s="18" cm="1">
        <f t="array" ref="J359">INDEX('Limit raise'!$A:$O,
MATCH(1,('Limit raise'!$A:$A=$C359)*('Limit raise'!$D:$D=J$16), 0),
MATCH(J$17,'Limit raise'!$1:$1,0))</f>
        <v>0.92590909090909079</v>
      </c>
      <c r="K359" s="18" cm="1">
        <f t="array" ref="K359">INDEX('Limit raise'!$A:$O,
MATCH(1,('Limit raise'!$A:$A=$C359)*('Limit raise'!$D:$D=K$16), 0),
MATCH(K$17,'Limit raise'!$1:$1,0))</f>
        <v>0.82068027210884342</v>
      </c>
      <c r="L359" s="18">
        <f>INDEX('Limit raise'!$A:$O,
MATCH($C359, 'Limit raise'!$A:$A, 0),
MATCH(L$17,'Limit raise'!$1:$1,0))</f>
        <v>3.4499452108247328E-2</v>
      </c>
      <c r="M359" s="18">
        <v>0.15</v>
      </c>
      <c r="N359" s="18"/>
    </row>
    <row r="360" spans="3:14" s="13" customFormat="1" ht="7.2" customHeight="1" x14ac:dyDescent="0.3">
      <c r="C360" s="17">
        <v>342</v>
      </c>
      <c r="D360" s="18" cm="1">
        <f t="array" ref="D360">INDEX('New credit'!$A:$O,
MATCH(1,('New credit'!$A:$A=$C360)*('New credit'!$D:$D=D$16), 0),
MATCH(D$17,'New credit'!$1:$1,0))</f>
        <v>0.69230769230769229</v>
      </c>
      <c r="E360" s="18" cm="1">
        <f t="array" ref="E360">INDEX('New credit'!$A:$O,
MATCH(1,('New credit'!$A:$A=$C360)*('New credit'!$D:$D=E$16), 0),
MATCH(E$17,'New credit'!$1:$1,0))</f>
        <v>0.86093749999999991</v>
      </c>
      <c r="F360" s="18" cm="1">
        <f t="array" ref="F360">INDEX('New credit'!$A:$O,
MATCH(1,('New credit'!$A:$A=$C360)*('New credit'!$D:$D=F$16), 0),
MATCH(F$17,'New credit'!$1:$1,0))</f>
        <v>0.77711298857297628</v>
      </c>
      <c r="G360" s="18">
        <f>INDEX('New credit'!$A:$O,
MATCH($C360, 'New credit'!$A:$A, 0),
MATCH(G$17, 'New credit'!$1:$1, 0))</f>
        <v>9.0895124080130424E-2</v>
      </c>
      <c r="H360" s="18">
        <v>0.15</v>
      </c>
      <c r="I360" s="18" cm="1">
        <f t="array" ref="I360">INDEX('Limit raise'!$A:$O,
MATCH(1,('Limit raise'!$A:$A=$C360)*('Limit raise'!$D:$D=I$16), 0),
MATCH(I$17,'Limit raise'!$1:$1,0))</f>
        <v>0.6271186440677966</v>
      </c>
      <c r="J360" s="18" cm="1">
        <f t="array" ref="J360">INDEX('Limit raise'!$A:$O,
MATCH(1,('Limit raise'!$A:$A=$C360)*('Limit raise'!$D:$D=J$16), 0),
MATCH(J$17,'Limit raise'!$1:$1,0))</f>
        <v>0.92590909090909079</v>
      </c>
      <c r="K360" s="18" cm="1">
        <f t="array" ref="K360">INDEX('Limit raise'!$A:$O,
MATCH(1,('Limit raise'!$A:$A=$C360)*('Limit raise'!$D:$D=K$16), 0),
MATCH(K$17,'Limit raise'!$1:$1,0))</f>
        <v>0.82226651901070513</v>
      </c>
      <c r="L360" s="18">
        <f>INDEX('Limit raise'!$A:$O,
MATCH($C360, 'Limit raise'!$A:$A, 0),
MATCH(L$17,'Limit raise'!$1:$1,0))</f>
        <v>4.0005475809567689E-2</v>
      </c>
      <c r="M360" s="18">
        <v>0.15</v>
      </c>
      <c r="N360" s="18"/>
    </row>
    <row r="361" spans="3:14" s="13" customFormat="1" ht="7.2" customHeight="1" x14ac:dyDescent="0.3">
      <c r="C361" s="17">
        <v>343</v>
      </c>
      <c r="D361" s="18" cm="1">
        <f t="array" ref="D361">INDEX('New credit'!$A:$O,
MATCH(1,('New credit'!$A:$A=$C361)*('New credit'!$D:$D=D$16), 0),
MATCH(D$17,'New credit'!$1:$1,0))</f>
        <v>0.70491803278688525</v>
      </c>
      <c r="E361" s="18" cm="1">
        <f t="array" ref="E361">INDEX('New credit'!$A:$O,
MATCH(1,('New credit'!$A:$A=$C361)*('New credit'!$D:$D=E$16), 0),
MATCH(E$17,'New credit'!$1:$1,0))</f>
        <v>0.83090909090909082</v>
      </c>
      <c r="F361" s="18" cm="1">
        <f t="array" ref="F361">INDEX('New credit'!$A:$O,
MATCH(1,('New credit'!$A:$A=$C361)*('New credit'!$D:$D=F$16), 0),
MATCH(F$17,'New credit'!$1:$1,0))</f>
        <v>0.77495587207889793</v>
      </c>
      <c r="G361" s="18">
        <f>INDEX('New credit'!$A:$O,
MATCH($C361, 'New credit'!$A:$A, 0),
MATCH(G$17, 'New credit'!$1:$1, 0))</f>
        <v>1</v>
      </c>
      <c r="H361" s="18">
        <v>0.15</v>
      </c>
      <c r="I361" s="18" cm="1">
        <f t="array" ref="I361">INDEX('Limit raise'!$A:$O,
MATCH(1,('Limit raise'!$A:$A=$C361)*('Limit raise'!$D:$D=I$16), 0),
MATCH(I$17,'Limit raise'!$1:$1,0))</f>
        <v>0.6166666666666667</v>
      </c>
      <c r="J361" s="18" cm="1">
        <f t="array" ref="J361">INDEX('Limit raise'!$A:$O,
MATCH(1,('Limit raise'!$A:$A=$C361)*('Limit raise'!$D:$D=J$16), 0),
MATCH(J$17,'Limit raise'!$1:$1,0))</f>
        <v>0.92857142857142838</v>
      </c>
      <c r="K361" s="18" cm="1">
        <f t="array" ref="K361">INDEX('Limit raise'!$A:$O,
MATCH(1,('Limit raise'!$A:$A=$C361)*('Limit raise'!$D:$D=K$16), 0),
MATCH(K$17,'Limit raise'!$1:$1,0))</f>
        <v>0.88296296296296306</v>
      </c>
      <c r="L361" s="18">
        <f>INDEX('Limit raise'!$A:$O,
MATCH($C361, 'Limit raise'!$A:$A, 0),
MATCH(L$17,'Limit raise'!$1:$1,0))</f>
        <v>4.1608038630684942E-2</v>
      </c>
      <c r="M361" s="18">
        <v>0.15</v>
      </c>
      <c r="N361" s="18"/>
    </row>
    <row r="362" spans="3:14" s="13" customFormat="1" ht="7.2" customHeight="1" x14ac:dyDescent="0.3">
      <c r="C362" s="17">
        <v>344</v>
      </c>
      <c r="D362" s="18" cm="1">
        <f t="array" ref="D362">INDEX('New credit'!$A:$O,
MATCH(1,('New credit'!$A:$A=$C362)*('New credit'!$D:$D=D$16), 0),
MATCH(D$17,'New credit'!$1:$1,0))</f>
        <v>0.72580645161290325</v>
      </c>
      <c r="E362" s="18" cm="1">
        <f t="array" ref="E362">INDEX('New credit'!$A:$O,
MATCH(1,('New credit'!$A:$A=$C362)*('New credit'!$D:$D=E$16), 0),
MATCH(E$17,'New credit'!$1:$1,0))</f>
        <v>0.83272727272727254</v>
      </c>
      <c r="F362" s="18" cm="1">
        <f t="array" ref="F362">INDEX('New credit'!$A:$O,
MATCH(1,('New credit'!$A:$A=$C362)*('New credit'!$D:$D=F$16), 0),
MATCH(F$17,'New credit'!$1:$1,0))</f>
        <v>0.74978715767850357</v>
      </c>
      <c r="G362" s="18">
        <f>INDEX('New credit'!$A:$O,
MATCH($C362, 'New credit'!$A:$A, 0),
MATCH(G$17, 'New credit'!$1:$1, 0))</f>
        <v>1</v>
      </c>
      <c r="H362" s="18">
        <v>0.15</v>
      </c>
      <c r="I362" s="18" cm="1">
        <f t="array" ref="I362">INDEX('Limit raise'!$A:$O,
MATCH(1,('Limit raise'!$A:$A=$C362)*('Limit raise'!$D:$D=I$16), 0),
MATCH(I$17,'Limit raise'!$1:$1,0))</f>
        <v>0.60317460317460314</v>
      </c>
      <c r="J362" s="18" cm="1">
        <f t="array" ref="J362">INDEX('Limit raise'!$A:$O,
MATCH(1,('Limit raise'!$A:$A=$C362)*('Limit raise'!$D:$D=J$16), 0),
MATCH(J$17,'Limit raise'!$1:$1,0))</f>
        <v>0.93049999999999977</v>
      </c>
      <c r="K362" s="18" cm="1">
        <f t="array" ref="K362">INDEX('Limit raise'!$A:$O,
MATCH(1,('Limit raise'!$A:$A=$C362)*('Limit raise'!$D:$D=K$16), 0),
MATCH(K$17,'Limit raise'!$1:$1,0))</f>
        <v>0.89515148661490129</v>
      </c>
      <c r="L362" s="18">
        <f>INDEX('Limit raise'!$A:$O,
MATCH($C362, 'Limit raise'!$A:$A, 0),
MATCH(L$17,'Limit raise'!$1:$1,0))</f>
        <v>1</v>
      </c>
      <c r="M362" s="18">
        <v>0.15</v>
      </c>
      <c r="N362" s="18"/>
    </row>
    <row r="363" spans="3:14" s="13" customFormat="1" ht="7.2" customHeight="1" x14ac:dyDescent="0.3">
      <c r="C363" s="17">
        <v>345</v>
      </c>
      <c r="D363" s="18" cm="1">
        <f t="array" ref="D363">INDEX('New credit'!$A:$O,
MATCH(1,('New credit'!$A:$A=$C363)*('New credit'!$D:$D=D$16), 0),
MATCH(D$17,'New credit'!$1:$1,0))</f>
        <v>0.72580645161290325</v>
      </c>
      <c r="E363" s="18" cm="1">
        <f t="array" ref="E363">INDEX('New credit'!$A:$O,
MATCH(1,('New credit'!$A:$A=$C363)*('New credit'!$D:$D=E$16), 0),
MATCH(E$17,'New credit'!$1:$1,0))</f>
        <v>0.82939393939393924</v>
      </c>
      <c r="F363" s="18" cm="1">
        <f t="array" ref="F363">INDEX('New credit'!$A:$O,
MATCH(1,('New credit'!$A:$A=$C363)*('New credit'!$D:$D=F$16), 0),
MATCH(F$17,'New credit'!$1:$1,0))</f>
        <v>0.72072353729031113</v>
      </c>
      <c r="G363" s="18">
        <f>INDEX('New credit'!$A:$O,
MATCH($C363, 'New credit'!$A:$A, 0),
MATCH(G$17, 'New credit'!$1:$1, 0))</f>
        <v>0.1372280052508868</v>
      </c>
      <c r="H363" s="18">
        <v>0.15</v>
      </c>
      <c r="I363" s="18" cm="1">
        <f t="array" ref="I363">INDEX('Limit raise'!$A:$O,
MATCH(1,('Limit raise'!$A:$A=$C363)*('Limit raise'!$D:$D=I$16), 0),
MATCH(I$17,'Limit raise'!$1:$1,0))</f>
        <v>0.61290322580645162</v>
      </c>
      <c r="J363" s="18" cm="1">
        <f t="array" ref="J363">INDEX('Limit raise'!$A:$O,
MATCH(1,('Limit raise'!$A:$A=$C363)*('Limit raise'!$D:$D=J$16), 0),
MATCH(J$17,'Limit raise'!$1:$1,0))</f>
        <v>0.93149999999999977</v>
      </c>
      <c r="K363" s="18" cm="1">
        <f t="array" ref="K363">INDEX('Limit raise'!$A:$O,
MATCH(1,('Limit raise'!$A:$A=$C363)*('Limit raise'!$D:$D=K$16), 0),
MATCH(K$17,'Limit raise'!$1:$1,0))</f>
        <v>0.89421626579698332</v>
      </c>
      <c r="L363" s="18">
        <f>INDEX('Limit raise'!$A:$O,
MATCH($C363, 'Limit raise'!$A:$A, 0),
MATCH(L$17,'Limit raise'!$1:$1,0))</f>
        <v>2.424750151967859E-2</v>
      </c>
      <c r="M363" s="18">
        <v>0.15</v>
      </c>
      <c r="N363" s="18"/>
    </row>
    <row r="364" spans="3:14" s="13" customFormat="1" ht="7.2" customHeight="1" x14ac:dyDescent="0.3">
      <c r="C364" s="17">
        <v>346</v>
      </c>
      <c r="D364" s="18" cm="1">
        <f t="array" ref="D364">INDEX('New credit'!$A:$O,
MATCH(1,('New credit'!$A:$A=$C364)*('New credit'!$D:$D=D$16), 0),
MATCH(D$17,'New credit'!$1:$1,0))</f>
        <v>0.73770491803278693</v>
      </c>
      <c r="E364" s="18" cm="1">
        <f t="array" ref="E364">INDEX('New credit'!$A:$O,
MATCH(1,('New credit'!$A:$A=$C364)*('New credit'!$D:$D=E$16), 0),
MATCH(E$17,'New credit'!$1:$1,0))</f>
        <v>0.85571428571428565</v>
      </c>
      <c r="F364" s="18" cm="1">
        <f t="array" ref="F364">INDEX('New credit'!$A:$O,
MATCH(1,('New credit'!$A:$A=$C364)*('New credit'!$D:$D=F$16), 0),
MATCH(F$17,'New credit'!$1:$1,0))</f>
        <v>0.69204205135769536</v>
      </c>
      <c r="G364" s="18">
        <f>INDEX('New credit'!$A:$O,
MATCH($C364, 'New credit'!$A:$A, 0),
MATCH(G$17, 'New credit'!$1:$1, 0))</f>
        <v>0.15298124629957061</v>
      </c>
      <c r="H364" s="18">
        <v>0.15</v>
      </c>
      <c r="I364" s="18" cm="1">
        <f t="array" ref="I364">INDEX('Limit raise'!$A:$O,
MATCH(1,('Limit raise'!$A:$A=$C364)*('Limit raise'!$D:$D=I$16), 0),
MATCH(I$17,'Limit raise'!$1:$1,0))</f>
        <v>0.62295081967213117</v>
      </c>
      <c r="J364" s="18" cm="1">
        <f t="array" ref="J364">INDEX('Limit raise'!$A:$O,
MATCH(1,('Limit raise'!$A:$A=$C364)*('Limit raise'!$D:$D=J$16), 0),
MATCH(J$17,'Limit raise'!$1:$1,0))</f>
        <v>0.93149999999999977</v>
      </c>
      <c r="K364" s="18" cm="1">
        <f t="array" ref="K364">INDEX('Limit raise'!$A:$O,
MATCH(1,('Limit raise'!$A:$A=$C364)*('Limit raise'!$D:$D=K$16), 0),
MATCH(K$17,'Limit raise'!$1:$1,0))</f>
        <v>0.89297401609045457</v>
      </c>
      <c r="L364" s="18">
        <f>INDEX('Limit raise'!$A:$O,
MATCH($C364, 'Limit raise'!$A:$A, 0),
MATCH(L$17,'Limit raise'!$1:$1,0))</f>
        <v>3.195535200982532E-2</v>
      </c>
      <c r="M364" s="18">
        <v>0.15</v>
      </c>
      <c r="N364" s="18"/>
    </row>
    <row r="365" spans="3:14" s="13" customFormat="1" ht="7.2" customHeight="1" x14ac:dyDescent="0.3">
      <c r="C365" s="17">
        <v>347</v>
      </c>
      <c r="D365" s="18" cm="1">
        <f t="array" ref="D365">INDEX('New credit'!$A:$O,
MATCH(1,('New credit'!$A:$A=$C365)*('New credit'!$D:$D=D$16), 0),
MATCH(D$17,'New credit'!$1:$1,0))</f>
        <v>0.67213114754098358</v>
      </c>
      <c r="E365" s="18" cm="1">
        <f t="array" ref="E365">INDEX('New credit'!$A:$O,
MATCH(1,('New credit'!$A:$A=$C365)*('New credit'!$D:$D=E$16), 0),
MATCH(E$17,'New credit'!$1:$1,0))</f>
        <v>0.85153846153846147</v>
      </c>
      <c r="F365" s="18" cm="1">
        <f t="array" ref="F365">INDEX('New credit'!$A:$O,
MATCH(1,('New credit'!$A:$A=$C365)*('New credit'!$D:$D=F$16), 0),
MATCH(F$17,'New credit'!$1:$1,0))</f>
        <v>0.58172739169994081</v>
      </c>
      <c r="G365" s="18">
        <f>INDEX('New credit'!$A:$O,
MATCH($C365, 'New credit'!$A:$A, 0),
MATCH(G$17, 'New credit'!$1:$1, 0))</f>
        <v>8.5890612779018202E-2</v>
      </c>
      <c r="H365" s="18">
        <v>0.15</v>
      </c>
      <c r="I365" s="18" cm="1">
        <f t="array" ref="I365">INDEX('Limit raise'!$A:$O,
MATCH(1,('Limit raise'!$A:$A=$C365)*('Limit raise'!$D:$D=I$16), 0),
MATCH(I$17,'Limit raise'!$1:$1,0))</f>
        <v>0.61904761904761907</v>
      </c>
      <c r="J365" s="18" cm="1">
        <f t="array" ref="J365">INDEX('Limit raise'!$A:$O,
MATCH(1,('Limit raise'!$A:$A=$C365)*('Limit raise'!$D:$D=J$16), 0),
MATCH(J$17,'Limit raise'!$1:$1,0))</f>
        <v>0.93149999999999977</v>
      </c>
      <c r="K365" s="18" cm="1">
        <f t="array" ref="K365">INDEX('Limit raise'!$A:$O,
MATCH(1,('Limit raise'!$A:$A=$C365)*('Limit raise'!$D:$D=K$16), 0),
MATCH(K$17,'Limit raise'!$1:$1,0))</f>
        <v>0.8705089315807214</v>
      </c>
      <c r="L365" s="18">
        <f>INDEX('Limit raise'!$A:$O,
MATCH($C365, 'Limit raise'!$A:$A, 0),
MATCH(L$17,'Limit raise'!$1:$1,0))</f>
        <v>4.1083204862885143E-2</v>
      </c>
      <c r="M365" s="18">
        <v>0.15</v>
      </c>
      <c r="N365" s="18"/>
    </row>
    <row r="366" spans="3:14" s="13" customFormat="1" ht="7.2" customHeight="1" x14ac:dyDescent="0.3">
      <c r="C366" s="17">
        <v>348</v>
      </c>
      <c r="D366" s="18" cm="1">
        <f t="array" ref="D366">INDEX('New credit'!$A:$O,
MATCH(1,('New credit'!$A:$A=$C366)*('New credit'!$D:$D=D$16), 0),
MATCH(D$17,'New credit'!$1:$1,0))</f>
        <v>0.676056338028169</v>
      </c>
      <c r="E366" s="18" cm="1">
        <f t="array" ref="E366">INDEX('New credit'!$A:$O,
MATCH(1,('New credit'!$A:$A=$C366)*('New credit'!$D:$D=E$16), 0),
MATCH(E$17,'New credit'!$1:$1,0))</f>
        <v>0.85066666666666646</v>
      </c>
      <c r="F366" s="18" cm="1">
        <f t="array" ref="F366">INDEX('New credit'!$A:$O,
MATCH(1,('New credit'!$A:$A=$C366)*('New credit'!$D:$D=F$16), 0),
MATCH(F$17,'New credit'!$1:$1,0))</f>
        <v>0.75294736934813833</v>
      </c>
      <c r="G366" s="18">
        <f>INDEX('New credit'!$A:$O,
MATCH($C366, 'New credit'!$A:$A, 0),
MATCH(G$17, 'New credit'!$1:$1, 0))</f>
        <v>0.1657999988504138</v>
      </c>
      <c r="H366" s="18">
        <v>0.15</v>
      </c>
      <c r="I366" s="18" cm="1">
        <f t="array" ref="I366">INDEX('Limit raise'!$A:$O,
MATCH(1,('Limit raise'!$A:$A=$C366)*('Limit raise'!$D:$D=I$16), 0),
MATCH(I$17,'Limit raise'!$1:$1,0))</f>
        <v>0.61904761904761907</v>
      </c>
      <c r="J366" s="18" cm="1">
        <f t="array" ref="J366">INDEX('Limit raise'!$A:$O,
MATCH(1,('Limit raise'!$A:$A=$C366)*('Limit raise'!$D:$D=J$16), 0),
MATCH(J$17,'Limit raise'!$1:$1,0))</f>
        <v>0.97999999999999987</v>
      </c>
      <c r="K366" s="18" cm="1">
        <f t="array" ref="K366">INDEX('Limit raise'!$A:$O,
MATCH(1,('Limit raise'!$A:$A=$C366)*('Limit raise'!$D:$D=K$16), 0),
MATCH(K$17,'Limit raise'!$1:$1,0))</f>
        <v>0.87422839506172834</v>
      </c>
      <c r="L366" s="18">
        <f>INDEX('Limit raise'!$A:$O,
MATCH($C366, 'Limit raise'!$A:$A, 0),
MATCH(L$17,'Limit raise'!$1:$1,0))</f>
        <v>4.0645831174495203E-2</v>
      </c>
      <c r="M366" s="18">
        <v>0.15</v>
      </c>
      <c r="N366" s="18"/>
    </row>
    <row r="367" spans="3:14" s="13" customFormat="1" ht="7.2" customHeight="1" x14ac:dyDescent="0.3">
      <c r="C367" s="17">
        <v>349</v>
      </c>
      <c r="D367" s="18" cm="1">
        <f t="array" ref="D367">INDEX('New credit'!$A:$O,
MATCH(1,('New credit'!$A:$A=$C367)*('New credit'!$D:$D=D$16), 0),
MATCH(D$17,'New credit'!$1:$1,0))</f>
        <v>0.7142857142857143</v>
      </c>
      <c r="E367" s="18" cm="1">
        <f t="array" ref="E367">INDEX('New credit'!$A:$O,
MATCH(1,('New credit'!$A:$A=$C367)*('New credit'!$D:$D=E$16), 0),
MATCH(E$17,'New credit'!$1:$1,0))</f>
        <v>0.85531249999999981</v>
      </c>
      <c r="F367" s="18" cm="1">
        <f t="array" ref="F367">INDEX('New credit'!$A:$O,
MATCH(1,('New credit'!$A:$A=$C367)*('New credit'!$D:$D=F$16), 0),
MATCH(F$17,'New credit'!$1:$1,0))</f>
        <v>0.77120335991496736</v>
      </c>
      <c r="G367" s="18">
        <f>INDEX('New credit'!$A:$O,
MATCH($C367, 'New credit'!$A:$A, 0),
MATCH(G$17, 'New credit'!$1:$1, 0))</f>
        <v>7.2742506991248512E-2</v>
      </c>
      <c r="H367" s="18">
        <v>0.15</v>
      </c>
      <c r="I367" s="18" cm="1">
        <f t="array" ref="I367">INDEX('Limit raise'!$A:$O,
MATCH(1,('Limit raise'!$A:$A=$C367)*('Limit raise'!$D:$D=I$16), 0),
MATCH(I$17,'Limit raise'!$1:$1,0))</f>
        <v>0.60317460317460314</v>
      </c>
      <c r="J367" s="18" cm="1">
        <f t="array" ref="J367">INDEX('Limit raise'!$A:$O,
MATCH(1,('Limit raise'!$A:$A=$C367)*('Limit raise'!$D:$D=J$16), 0),
MATCH(J$17,'Limit raise'!$1:$1,0))</f>
        <v>0.92999999999999994</v>
      </c>
      <c r="K367" s="18" cm="1">
        <f t="array" ref="K367">INDEX('Limit raise'!$A:$O,
MATCH(1,('Limit raise'!$A:$A=$C367)*('Limit raise'!$D:$D=K$16), 0),
MATCH(K$17,'Limit raise'!$1:$1,0))</f>
        <v>0.87511980065171546</v>
      </c>
      <c r="L367" s="18">
        <f>INDEX('Limit raise'!$A:$O,
MATCH($C367, 'Limit raise'!$A:$A, 0),
MATCH(L$17,'Limit raise'!$1:$1,0))</f>
        <v>4.1045962199182107E-2</v>
      </c>
      <c r="M367" s="18">
        <v>0.15</v>
      </c>
      <c r="N367" s="18"/>
    </row>
    <row r="368" spans="3:14" s="13" customFormat="1" ht="7.2" customHeight="1" x14ac:dyDescent="0.3">
      <c r="C368" s="17">
        <v>350</v>
      </c>
      <c r="D368" s="18" cm="1">
        <f t="array" ref="D368">INDEX('New credit'!$A:$O,
MATCH(1,('New credit'!$A:$A=$C368)*('New credit'!$D:$D=D$16), 0),
MATCH(D$17,'New credit'!$1:$1,0))</f>
        <v>0.68181818181818177</v>
      </c>
      <c r="E368" s="18" cm="1">
        <f t="array" ref="E368">INDEX('New credit'!$A:$O,
MATCH(1,('New credit'!$A:$A=$C368)*('New credit'!$D:$D=E$16), 0),
MATCH(E$17,'New credit'!$1:$1,0))</f>
        <v>0.85612903225806447</v>
      </c>
      <c r="F368" s="18" cm="1">
        <f t="array" ref="F368">INDEX('New credit'!$A:$O,
MATCH(1,('New credit'!$A:$A=$C368)*('New credit'!$D:$D=F$16), 0),
MATCH(F$17,'New credit'!$1:$1,0))</f>
        <v>0.76248634696686646</v>
      </c>
      <c r="G368" s="18">
        <f>INDEX('New credit'!$A:$O,
MATCH($C368, 'New credit'!$A:$A, 0),
MATCH(G$17, 'New credit'!$1:$1, 0))</f>
        <v>1</v>
      </c>
      <c r="H368" s="18">
        <v>0.15</v>
      </c>
      <c r="I368" s="18" cm="1">
        <f t="array" ref="I368">INDEX('Limit raise'!$A:$O,
MATCH(1,('Limit raise'!$A:$A=$C368)*('Limit raise'!$D:$D=I$16), 0),
MATCH(I$17,'Limit raise'!$1:$1,0))</f>
        <v>0.61290322580645162</v>
      </c>
      <c r="J368" s="18" cm="1">
        <f t="array" ref="J368">INDEX('Limit raise'!$A:$O,
MATCH(1,('Limit raise'!$A:$A=$C368)*('Limit raise'!$D:$D=J$16), 0),
MATCH(J$17,'Limit raise'!$1:$1,0))</f>
        <v>0.92999999999999994</v>
      </c>
      <c r="K368" s="18" cm="1">
        <f t="array" ref="K368">INDEX('Limit raise'!$A:$O,
MATCH(1,('Limit raise'!$A:$A=$C368)*('Limit raise'!$D:$D=K$16), 0),
MATCH(K$17,'Limit raise'!$1:$1,0))</f>
        <v>0.84234109897869514</v>
      </c>
      <c r="L368" s="18">
        <f>INDEX('Limit raise'!$A:$O,
MATCH($C368, 'Limit raise'!$A:$A, 0),
MATCH(L$17,'Limit raise'!$1:$1,0))</f>
        <v>4.7851183074495457E-2</v>
      </c>
      <c r="M368" s="18">
        <v>0.15</v>
      </c>
      <c r="N368" s="18"/>
    </row>
    <row r="369" spans="3:14" s="13" customFormat="1" ht="7.2" customHeight="1" x14ac:dyDescent="0.3">
      <c r="C369" s="17">
        <v>351</v>
      </c>
      <c r="D369" s="18" cm="1">
        <f t="array" ref="D369">INDEX('New credit'!$A:$O,
MATCH(1,('New credit'!$A:$A=$C369)*('New credit'!$D:$D=D$16), 0),
MATCH(D$17,'New credit'!$1:$1,0))</f>
        <v>0.7384615384615385</v>
      </c>
      <c r="E369" s="18" cm="1">
        <f t="array" ref="E369">INDEX('New credit'!$A:$O,
MATCH(1,('New credit'!$A:$A=$C369)*('New credit'!$D:$D=E$16), 0),
MATCH(E$17,'New credit'!$1:$1,0))</f>
        <v>0.85962962962962952</v>
      </c>
      <c r="F369" s="18" cm="1">
        <f t="array" ref="F369">INDEX('New credit'!$A:$O,
MATCH(1,('New credit'!$A:$A=$C369)*('New credit'!$D:$D=F$16), 0),
MATCH(F$17,'New credit'!$1:$1,0))</f>
        <v>0.76165909032119616</v>
      </c>
      <c r="G369" s="18">
        <f>INDEX('New credit'!$A:$O,
MATCH($C369, 'New credit'!$A:$A, 0),
MATCH(G$17, 'New credit'!$1:$1, 0))</f>
        <v>1</v>
      </c>
      <c r="H369" s="18">
        <v>0.15</v>
      </c>
      <c r="I369" s="18" cm="1">
        <f t="array" ref="I369">INDEX('Limit raise'!$A:$O,
MATCH(1,('Limit raise'!$A:$A=$C369)*('Limit raise'!$D:$D=I$16), 0),
MATCH(I$17,'Limit raise'!$1:$1,0))</f>
        <v>0.5901639344262295</v>
      </c>
      <c r="J369" s="18" cm="1">
        <f t="array" ref="J369">INDEX('Limit raise'!$A:$O,
MATCH(1,('Limit raise'!$A:$A=$C369)*('Limit raise'!$D:$D=J$16), 0),
MATCH(J$17,'Limit raise'!$1:$1,0))</f>
        <v>0.93049999999999977</v>
      </c>
      <c r="K369" s="18" cm="1">
        <f t="array" ref="K369">INDEX('Limit raise'!$A:$O,
MATCH(1,('Limit raise'!$A:$A=$C369)*('Limit raise'!$D:$D=K$16), 0),
MATCH(K$17,'Limit raise'!$1:$1,0))</f>
        <v>0.78013013013013011</v>
      </c>
      <c r="L369" s="18">
        <f>INDEX('Limit raise'!$A:$O,
MATCH($C369, 'Limit raise'!$A:$A, 0),
MATCH(L$17,'Limit raise'!$1:$1,0))</f>
        <v>4.9392798201403937E-2</v>
      </c>
      <c r="M369" s="18">
        <v>0.15</v>
      </c>
      <c r="N369" s="18"/>
    </row>
    <row r="370" spans="3:14" s="13" customFormat="1" ht="7.2" customHeight="1" x14ac:dyDescent="0.3">
      <c r="C370" s="17">
        <v>352</v>
      </c>
      <c r="D370" s="18" cm="1">
        <f t="array" ref="D370">INDEX('New credit'!$A:$O,
MATCH(1,('New credit'!$A:$A=$C370)*('New credit'!$D:$D=D$16), 0),
MATCH(D$17,'New credit'!$1:$1,0))</f>
        <v>0.67164179104477617</v>
      </c>
      <c r="E370" s="18" cm="1">
        <f t="array" ref="E370">INDEX('New credit'!$A:$O,
MATCH(1,('New credit'!$A:$A=$C370)*('New credit'!$D:$D=E$16), 0),
MATCH(E$17,'New credit'!$1:$1,0))</f>
        <v>0.85269230769230764</v>
      </c>
      <c r="F370" s="18" cm="1">
        <f t="array" ref="F370">INDEX('New credit'!$A:$O,
MATCH(1,('New credit'!$A:$A=$C370)*('New credit'!$D:$D=F$16), 0),
MATCH(F$17,'New credit'!$1:$1,0))</f>
        <v>0.75099071183994437</v>
      </c>
      <c r="G370" s="18">
        <f>INDEX('New credit'!$A:$O,
MATCH($C370, 'New credit'!$A:$A, 0),
MATCH(G$17, 'New credit'!$1:$1, 0))</f>
        <v>8.936514177354643E-2</v>
      </c>
      <c r="H370" s="18">
        <v>0.15</v>
      </c>
      <c r="I370" s="18" cm="1">
        <f t="array" ref="I370">INDEX('Limit raise'!$A:$O,
MATCH(1,('Limit raise'!$A:$A=$C370)*('Limit raise'!$D:$D=I$16), 0),
MATCH(I$17,'Limit raise'!$1:$1,0))</f>
        <v>0.61290322580645162</v>
      </c>
      <c r="J370" s="18" cm="1">
        <f t="array" ref="J370">INDEX('Limit raise'!$A:$O,
MATCH(1,('Limit raise'!$A:$A=$C370)*('Limit raise'!$D:$D=J$16), 0),
MATCH(J$17,'Limit raise'!$1:$1,0))</f>
        <v>0.93049999999999977</v>
      </c>
      <c r="K370" s="18" cm="1">
        <f t="array" ref="K370">INDEX('Limit raise'!$A:$O,
MATCH(1,('Limit raise'!$A:$A=$C370)*('Limit raise'!$D:$D=K$16), 0),
MATCH(K$17,'Limit raise'!$1:$1,0))</f>
        <v>0.80994611912043102</v>
      </c>
      <c r="L370" s="18">
        <f>INDEX('Limit raise'!$A:$O,
MATCH($C370, 'Limit raise'!$A:$A, 0),
MATCH(L$17,'Limit raise'!$1:$1,0))</f>
        <v>5.129783449010171E-2</v>
      </c>
      <c r="M370" s="18">
        <v>0.15</v>
      </c>
      <c r="N370" s="18"/>
    </row>
    <row r="371" spans="3:14" s="13" customFormat="1" ht="7.2" customHeight="1" x14ac:dyDescent="0.3">
      <c r="C371" s="17">
        <v>353</v>
      </c>
      <c r="D371" s="18" cm="1">
        <f t="array" ref="D371">INDEX('New credit'!$A:$O,
MATCH(1,('New credit'!$A:$A=$C371)*('New credit'!$D:$D=D$16), 0),
MATCH(D$17,'New credit'!$1:$1,0))</f>
        <v>0.71641791044776115</v>
      </c>
      <c r="E371" s="18" cm="1">
        <f t="array" ref="E371">INDEX('New credit'!$A:$O,
MATCH(1,('New credit'!$A:$A=$C371)*('New credit'!$D:$D=E$16), 0),
MATCH(E$17,'New credit'!$1:$1,0))</f>
        <v>0.82115384615384612</v>
      </c>
      <c r="F371" s="18" cm="1">
        <f t="array" ref="F371">INDEX('New credit'!$A:$O,
MATCH(1,('New credit'!$A:$A=$C371)*('New credit'!$D:$D=F$16), 0),
MATCH(F$17,'New credit'!$1:$1,0))</f>
        <v>0.653400907207912</v>
      </c>
      <c r="G371" s="18">
        <f>INDEX('New credit'!$A:$O,
MATCH($C371, 'New credit'!$A:$A, 0),
MATCH(G$17, 'New credit'!$1:$1, 0))</f>
        <v>0.12073938566589749</v>
      </c>
      <c r="H371" s="18">
        <v>0.15</v>
      </c>
      <c r="I371" s="18" cm="1">
        <f t="array" ref="I371">INDEX('Limit raise'!$A:$O,
MATCH(1,('Limit raise'!$A:$A=$C371)*('Limit raise'!$D:$D=I$16), 0),
MATCH(I$17,'Limit raise'!$1:$1,0))</f>
        <v>0.61290322580645162</v>
      </c>
      <c r="J371" s="18" cm="1">
        <f t="array" ref="J371">INDEX('Limit raise'!$A:$O,
MATCH(1,('Limit raise'!$A:$A=$C371)*('Limit raise'!$D:$D=J$16), 0),
MATCH(J$17,'Limit raise'!$1:$1,0))</f>
        <v>0.93099999999999983</v>
      </c>
      <c r="K371" s="18" cm="1">
        <f t="array" ref="K371">INDEX('Limit raise'!$A:$O,
MATCH(1,('Limit raise'!$A:$A=$C371)*('Limit raise'!$D:$D=K$16), 0),
MATCH(K$17,'Limit raise'!$1:$1,0))</f>
        <v>0.8027126225841601</v>
      </c>
      <c r="L371" s="18">
        <f>INDEX('Limit raise'!$A:$O,
MATCH($C371, 'Limit raise'!$A:$A, 0),
MATCH(L$17,'Limit raise'!$1:$1,0))</f>
        <v>5.2661051131022221E-2</v>
      </c>
      <c r="M371" s="18">
        <v>0.15</v>
      </c>
      <c r="N371" s="18"/>
    </row>
    <row r="372" spans="3:14" s="13" customFormat="1" ht="7.2" customHeight="1" x14ac:dyDescent="0.3">
      <c r="C372" s="17">
        <v>354</v>
      </c>
      <c r="D372" s="18" cm="1">
        <f t="array" ref="D372">INDEX('New credit'!$A:$O,
MATCH(1,('New credit'!$A:$A=$C372)*('New credit'!$D:$D=D$16), 0),
MATCH(D$17,'New credit'!$1:$1,0))</f>
        <v>0.65753424657534243</v>
      </c>
      <c r="E372" s="18" cm="1">
        <f t="array" ref="E372">INDEX('New credit'!$A:$O,
MATCH(1,('New credit'!$A:$A=$C372)*('New credit'!$D:$D=E$16), 0),
MATCH(E$17,'New credit'!$1:$1,0))</f>
        <v>0.85878787878787832</v>
      </c>
      <c r="F372" s="18" cm="1">
        <f t="array" ref="F372">INDEX('New credit'!$A:$O,
MATCH(1,('New credit'!$A:$A=$C372)*('New credit'!$D:$D=F$16), 0),
MATCH(F$17,'New credit'!$1:$1,0))</f>
        <v>0.75921136747506746</v>
      </c>
      <c r="G372" s="18">
        <f>INDEX('New credit'!$A:$O,
MATCH($C372, 'New credit'!$A:$A, 0),
MATCH(G$17, 'New credit'!$1:$1, 0))</f>
        <v>0.15093927999016529</v>
      </c>
      <c r="H372" s="18">
        <v>0.15</v>
      </c>
      <c r="I372" s="18" cm="1">
        <f t="array" ref="I372">INDEX('Limit raise'!$A:$O,
MATCH(1,('Limit raise'!$A:$A=$C372)*('Limit raise'!$D:$D=I$16), 0),
MATCH(I$17,'Limit raise'!$1:$1,0))</f>
        <v>0.60317460317460314</v>
      </c>
      <c r="J372" s="18" cm="1">
        <f t="array" ref="J372">INDEX('Limit raise'!$A:$O,
MATCH(1,('Limit raise'!$A:$A=$C372)*('Limit raise'!$D:$D=J$16), 0),
MATCH(J$17,'Limit raise'!$1:$1,0))</f>
        <v>0.93049999999999977</v>
      </c>
      <c r="K372" s="18" cm="1">
        <f t="array" ref="K372">INDEX('Limit raise'!$A:$O,
MATCH(1,('Limit raise'!$A:$A=$C372)*('Limit raise'!$D:$D=K$16), 0),
MATCH(K$17,'Limit raise'!$1:$1,0))</f>
        <v>0.77729862131066796</v>
      </c>
      <c r="L372" s="18">
        <f>INDEX('Limit raise'!$A:$O,
MATCH($C372, 'Limit raise'!$A:$A, 0),
MATCH(L$17,'Limit raise'!$1:$1,0))</f>
        <v>4.881100202029813E-2</v>
      </c>
      <c r="M372" s="18">
        <v>0.15</v>
      </c>
      <c r="N372" s="18"/>
    </row>
    <row r="373" spans="3:14" s="13" customFormat="1" ht="7.2" customHeight="1" x14ac:dyDescent="0.3">
      <c r="C373" s="17">
        <v>355</v>
      </c>
      <c r="D373" s="18" cm="1">
        <f t="array" ref="D373">INDEX('New credit'!$A:$O,
MATCH(1,('New credit'!$A:$A=$C373)*('New credit'!$D:$D=D$16), 0),
MATCH(D$17,'New credit'!$1:$1,0))</f>
        <v>0.66666666666666663</v>
      </c>
      <c r="E373" s="18" cm="1">
        <f t="array" ref="E373">INDEX('New credit'!$A:$O,
MATCH(1,('New credit'!$A:$A=$C373)*('New credit'!$D:$D=E$16), 0),
MATCH(E$17,'New credit'!$1:$1,0))</f>
        <v>0.85967741935483832</v>
      </c>
      <c r="F373" s="18" cm="1">
        <f t="array" ref="F373">INDEX('New credit'!$A:$O,
MATCH(1,('New credit'!$A:$A=$C373)*('New credit'!$D:$D=F$16), 0),
MATCH(F$17,'New credit'!$1:$1,0))</f>
        <v>0.7631097515393539</v>
      </c>
      <c r="G373" s="18">
        <f>INDEX('New credit'!$A:$O,
MATCH($C373, 'New credit'!$A:$A, 0),
MATCH(G$17, 'New credit'!$1:$1, 0))</f>
        <v>0.13267483612652359</v>
      </c>
      <c r="H373" s="18">
        <v>0.15</v>
      </c>
      <c r="I373" s="18" cm="1">
        <f t="array" ref="I373">INDEX('Limit raise'!$A:$O,
MATCH(1,('Limit raise'!$A:$A=$C373)*('Limit raise'!$D:$D=I$16), 0),
MATCH(I$17,'Limit raise'!$1:$1,0))</f>
        <v>0.6</v>
      </c>
      <c r="J373" s="18" cm="1">
        <f t="array" ref="J373">INDEX('Limit raise'!$A:$O,
MATCH(1,('Limit raise'!$A:$A=$C373)*('Limit raise'!$D:$D=J$16), 0),
MATCH(J$17,'Limit raise'!$1:$1,0))</f>
        <v>0.93099999999999983</v>
      </c>
      <c r="K373" s="18" cm="1">
        <f t="array" ref="K373">INDEX('Limit raise'!$A:$O,
MATCH(1,('Limit raise'!$A:$A=$C373)*('Limit raise'!$D:$D=K$16), 0),
MATCH(K$17,'Limit raise'!$1:$1,0))</f>
        <v>0.77097678011355097</v>
      </c>
      <c r="L373" s="18">
        <f>INDEX('Limit raise'!$A:$O,
MATCH($C373, 'Limit raise'!$A:$A, 0),
MATCH(L$17,'Limit raise'!$1:$1,0))</f>
        <v>5.9924442262459257E-2</v>
      </c>
      <c r="M373" s="18">
        <v>0.15</v>
      </c>
      <c r="N373" s="18"/>
    </row>
    <row r="374" spans="3:14" s="13" customFormat="1" ht="7.2" customHeight="1" x14ac:dyDescent="0.3">
      <c r="C374" s="17">
        <v>356</v>
      </c>
      <c r="D374" s="18" cm="1">
        <f t="array" ref="D374">INDEX('New credit'!$A:$O,
MATCH(1,('New credit'!$A:$A=$C374)*('New credit'!$D:$D=D$16), 0),
MATCH(D$17,'New credit'!$1:$1,0))</f>
        <v>0.67164179104477617</v>
      </c>
      <c r="E374" s="18" cm="1">
        <f t="array" ref="E374">INDEX('New credit'!$A:$O,
MATCH(1,('New credit'!$A:$A=$C374)*('New credit'!$D:$D=E$16), 0),
MATCH(E$17,'New credit'!$1:$1,0))</f>
        <v>0.85941176470588199</v>
      </c>
      <c r="F374" s="18" cm="1">
        <f t="array" ref="F374">INDEX('New credit'!$A:$O,
MATCH(1,('New credit'!$A:$A=$C374)*('New credit'!$D:$D=F$16), 0),
MATCH(F$17,'New credit'!$1:$1,0))</f>
        <v>0.79019472536853541</v>
      </c>
      <c r="G374" s="18">
        <f>INDEX('New credit'!$A:$O,
MATCH($C374, 'New credit'!$A:$A, 0),
MATCH(G$17, 'New credit'!$1:$1, 0))</f>
        <v>0.14475282381566509</v>
      </c>
      <c r="H374" s="18">
        <v>0.15</v>
      </c>
      <c r="I374" s="18" cm="1">
        <f t="array" ref="I374">INDEX('Limit raise'!$A:$O,
MATCH(1,('Limit raise'!$A:$A=$C374)*('Limit raise'!$D:$D=I$16), 0),
MATCH(I$17,'Limit raise'!$1:$1,0))</f>
        <v>0.59375</v>
      </c>
      <c r="J374" s="18" cm="1">
        <f t="array" ref="J374">INDEX('Limit raise'!$A:$O,
MATCH(1,('Limit raise'!$A:$A=$C374)*('Limit raise'!$D:$D=J$16), 0),
MATCH(J$17,'Limit raise'!$1:$1,0))</f>
        <v>0.92999999999999994</v>
      </c>
      <c r="K374" s="18" cm="1">
        <f t="array" ref="K374">INDEX('Limit raise'!$A:$O,
MATCH(1,('Limit raise'!$A:$A=$C374)*('Limit raise'!$D:$D=K$16), 0),
MATCH(K$17,'Limit raise'!$1:$1,0))</f>
        <v>0.87279069767441853</v>
      </c>
      <c r="L374" s="18">
        <f>INDEX('Limit raise'!$A:$O,
MATCH($C374, 'Limit raise'!$A:$A, 0),
MATCH(L$17,'Limit raise'!$1:$1,0))</f>
        <v>6.5049724445928811E-2</v>
      </c>
      <c r="M374" s="18">
        <v>0.15</v>
      </c>
      <c r="N374" s="18"/>
    </row>
    <row r="375" spans="3:14" s="13" customFormat="1" ht="7.2" customHeight="1" x14ac:dyDescent="0.3">
      <c r="C375" s="17">
        <v>357</v>
      </c>
      <c r="D375" s="18" cm="1">
        <f t="array" ref="D375">INDEX('New credit'!$A:$O,
MATCH(1,('New credit'!$A:$A=$C375)*('New credit'!$D:$D=D$16), 0),
MATCH(D$17,'New credit'!$1:$1,0))</f>
        <v>0.77586206896551724</v>
      </c>
      <c r="E375" s="18" cm="1">
        <f t="array" ref="E375">INDEX('New credit'!$A:$O,
MATCH(1,('New credit'!$A:$A=$C375)*('New credit'!$D:$D=E$16), 0),
MATCH(E$17,'New credit'!$1:$1,0))</f>
        <v>0.85653846153846136</v>
      </c>
      <c r="F375" s="18" cm="1">
        <f t="array" ref="F375">INDEX('New credit'!$A:$O,
MATCH(1,('New credit'!$A:$A=$C375)*('New credit'!$D:$D=F$16), 0),
MATCH(F$17,'New credit'!$1:$1,0))</f>
        <v>0.81659819938766687</v>
      </c>
      <c r="G375" s="18">
        <f>INDEX('New credit'!$A:$O,
MATCH($C375, 'New credit'!$A:$A, 0),
MATCH(G$17, 'New credit'!$1:$1, 0))</f>
        <v>1</v>
      </c>
      <c r="H375" s="18">
        <v>0.15</v>
      </c>
      <c r="I375" s="18" cm="1">
        <f t="array" ref="I375">INDEX('Limit raise'!$A:$O,
MATCH(1,('Limit raise'!$A:$A=$C375)*('Limit raise'!$D:$D=I$16), 0),
MATCH(I$17,'Limit raise'!$1:$1,0))</f>
        <v>0.60317460317460314</v>
      </c>
      <c r="J375" s="18" cm="1">
        <f t="array" ref="J375">INDEX('Limit raise'!$A:$O,
MATCH(1,('Limit raise'!$A:$A=$C375)*('Limit raise'!$D:$D=J$16), 0),
MATCH(J$17,'Limit raise'!$1:$1,0))</f>
        <v>0.92999999999999994</v>
      </c>
      <c r="K375" s="18" cm="1">
        <f t="array" ref="K375">INDEX('Limit raise'!$A:$O,
MATCH(1,('Limit raise'!$A:$A=$C375)*('Limit raise'!$D:$D=K$16), 0),
MATCH(K$17,'Limit raise'!$1:$1,0))</f>
        <v>0.87402340781273757</v>
      </c>
      <c r="L375" s="18">
        <f>INDEX('Limit raise'!$A:$O,
MATCH($C375, 'Limit raise'!$A:$A, 0),
MATCH(L$17,'Limit raise'!$1:$1,0))</f>
        <v>6.9395902581364924E-2</v>
      </c>
      <c r="M375" s="18">
        <v>0.15</v>
      </c>
      <c r="N375" s="18"/>
    </row>
    <row r="376" spans="3:14" s="13" customFormat="1" ht="7.2" customHeight="1" x14ac:dyDescent="0.3">
      <c r="C376" s="17">
        <v>358</v>
      </c>
      <c r="D376" s="18" cm="1">
        <f t="array" ref="D376">INDEX('New credit'!$A:$O,
MATCH(1,('New credit'!$A:$A=$C376)*('New credit'!$D:$D=D$16), 0),
MATCH(D$17,'New credit'!$1:$1,0))</f>
        <v>0.72881355932203384</v>
      </c>
      <c r="E376" s="18" cm="1">
        <f t="array" ref="E376">INDEX('New credit'!$A:$O,
MATCH(1,('New credit'!$A:$A=$C376)*('New credit'!$D:$D=E$16), 0),
MATCH(E$17,'New credit'!$1:$1,0))</f>
        <v>0.86310344827586216</v>
      </c>
      <c r="F376" s="18" cm="1">
        <f t="array" ref="F376">INDEX('New credit'!$A:$O,
MATCH(1,('New credit'!$A:$A=$C376)*('New credit'!$D:$D=F$16), 0),
MATCH(F$17,'New credit'!$1:$1,0))</f>
        <v>0.79983872048268334</v>
      </c>
      <c r="G376" s="18">
        <f>INDEX('New credit'!$A:$O,
MATCH($C376, 'New credit'!$A:$A, 0),
MATCH(G$17, 'New credit'!$1:$1, 0))</f>
        <v>1</v>
      </c>
      <c r="H376" s="18">
        <v>0.15</v>
      </c>
      <c r="I376" s="18" cm="1">
        <f t="array" ref="I376">INDEX('Limit raise'!$A:$O,
MATCH(1,('Limit raise'!$A:$A=$C376)*('Limit raise'!$D:$D=I$16), 0),
MATCH(I$17,'Limit raise'!$1:$1,0))</f>
        <v>0.59375</v>
      </c>
      <c r="J376" s="18" cm="1">
        <f t="array" ref="J376">INDEX('Limit raise'!$A:$O,
MATCH(1,('Limit raise'!$A:$A=$C376)*('Limit raise'!$D:$D=J$16), 0),
MATCH(J$17,'Limit raise'!$1:$1,0))</f>
        <v>0.92949999999999999</v>
      </c>
      <c r="K376" s="18" cm="1">
        <f t="array" ref="K376">INDEX('Limit raise'!$A:$O,
MATCH(1,('Limit raise'!$A:$A=$C376)*('Limit raise'!$D:$D=K$16), 0),
MATCH(K$17,'Limit raise'!$1:$1,0))</f>
        <v>0.84789785681714547</v>
      </c>
      <c r="L376" s="18">
        <f>INDEX('Limit raise'!$A:$O,
MATCH($C376, 'Limit raise'!$A:$A, 0),
MATCH(L$17,'Limit raise'!$1:$1,0))</f>
        <v>7.3806973542497781E-2</v>
      </c>
      <c r="M376" s="18">
        <v>0.15</v>
      </c>
      <c r="N376" s="18"/>
    </row>
    <row r="377" spans="3:14" s="13" customFormat="1" ht="7.2" customHeight="1" x14ac:dyDescent="0.3">
      <c r="C377" s="17">
        <v>359</v>
      </c>
      <c r="D377" s="18" cm="1">
        <f t="array" ref="D377">INDEX('New credit'!$A:$O,
MATCH(1,('New credit'!$A:$A=$C377)*('New credit'!$D:$D=D$16), 0),
MATCH(D$17,'New credit'!$1:$1,0))</f>
        <v>0.69230769230769229</v>
      </c>
      <c r="E377" s="18" cm="1">
        <f t="array" ref="E377">INDEX('New credit'!$A:$O,
MATCH(1,('New credit'!$A:$A=$C377)*('New credit'!$D:$D=E$16), 0),
MATCH(E$17,'New credit'!$1:$1,0))</f>
        <v>0.82928571428571407</v>
      </c>
      <c r="F377" s="18" cm="1">
        <f t="array" ref="F377">INDEX('New credit'!$A:$O,
MATCH(1,('New credit'!$A:$A=$C377)*('New credit'!$D:$D=F$16), 0),
MATCH(F$17,'New credit'!$1:$1,0))</f>
        <v>0.7302364161035293</v>
      </c>
      <c r="G377" s="18">
        <f>INDEX('New credit'!$A:$O,
MATCH($C377, 'New credit'!$A:$A, 0),
MATCH(G$17, 'New credit'!$1:$1, 0))</f>
        <v>0.1148821682962451</v>
      </c>
      <c r="H377" s="18">
        <v>0.15</v>
      </c>
      <c r="I377" s="18" cm="1">
        <f t="array" ref="I377">INDEX('Limit raise'!$A:$O,
MATCH(1,('Limit raise'!$A:$A=$C377)*('Limit raise'!$D:$D=I$16), 0),
MATCH(I$17,'Limit raise'!$1:$1,0))</f>
        <v>0.578125</v>
      </c>
      <c r="J377" s="18" cm="1">
        <f t="array" ref="J377">INDEX('Limit raise'!$A:$O,
MATCH(1,('Limit raise'!$A:$A=$C377)*('Limit raise'!$D:$D=J$16), 0),
MATCH(J$17,'Limit raise'!$1:$1,0))</f>
        <v>0.93049999999999977</v>
      </c>
      <c r="K377" s="18" cm="1">
        <f t="array" ref="K377">INDEX('Limit raise'!$A:$O,
MATCH(1,('Limit raise'!$A:$A=$C377)*('Limit raise'!$D:$D=K$16), 0),
MATCH(K$17,'Limit raise'!$1:$1,0))</f>
        <v>0.84743053619552078</v>
      </c>
      <c r="L377" s="18">
        <f>INDEX('Limit raise'!$A:$O,
MATCH($C377, 'Limit raise'!$A:$A, 0),
MATCH(L$17,'Limit raise'!$1:$1,0))</f>
        <v>7.776526645019062E-2</v>
      </c>
      <c r="M377" s="18">
        <v>0.15</v>
      </c>
      <c r="N377" s="18"/>
    </row>
    <row r="378" spans="3:14" s="13" customFormat="1" ht="7.2" customHeight="1" x14ac:dyDescent="0.3">
      <c r="C378" s="17">
        <v>360</v>
      </c>
      <c r="D378" s="18" cm="1">
        <f t="array" ref="D378">INDEX('New credit'!$A:$O,
MATCH(1,('New credit'!$A:$A=$C378)*('New credit'!$D:$D=D$16), 0),
MATCH(D$17,'New credit'!$1:$1,0))</f>
        <v>0.67692307692307696</v>
      </c>
      <c r="E378" s="18" cm="1">
        <f t="array" ref="E378">INDEX('New credit'!$A:$O,
MATCH(1,('New credit'!$A:$A=$C378)*('New credit'!$D:$D=E$16), 0),
MATCH(E$17,'New credit'!$1:$1,0))</f>
        <v>0.8588888888888887</v>
      </c>
      <c r="F378" s="18" cm="1">
        <f t="array" ref="F378">INDEX('New credit'!$A:$O,
MATCH(1,('New credit'!$A:$A=$C378)*('New credit'!$D:$D=F$16), 0),
MATCH(F$17,'New credit'!$1:$1,0))</f>
        <v>0.75922003582255726</v>
      </c>
      <c r="G378" s="18">
        <f>INDEX('New credit'!$A:$O,
MATCH($C378, 'New credit'!$A:$A, 0),
MATCH(G$17, 'New credit'!$1:$1, 0))</f>
        <v>1</v>
      </c>
      <c r="H378" s="18">
        <v>0.15</v>
      </c>
      <c r="I378" s="18" cm="1">
        <f t="array" ref="I378">INDEX('Limit raise'!$A:$O,
MATCH(1,('Limit raise'!$A:$A=$C378)*('Limit raise'!$D:$D=I$16), 0),
MATCH(I$17,'Limit raise'!$1:$1,0))</f>
        <v>0.58730158730158732</v>
      </c>
      <c r="J378" s="18" cm="1">
        <f t="array" ref="J378">INDEX('Limit raise'!$A:$O,
MATCH(1,('Limit raise'!$A:$A=$C378)*('Limit raise'!$D:$D=J$16), 0),
MATCH(J$17,'Limit raise'!$1:$1,0))</f>
        <v>0.93149999999999999</v>
      </c>
      <c r="K378" s="18" cm="1">
        <f t="array" ref="K378">INDEX('Limit raise'!$A:$O,
MATCH(1,('Limit raise'!$A:$A=$C378)*('Limit raise'!$D:$D=K$16), 0),
MATCH(K$17,'Limit raise'!$1:$1,0))</f>
        <v>0.84126868392271237</v>
      </c>
      <c r="L378" s="18">
        <f>INDEX('Limit raise'!$A:$O,
MATCH($C378, 'Limit raise'!$A:$A, 0),
MATCH(L$17,'Limit raise'!$1:$1,0))</f>
        <v>8.0532828154469688E-2</v>
      </c>
      <c r="M378" s="18">
        <v>0.15</v>
      </c>
      <c r="N378" s="18"/>
    </row>
    <row r="379" spans="3:14" s="13" customFormat="1" ht="7.2" customHeight="1" x14ac:dyDescent="0.3">
      <c r="C379" s="17">
        <v>361</v>
      </c>
      <c r="D379" s="18" cm="1">
        <f t="array" ref="D379">INDEX('New credit'!$A:$O,
MATCH(1,('New credit'!$A:$A=$C379)*('New credit'!$D:$D=D$16), 0),
MATCH(D$17,'New credit'!$1:$1,0))</f>
        <v>0.74242424242424243</v>
      </c>
      <c r="E379" s="18" cm="1">
        <f t="array" ref="E379">INDEX('New credit'!$A:$O,
MATCH(1,('New credit'!$A:$A=$C379)*('New credit'!$D:$D=E$16), 0),
MATCH(E$17,'New credit'!$1:$1,0))</f>
        <v>0.86148148148148129</v>
      </c>
      <c r="F379" s="18" cm="1">
        <f t="array" ref="F379">INDEX('New credit'!$A:$O,
MATCH(1,('New credit'!$A:$A=$C379)*('New credit'!$D:$D=F$16), 0),
MATCH(F$17,'New credit'!$1:$1,0))</f>
        <v>0.78553958133493917</v>
      </c>
      <c r="G379" s="18">
        <f>INDEX('New credit'!$A:$O,
MATCH($C379, 'New credit'!$A:$A, 0),
MATCH(G$17, 'New credit'!$1:$1, 0))</f>
        <v>1</v>
      </c>
      <c r="H379" s="18">
        <v>0.15</v>
      </c>
      <c r="I379" s="18" cm="1">
        <f t="array" ref="I379">INDEX('Limit raise'!$A:$O,
MATCH(1,('Limit raise'!$A:$A=$C379)*('Limit raise'!$D:$D=I$16), 0),
MATCH(I$17,'Limit raise'!$1:$1,0))</f>
        <v>0.58461538461538465</v>
      </c>
      <c r="J379" s="18" cm="1">
        <f t="array" ref="J379">INDEX('Limit raise'!$A:$O,
MATCH(1,('Limit raise'!$A:$A=$C379)*('Limit raise'!$D:$D=J$16), 0),
MATCH(J$17,'Limit raise'!$1:$1,0))</f>
        <v>0.93149999999999999</v>
      </c>
      <c r="K379" s="18" cm="1">
        <f t="array" ref="K379">INDEX('Limit raise'!$A:$O,
MATCH(1,('Limit raise'!$A:$A=$C379)*('Limit raise'!$D:$D=K$16), 0),
MATCH(K$17,'Limit raise'!$1:$1,0))</f>
        <v>0.84484948909141122</v>
      </c>
      <c r="L379" s="18">
        <f>INDEX('Limit raise'!$A:$O,
MATCH($C379, 'Limit raise'!$A:$A, 0),
MATCH(L$17,'Limit raise'!$1:$1,0))</f>
        <v>8.2295468985214934E-2</v>
      </c>
      <c r="M379" s="18">
        <v>0.15</v>
      </c>
      <c r="N379" s="18"/>
    </row>
    <row r="380" spans="3:14" s="13" customFormat="1" ht="7.2" customHeight="1" x14ac:dyDescent="0.3">
      <c r="C380" s="17">
        <v>362</v>
      </c>
      <c r="D380" s="18" cm="1">
        <f t="array" ref="D380">INDEX('New credit'!$A:$O,
MATCH(1,('New credit'!$A:$A=$C380)*('New credit'!$D:$D=D$16), 0),
MATCH(D$17,'New credit'!$1:$1,0))</f>
        <v>0.76190476190476186</v>
      </c>
      <c r="E380" s="18" cm="1">
        <f t="array" ref="E380">INDEX('New credit'!$A:$O,
MATCH(1,('New credit'!$A:$A=$C380)*('New credit'!$D:$D=E$16), 0),
MATCH(E$17,'New credit'!$1:$1,0))</f>
        <v>0.89178571428571407</v>
      </c>
      <c r="F380" s="18" cm="1">
        <f t="array" ref="F380">INDEX('New credit'!$A:$O,
MATCH(1,('New credit'!$A:$A=$C380)*('New credit'!$D:$D=F$16), 0),
MATCH(F$17,'New credit'!$1:$1,0))</f>
        <v>0.78459177218792409</v>
      </c>
      <c r="G380" s="18">
        <f>INDEX('New credit'!$A:$O,
MATCH($C380, 'New credit'!$A:$A, 0),
MATCH(G$17, 'New credit'!$1:$1, 0))</f>
        <v>7.8264872362409352E-2</v>
      </c>
      <c r="H380" s="18">
        <v>0.15</v>
      </c>
      <c r="I380" s="18" cm="1">
        <f t="array" ref="I380">INDEX('Limit raise'!$A:$O,
MATCH(1,('Limit raise'!$A:$A=$C380)*('Limit raise'!$D:$D=I$16), 0),
MATCH(I$17,'Limit raise'!$1:$1,0))</f>
        <v>0.5757575757575758</v>
      </c>
      <c r="J380" s="18" cm="1">
        <f t="array" ref="J380">INDEX('Limit raise'!$A:$O,
MATCH(1,('Limit raise'!$A:$A=$C380)*('Limit raise'!$D:$D=J$16), 0),
MATCH(J$17,'Limit raise'!$1:$1,0))</f>
        <v>0.93099999999999983</v>
      </c>
      <c r="K380" s="18" cm="1">
        <f t="array" ref="K380">INDEX('Limit raise'!$A:$O,
MATCH(1,('Limit raise'!$A:$A=$C380)*('Limit raise'!$D:$D=K$16), 0),
MATCH(K$17,'Limit raise'!$1:$1,0))</f>
        <v>0.84749862561847178</v>
      </c>
      <c r="L380" s="18">
        <f>INDEX('Limit raise'!$A:$O,
MATCH($C380, 'Limit raise'!$A:$A, 0),
MATCH(L$17,'Limit raise'!$1:$1,0))</f>
        <v>8.0635268200058979E-2</v>
      </c>
      <c r="M380" s="18">
        <v>0.15</v>
      </c>
      <c r="N380" s="18"/>
    </row>
    <row r="381" spans="3:14" s="13" customFormat="1" ht="7.2" customHeight="1" x14ac:dyDescent="0.3">
      <c r="C381" s="17">
        <v>363</v>
      </c>
      <c r="D381" s="18" cm="1">
        <f t="array" ref="D381">INDEX('New credit'!$A:$O,
MATCH(1,('New credit'!$A:$A=$C381)*('New credit'!$D:$D=D$16), 0),
MATCH(D$17,'New credit'!$1:$1,0))</f>
        <v>0.703125</v>
      </c>
      <c r="E381" s="18" cm="1">
        <f t="array" ref="E381">INDEX('New credit'!$A:$O,
MATCH(1,('New credit'!$A:$A=$C381)*('New credit'!$D:$D=E$16), 0),
MATCH(E$17,'New credit'!$1:$1,0))</f>
        <v>0.85538461538461519</v>
      </c>
      <c r="F381" s="18" cm="1">
        <f t="array" ref="F381">INDEX('New credit'!$A:$O,
MATCH(1,('New credit'!$A:$A=$C381)*('New credit'!$D:$D=F$16), 0),
MATCH(F$17,'New credit'!$1:$1,0))</f>
        <v>0.66362927576156705</v>
      </c>
      <c r="G381" s="18">
        <f>INDEX('New credit'!$A:$O,
MATCH($C381, 'New credit'!$A:$A, 0),
MATCH(G$17, 'New credit'!$1:$1, 0))</f>
        <v>0.12068578395875861</v>
      </c>
      <c r="H381" s="18">
        <v>0.15</v>
      </c>
      <c r="I381" s="18" cm="1">
        <f t="array" ref="I381">INDEX('Limit raise'!$A:$O,
MATCH(1,('Limit raise'!$A:$A=$C381)*('Limit raise'!$D:$D=I$16), 0),
MATCH(I$17,'Limit raise'!$1:$1,0))</f>
        <v>0.5757575757575758</v>
      </c>
      <c r="J381" s="18" cm="1">
        <f t="array" ref="J381">INDEX('Limit raise'!$A:$O,
MATCH(1,('Limit raise'!$A:$A=$C381)*('Limit raise'!$D:$D=J$16), 0),
MATCH(J$17,'Limit raise'!$1:$1,0))</f>
        <v>0.93249999999999988</v>
      </c>
      <c r="K381" s="18" cm="1">
        <f t="array" ref="K381">INDEX('Limit raise'!$A:$O,
MATCH(1,('Limit raise'!$A:$A=$C381)*('Limit raise'!$D:$D=K$16), 0),
MATCH(K$17,'Limit raise'!$1:$1,0))</f>
        <v>0.84817188769522434</v>
      </c>
      <c r="L381" s="18">
        <f>INDEX('Limit raise'!$A:$O,
MATCH($C381, 'Limit raise'!$A:$A, 0),
MATCH(L$17,'Limit raise'!$1:$1,0))</f>
        <v>8.4109063180659444E-2</v>
      </c>
      <c r="M381" s="18">
        <v>0.15</v>
      </c>
      <c r="N381" s="18"/>
    </row>
    <row r="382" spans="3:14" s="13" customFormat="1" ht="7.2" customHeight="1" x14ac:dyDescent="0.3">
      <c r="C382" s="17">
        <v>364</v>
      </c>
      <c r="D382" s="18" cm="1">
        <f t="array" ref="D382">INDEX('New credit'!$A:$O,
MATCH(1,('New credit'!$A:$A=$C382)*('New credit'!$D:$D=D$16), 0),
MATCH(D$17,'New credit'!$1:$1,0))</f>
        <v>0.65625</v>
      </c>
      <c r="E382" s="18" cm="1">
        <f t="array" ref="E382">INDEX('New credit'!$A:$O,
MATCH(1,('New credit'!$A:$A=$C382)*('New credit'!$D:$D=E$16), 0),
MATCH(E$17,'New credit'!$1:$1,0))</f>
        <v>0.85538461538461508</v>
      </c>
      <c r="F382" s="18" cm="1">
        <f t="array" ref="F382">INDEX('New credit'!$A:$O,
MATCH(1,('New credit'!$A:$A=$C382)*('New credit'!$D:$D=F$16), 0),
MATCH(F$17,'New credit'!$1:$1,0))</f>
        <v>0.67195152845064865</v>
      </c>
      <c r="G382" s="18">
        <f>INDEX('New credit'!$A:$O,
MATCH($C382, 'New credit'!$A:$A, 0),
MATCH(G$17, 'New credit'!$1:$1, 0))</f>
        <v>0.14163240237789021</v>
      </c>
      <c r="H382" s="18">
        <v>0.15</v>
      </c>
      <c r="I382" s="18" cm="1">
        <f t="array" ref="I382">INDEX('Limit raise'!$A:$O,
MATCH(1,('Limit raise'!$A:$A=$C382)*('Limit raise'!$D:$D=I$16), 0),
MATCH(I$17,'Limit raise'!$1:$1,0))</f>
        <v>0.61194029850746268</v>
      </c>
      <c r="J382" s="18" cm="1">
        <f t="array" ref="J382">INDEX('Limit raise'!$A:$O,
MATCH(1,('Limit raise'!$A:$A=$C382)*('Limit raise'!$D:$D=J$16), 0),
MATCH(J$17,'Limit raise'!$1:$1,0))</f>
        <v>0.93142857142857116</v>
      </c>
      <c r="K382" s="18" cm="1">
        <f t="array" ref="K382">INDEX('Limit raise'!$A:$O,
MATCH(1,('Limit raise'!$A:$A=$C382)*('Limit raise'!$D:$D=K$16), 0),
MATCH(K$17,'Limit raise'!$1:$1,0))</f>
        <v>0.84704607046070457</v>
      </c>
      <c r="L382" s="18">
        <f>INDEX('Limit raise'!$A:$O,
MATCH($C382, 'Limit raise'!$A:$A, 0),
MATCH(L$17,'Limit raise'!$1:$1,0))</f>
        <v>8.6104511163083458E-2</v>
      </c>
      <c r="M382" s="18">
        <v>0.15</v>
      </c>
      <c r="N382" s="18"/>
    </row>
    <row r="383" spans="3:14" s="13" customFormat="1" ht="7.2" customHeight="1" x14ac:dyDescent="0.3">
      <c r="C383" s="17">
        <v>365</v>
      </c>
      <c r="D383" s="18" cm="1">
        <f t="array" ref="D383">INDEX('New credit'!$A:$O,
MATCH(1,('New credit'!$A:$A=$C383)*('New credit'!$D:$D=D$16), 0),
MATCH(D$17,'New credit'!$1:$1,0))</f>
        <v>0.7142857142857143</v>
      </c>
      <c r="E383" s="18" cm="1">
        <f t="array" ref="E383">INDEX('New credit'!$A:$O,
MATCH(1,('New credit'!$A:$A=$C383)*('New credit'!$D:$D=E$16), 0),
MATCH(E$17,'New credit'!$1:$1,0))</f>
        <v>0.84678571428571447</v>
      </c>
      <c r="F383" s="18" cm="1">
        <f t="array" ref="F383">INDEX('New credit'!$A:$O,
MATCH(1,('New credit'!$A:$A=$C383)*('New credit'!$D:$D=F$16), 0),
MATCH(F$17,'New credit'!$1:$1,0))</f>
        <v>0.76453666948125609</v>
      </c>
      <c r="G383" s="18">
        <f>INDEX('New credit'!$A:$O,
MATCH($C383, 'New credit'!$A:$A, 0),
MATCH(G$17, 'New credit'!$1:$1, 0))</f>
        <v>0.1984298448553366</v>
      </c>
      <c r="H383" s="18">
        <v>0.15</v>
      </c>
      <c r="I383" s="18" cm="1">
        <f t="array" ref="I383">INDEX('Limit raise'!$A:$O,
MATCH(1,('Limit raise'!$A:$A=$C383)*('Limit raise'!$D:$D=I$16), 0),
MATCH(I$17,'Limit raise'!$1:$1,0))</f>
        <v>0.59701492537313428</v>
      </c>
      <c r="J383" s="18" cm="1">
        <f t="array" ref="J383">INDEX('Limit raise'!$A:$O,
MATCH(1,('Limit raise'!$A:$A=$C383)*('Limit raise'!$D:$D=J$16), 0),
MATCH(J$17,'Limit raise'!$1:$1,0))</f>
        <v>0.93142857142857116</v>
      </c>
      <c r="K383" s="18" cm="1">
        <f t="array" ref="K383">INDEX('Limit raise'!$A:$O,
MATCH(1,('Limit raise'!$A:$A=$C383)*('Limit raise'!$D:$D=K$16), 0),
MATCH(K$17,'Limit raise'!$1:$1,0))</f>
        <v>0.84294249439880509</v>
      </c>
      <c r="L383" s="18">
        <f>INDEX('Limit raise'!$A:$O,
MATCH($C383, 'Limit raise'!$A:$A, 0),
MATCH(L$17,'Limit raise'!$1:$1,0))</f>
        <v>8.5991998527447266E-2</v>
      </c>
      <c r="M383" s="18">
        <v>0.15</v>
      </c>
      <c r="N383" s="18"/>
    </row>
    <row r="384" spans="3:14" s="13" customFormat="1" ht="7.2" customHeight="1" x14ac:dyDescent="0.3">
      <c r="C384" s="17">
        <v>366</v>
      </c>
      <c r="D384" s="18" cm="1">
        <f t="array" ref="D384">INDEX('New credit'!$A:$O,
MATCH(1,('New credit'!$A:$A=$C384)*('New credit'!$D:$D=D$16), 0),
MATCH(D$17,'New credit'!$1:$1,0))</f>
        <v>0.75862068965517238</v>
      </c>
      <c r="E384" s="18" cm="1">
        <f t="array" ref="E384">INDEX('New credit'!$A:$O,
MATCH(1,('New credit'!$A:$A=$C384)*('New credit'!$D:$D=E$16), 0),
MATCH(E$17,'New credit'!$1:$1,0))</f>
        <v>0.85699999999999976</v>
      </c>
      <c r="F384" s="18" cm="1">
        <f t="array" ref="F384">INDEX('New credit'!$A:$O,
MATCH(1,('New credit'!$A:$A=$C384)*('New credit'!$D:$D=F$16), 0),
MATCH(F$17,'New credit'!$1:$1,0))</f>
        <v>0.79778743078564485</v>
      </c>
      <c r="G384" s="18">
        <f>INDEX('New credit'!$A:$O,
MATCH($C384, 'New credit'!$A:$A, 0),
MATCH(G$17, 'New credit'!$1:$1, 0))</f>
        <v>0.10174400003248529</v>
      </c>
      <c r="H384" s="18">
        <v>0.15</v>
      </c>
      <c r="I384" s="18" cm="1">
        <f t="array" ref="I384">INDEX('Limit raise'!$A:$O,
MATCH(1,('Limit raise'!$A:$A=$C384)*('Limit raise'!$D:$D=I$16), 0),
MATCH(I$17,'Limit raise'!$1:$1,0))</f>
        <v>0.58208955223880599</v>
      </c>
      <c r="J384" s="18" cm="1">
        <f t="array" ref="J384">INDEX('Limit raise'!$A:$O,
MATCH(1,('Limit raise'!$A:$A=$C384)*('Limit raise'!$D:$D=J$16), 0),
MATCH(J$17,'Limit raise'!$1:$1,0))</f>
        <v>0.93190476190476179</v>
      </c>
      <c r="K384" s="18" cm="1">
        <f t="array" ref="K384">INDEX('Limit raise'!$A:$O,
MATCH(1,('Limit raise'!$A:$A=$C384)*('Limit raise'!$D:$D=K$16), 0),
MATCH(K$17,'Limit raise'!$1:$1,0))</f>
        <v>0.84904854368932037</v>
      </c>
      <c r="L384" s="18">
        <f>INDEX('Limit raise'!$A:$O,
MATCH($C384, 'Limit raise'!$A:$A, 0),
MATCH(L$17,'Limit raise'!$1:$1,0))</f>
        <v>8.621433580574675E-2</v>
      </c>
      <c r="M384" s="18">
        <v>0.15</v>
      </c>
      <c r="N384" s="18"/>
    </row>
    <row r="385" spans="3:14" s="13" customFormat="1" ht="7.2" customHeight="1" x14ac:dyDescent="0.3">
      <c r="C385" s="17">
        <v>367</v>
      </c>
      <c r="D385" s="18" cm="1">
        <f t="array" ref="D385">INDEX('New credit'!$A:$O,
MATCH(1,('New credit'!$A:$A=$C385)*('New credit'!$D:$D=D$16), 0),
MATCH(D$17,'New credit'!$1:$1,0))</f>
        <v>0.78688524590163933</v>
      </c>
      <c r="E385" s="18" cm="1">
        <f t="array" ref="E385">INDEX('New credit'!$A:$O,
MATCH(1,('New credit'!$A:$A=$C385)*('New credit'!$D:$D=E$16), 0),
MATCH(E$17,'New credit'!$1:$1,0))</f>
        <v>0.88959999999999995</v>
      </c>
      <c r="F385" s="18" cm="1">
        <f t="array" ref="F385">INDEX('New credit'!$A:$O,
MATCH(1,('New credit'!$A:$A=$C385)*('New credit'!$D:$D=F$16), 0),
MATCH(F$17,'New credit'!$1:$1,0))</f>
        <v>0.78556993779512363</v>
      </c>
      <c r="G385" s="18">
        <f>INDEX('New credit'!$A:$O,
MATCH($C385, 'New credit'!$A:$A, 0),
MATCH(G$17, 'New credit'!$1:$1, 0))</f>
        <v>1</v>
      </c>
      <c r="H385" s="18">
        <v>0.15</v>
      </c>
      <c r="I385" s="18" cm="1">
        <f t="array" ref="I385">INDEX('Limit raise'!$A:$O,
MATCH(1,('Limit raise'!$A:$A=$C385)*('Limit raise'!$D:$D=I$16), 0),
MATCH(I$17,'Limit raise'!$1:$1,0))</f>
        <v>0.58208955223880599</v>
      </c>
      <c r="J385" s="18" cm="1">
        <f t="array" ref="J385">INDEX('Limit raise'!$A:$O,
MATCH(1,('Limit raise'!$A:$A=$C385)*('Limit raise'!$D:$D=J$16), 0),
MATCH(J$17,'Limit raise'!$1:$1,0))</f>
        <v>0.92999999999999994</v>
      </c>
      <c r="K385" s="18" cm="1">
        <f t="array" ref="K385">INDEX('Limit raise'!$A:$O,
MATCH(1,('Limit raise'!$A:$A=$C385)*('Limit raise'!$D:$D=K$16), 0),
MATCH(K$17,'Limit raise'!$1:$1,0))</f>
        <v>0.80690554649156376</v>
      </c>
      <c r="L385" s="18">
        <f>INDEX('Limit raise'!$A:$O,
MATCH($C385, 'Limit raise'!$A:$A, 0),
MATCH(L$17,'Limit raise'!$1:$1,0))</f>
        <v>8.9752119291166402E-2</v>
      </c>
      <c r="M385" s="18">
        <v>0.15</v>
      </c>
      <c r="N385" s="18"/>
    </row>
    <row r="386" spans="3:14" s="13" customFormat="1" ht="7.2" customHeight="1" x14ac:dyDescent="0.3">
      <c r="C386" s="17">
        <v>368</v>
      </c>
      <c r="D386" s="18" cm="1">
        <f t="array" ref="D386">INDEX('New credit'!$A:$O,
MATCH(1,('New credit'!$A:$A=$C386)*('New credit'!$D:$D=D$16), 0),
MATCH(D$17,'New credit'!$1:$1,0))</f>
        <v>0.765625</v>
      </c>
      <c r="E386" s="18" cm="1">
        <f t="array" ref="E386">INDEX('New credit'!$A:$O,
MATCH(1,('New credit'!$A:$A=$C386)*('New credit'!$D:$D=E$16), 0),
MATCH(E$17,'New credit'!$1:$1,0))</f>
        <v>0.8614285714285711</v>
      </c>
      <c r="F386" s="18" cm="1">
        <f t="array" ref="F386">INDEX('New credit'!$A:$O,
MATCH(1,('New credit'!$A:$A=$C386)*('New credit'!$D:$D=F$16), 0),
MATCH(F$17,'New credit'!$1:$1,0))</f>
        <v>0.79711377218131174</v>
      </c>
      <c r="G386" s="18">
        <f>INDEX('New credit'!$A:$O,
MATCH($C386, 'New credit'!$A:$A, 0),
MATCH(G$17, 'New credit'!$1:$1, 0))</f>
        <v>0.1101100377798834</v>
      </c>
      <c r="H386" s="18">
        <v>0.15</v>
      </c>
      <c r="I386" s="18" cm="1">
        <f t="array" ref="I386">INDEX('Limit raise'!$A:$O,
MATCH(1,('Limit raise'!$A:$A=$C386)*('Limit raise'!$D:$D=I$16), 0),
MATCH(I$17,'Limit raise'!$1:$1,0))</f>
        <v>0.61194029850746268</v>
      </c>
      <c r="J386" s="18" cm="1">
        <f t="array" ref="J386">INDEX('Limit raise'!$A:$O,
MATCH(1,('Limit raise'!$A:$A=$C386)*('Limit raise'!$D:$D=J$16), 0),
MATCH(J$17,'Limit raise'!$1:$1,0))</f>
        <v>0.92949999999999977</v>
      </c>
      <c r="K386" s="18" cm="1">
        <f t="array" ref="K386">INDEX('Limit raise'!$A:$O,
MATCH(1,('Limit raise'!$A:$A=$C386)*('Limit raise'!$D:$D=K$16), 0),
MATCH(K$17,'Limit raise'!$1:$1,0))</f>
        <v>0.84458151086070132</v>
      </c>
      <c r="L386" s="18">
        <f>INDEX('Limit raise'!$A:$O,
MATCH($C386, 'Limit raise'!$A:$A, 0),
MATCH(L$17,'Limit raise'!$1:$1,0))</f>
        <v>8.9264930768587866E-2</v>
      </c>
      <c r="M386" s="18">
        <v>0.15</v>
      </c>
      <c r="N386" s="18"/>
    </row>
    <row r="387" spans="3:14" s="13" customFormat="1" ht="7.2" customHeight="1" x14ac:dyDescent="0.3">
      <c r="C387" s="17">
        <v>369</v>
      </c>
      <c r="D387" s="18" cm="1">
        <f t="array" ref="D387">INDEX('New credit'!$A:$O,
MATCH(1,('New credit'!$A:$A=$C387)*('New credit'!$D:$D=D$16), 0),
MATCH(D$17,'New credit'!$1:$1,0))</f>
        <v>0.70149253731343286</v>
      </c>
      <c r="E387" s="18" cm="1">
        <f t="array" ref="E387">INDEX('New credit'!$A:$O,
MATCH(1,('New credit'!$A:$A=$C387)*('New credit'!$D:$D=E$16), 0),
MATCH(E$17,'New credit'!$1:$1,0))</f>
        <v>0.86142857142857132</v>
      </c>
      <c r="F387" s="18" cm="1">
        <f t="array" ref="F387">INDEX('New credit'!$A:$O,
MATCH(1,('New credit'!$A:$A=$C387)*('New credit'!$D:$D=F$16), 0),
MATCH(F$17,'New credit'!$1:$1,0))</f>
        <v>0.79446536655892996</v>
      </c>
      <c r="G387" s="18">
        <f>INDEX('New credit'!$A:$O,
MATCH($C387, 'New credit'!$A:$A, 0),
MATCH(G$17, 'New credit'!$1:$1, 0))</f>
        <v>0.1812930381512069</v>
      </c>
      <c r="H387" s="18">
        <v>0.15</v>
      </c>
      <c r="I387" s="18" cm="1">
        <f t="array" ref="I387">INDEX('Limit raise'!$A:$O,
MATCH(1,('Limit raise'!$A:$A=$C387)*('Limit raise'!$D:$D=I$16), 0),
MATCH(I$17,'Limit raise'!$1:$1,0))</f>
        <v>0.62121212121212122</v>
      </c>
      <c r="J387" s="18" cm="1">
        <f t="array" ref="J387">INDEX('Limit raise'!$A:$O,
MATCH(1,('Limit raise'!$A:$A=$C387)*('Limit raise'!$D:$D=J$16), 0),
MATCH(J$17,'Limit raise'!$1:$1,0))</f>
        <v>0.92999999999999994</v>
      </c>
      <c r="K387" s="18" cm="1">
        <f t="array" ref="K387">INDEX('Limit raise'!$A:$O,
MATCH(1,('Limit raise'!$A:$A=$C387)*('Limit raise'!$D:$D=K$16), 0),
MATCH(K$17,'Limit raise'!$1:$1,0))</f>
        <v>0.74526455026455019</v>
      </c>
      <c r="L387" s="18">
        <f>INDEX('Limit raise'!$A:$O,
MATCH($C387, 'Limit raise'!$A:$A, 0),
MATCH(L$17,'Limit raise'!$1:$1,0))</f>
        <v>9.0072172397283962E-2</v>
      </c>
      <c r="M387" s="18">
        <v>0.15</v>
      </c>
      <c r="N387" s="18"/>
    </row>
    <row r="388" spans="3:14" s="13" customFormat="1" ht="7.2" customHeight="1" x14ac:dyDescent="0.3">
      <c r="C388" s="17">
        <v>370</v>
      </c>
      <c r="D388" s="18" cm="1">
        <f t="array" ref="D388">INDEX('New credit'!$A:$O,
MATCH(1,('New credit'!$A:$A=$C388)*('New credit'!$D:$D=D$16), 0),
MATCH(D$17,'New credit'!$1:$1,0))</f>
        <v>0.73529411764705888</v>
      </c>
      <c r="E388" s="18" cm="1">
        <f t="array" ref="E388">INDEX('New credit'!$A:$O,
MATCH(1,('New credit'!$A:$A=$C388)*('New credit'!$D:$D=E$16), 0),
MATCH(E$17,'New credit'!$1:$1,0))</f>
        <v>0.85461538461538433</v>
      </c>
      <c r="F388" s="18" cm="1">
        <f t="array" ref="F388">INDEX('New credit'!$A:$O,
MATCH(1,('New credit'!$A:$A=$C388)*('New credit'!$D:$D=F$16), 0),
MATCH(F$17,'New credit'!$1:$1,0))</f>
        <v>0.7473302961792736</v>
      </c>
      <c r="G388" s="18">
        <f>INDEX('New credit'!$A:$O,
MATCH($C388, 'New credit'!$A:$A, 0),
MATCH(G$17, 'New credit'!$1:$1, 0))</f>
        <v>7.8386761733314311E-2</v>
      </c>
      <c r="H388" s="18">
        <v>0.15</v>
      </c>
      <c r="I388" s="18" cm="1">
        <f t="array" ref="I388">INDEX('Limit raise'!$A:$O,
MATCH(1,('Limit raise'!$A:$A=$C388)*('Limit raise'!$D:$D=I$16), 0),
MATCH(I$17,'Limit raise'!$1:$1,0))</f>
        <v>0.61538461538461542</v>
      </c>
      <c r="J388" s="18" cm="1">
        <f t="array" ref="J388">INDEX('Limit raise'!$A:$O,
MATCH(1,('Limit raise'!$A:$A=$C388)*('Limit raise'!$D:$D=J$16), 0),
MATCH(J$17,'Limit raise'!$1:$1,0))</f>
        <v>0.92949999999999977</v>
      </c>
      <c r="K388" s="18" cm="1">
        <f t="array" ref="K388">INDEX('Limit raise'!$A:$O,
MATCH(1,('Limit raise'!$A:$A=$C388)*('Limit raise'!$D:$D=K$16), 0),
MATCH(K$17,'Limit raise'!$1:$1,0))</f>
        <v>0.68850428769385386</v>
      </c>
      <c r="L388" s="18">
        <f>INDEX('Limit raise'!$A:$O,
MATCH($C388, 'Limit raise'!$A:$A, 0),
MATCH(L$17,'Limit raise'!$1:$1,0))</f>
        <v>9.2243639346206885E-2</v>
      </c>
      <c r="M388" s="18">
        <v>0.15</v>
      </c>
      <c r="N388" s="18"/>
    </row>
    <row r="389" spans="3:14" s="13" customFormat="1" ht="7.2" customHeight="1" x14ac:dyDescent="0.3">
      <c r="C389" s="17">
        <v>371</v>
      </c>
      <c r="D389" s="18" cm="1">
        <f t="array" ref="D389">INDEX('New credit'!$A:$O,
MATCH(1,('New credit'!$A:$A=$C389)*('New credit'!$D:$D=D$16), 0),
MATCH(D$17,'New credit'!$1:$1,0))</f>
        <v>0.72857142857142854</v>
      </c>
      <c r="E389" s="18" cm="1">
        <f t="array" ref="E389">INDEX('New credit'!$A:$O,
MATCH(1,('New credit'!$A:$A=$C389)*('New credit'!$D:$D=E$16), 0),
MATCH(E$17,'New credit'!$1:$1,0))</f>
        <v>0.82296296296296267</v>
      </c>
      <c r="F389" s="18" cm="1">
        <f t="array" ref="F389">INDEX('New credit'!$A:$O,
MATCH(1,('New credit'!$A:$A=$C389)*('New credit'!$D:$D=F$16), 0),
MATCH(F$17,'New credit'!$1:$1,0))</f>
        <v>0.68205190286355644</v>
      </c>
      <c r="G389" s="18">
        <f>INDEX('New credit'!$A:$O,
MATCH($C389, 'New credit'!$A:$A, 0),
MATCH(G$17, 'New credit'!$1:$1, 0))</f>
        <v>0.1097981414522233</v>
      </c>
      <c r="H389" s="18">
        <v>0.15</v>
      </c>
      <c r="I389" s="18" cm="1">
        <f t="array" ref="I389">INDEX('Limit raise'!$A:$O,
MATCH(1,('Limit raise'!$A:$A=$C389)*('Limit raise'!$D:$D=I$16), 0),
MATCH(I$17,'Limit raise'!$1:$1,0))</f>
        <v>0.63492063492063489</v>
      </c>
      <c r="J389" s="18" cm="1">
        <f t="array" ref="J389">INDEX('Limit raise'!$A:$O,
MATCH(1,('Limit raise'!$A:$A=$C389)*('Limit raise'!$D:$D=J$16), 0),
MATCH(J$17,'Limit raise'!$1:$1,0))</f>
        <v>0.92949999999999977</v>
      </c>
      <c r="K389" s="18" cm="1">
        <f t="array" ref="K389">INDEX('Limit raise'!$A:$O,
MATCH(1,('Limit raise'!$A:$A=$C389)*('Limit raise'!$D:$D=K$16), 0),
MATCH(K$17,'Limit raise'!$1:$1,0))</f>
        <v>0.71266926661722163</v>
      </c>
      <c r="L389" s="18">
        <f>INDEX('Limit raise'!$A:$O,
MATCH($C389, 'Limit raise'!$A:$A, 0),
MATCH(L$17,'Limit raise'!$1:$1,0))</f>
        <v>9.2009868496999797E-2</v>
      </c>
      <c r="M389" s="18">
        <v>0.15</v>
      </c>
      <c r="N389" s="18"/>
    </row>
    <row r="390" spans="3:14" s="13" customFormat="1" ht="7.2" customHeight="1" x14ac:dyDescent="0.3">
      <c r="C390" s="17">
        <v>372</v>
      </c>
      <c r="D390" s="18" cm="1">
        <f t="array" ref="D390">INDEX('New credit'!$A:$O,
MATCH(1,('New credit'!$A:$A=$C390)*('New credit'!$D:$D=D$16), 0),
MATCH(D$17,'New credit'!$1:$1,0))</f>
        <v>0.69696969696969702</v>
      </c>
      <c r="E390" s="18" cm="1">
        <f t="array" ref="E390">INDEX('New credit'!$A:$O,
MATCH(1,('New credit'!$A:$A=$C390)*('New credit'!$D:$D=E$16), 0),
MATCH(E$17,'New credit'!$1:$1,0))</f>
        <v>0.82499999999999984</v>
      </c>
      <c r="F390" s="18" cm="1">
        <f t="array" ref="F390">INDEX('New credit'!$A:$O,
MATCH(1,('New credit'!$A:$A=$C390)*('New credit'!$D:$D=F$16), 0),
MATCH(F$17,'New credit'!$1:$1,0))</f>
        <v>0.76274454328749242</v>
      </c>
      <c r="G390" s="18">
        <f>INDEX('New credit'!$A:$O,
MATCH($C390, 'New credit'!$A:$A, 0),
MATCH(G$17, 'New credit'!$1:$1, 0))</f>
        <v>0.13389979547476649</v>
      </c>
      <c r="H390" s="18">
        <v>0.15</v>
      </c>
      <c r="I390" s="18" cm="1">
        <f t="array" ref="I390">INDEX('Limit raise'!$A:$O,
MATCH(1,('Limit raise'!$A:$A=$C390)*('Limit raise'!$D:$D=I$16), 0),
MATCH(I$17,'Limit raise'!$1:$1,0))</f>
        <v>0.61904761904761907</v>
      </c>
      <c r="J390" s="18" cm="1">
        <f t="array" ref="J390">INDEX('Limit raise'!$A:$O,
MATCH(1,('Limit raise'!$A:$A=$C390)*('Limit raise'!$D:$D=J$16), 0),
MATCH(J$17,'Limit raise'!$1:$1,0))</f>
        <v>0.92949999999999977</v>
      </c>
      <c r="K390" s="18" cm="1">
        <f t="array" ref="K390">INDEX('Limit raise'!$A:$O,
MATCH(1,('Limit raise'!$A:$A=$C390)*('Limit raise'!$D:$D=K$16), 0),
MATCH(K$17,'Limit raise'!$1:$1,0))</f>
        <v>0.66178233840625811</v>
      </c>
      <c r="L390" s="18">
        <f>INDEX('Limit raise'!$A:$O,
MATCH($C390, 'Limit raise'!$A:$A, 0),
MATCH(L$17,'Limit raise'!$1:$1,0))</f>
        <v>9.4472394917221397E-2</v>
      </c>
      <c r="M390" s="18">
        <v>0.15</v>
      </c>
      <c r="N390" s="18"/>
    </row>
    <row r="391" spans="3:14" s="13" customFormat="1" ht="7.2" customHeight="1" x14ac:dyDescent="0.3">
      <c r="C391" s="17">
        <v>373</v>
      </c>
      <c r="D391" s="18" cm="1">
        <f t="array" ref="D391">INDEX('New credit'!$A:$O,
MATCH(1,('New credit'!$A:$A=$C391)*('New credit'!$D:$D=D$16), 0),
MATCH(D$17,'New credit'!$1:$1,0))</f>
        <v>0.7384615384615385</v>
      </c>
      <c r="E391" s="18" cm="1">
        <f t="array" ref="E391">INDEX('New credit'!$A:$O,
MATCH(1,('New credit'!$A:$A=$C391)*('New credit'!$D:$D=E$16), 0),
MATCH(E$17,'New credit'!$1:$1,0))</f>
        <v>0.86205882352941166</v>
      </c>
      <c r="F391" s="18" cm="1">
        <f t="array" ref="F391">INDEX('New credit'!$A:$O,
MATCH(1,('New credit'!$A:$A=$C391)*('New credit'!$D:$D=F$16), 0),
MATCH(F$17,'New credit'!$1:$1,0))</f>
        <v>0.77635987085655533</v>
      </c>
      <c r="G391" s="18">
        <f>INDEX('New credit'!$A:$O,
MATCH($C391, 'New credit'!$A:$A, 0),
MATCH(G$17, 'New credit'!$1:$1, 0))</f>
        <v>0.1587005859974723</v>
      </c>
      <c r="H391" s="18">
        <v>0.15</v>
      </c>
      <c r="I391" s="18" cm="1">
        <f t="array" ref="I391">INDEX('Limit raise'!$A:$O,
MATCH(1,('Limit raise'!$A:$A=$C391)*('Limit raise'!$D:$D=I$16), 0),
MATCH(I$17,'Limit raise'!$1:$1,0))</f>
        <v>0.61290322580645162</v>
      </c>
      <c r="J391" s="18" cm="1">
        <f t="array" ref="J391">INDEX('Limit raise'!$A:$O,
MATCH(1,('Limit raise'!$A:$A=$C391)*('Limit raise'!$D:$D=J$16), 0),
MATCH(J$17,'Limit raise'!$1:$1,0))</f>
        <v>0.92949999999999977</v>
      </c>
      <c r="K391" s="18" cm="1">
        <f t="array" ref="K391">INDEX('Limit raise'!$A:$O,
MATCH(1,('Limit raise'!$A:$A=$C391)*('Limit raise'!$D:$D=K$16), 0),
MATCH(K$17,'Limit raise'!$1:$1,0))</f>
        <v>0.65564958846252408</v>
      </c>
      <c r="L391" s="18">
        <f>INDEX('Limit raise'!$A:$O,
MATCH($C391, 'Limit raise'!$A:$A, 0),
MATCH(L$17,'Limit raise'!$1:$1,0))</f>
        <v>9.5230294669032461E-2</v>
      </c>
      <c r="M391" s="18">
        <v>0.15</v>
      </c>
      <c r="N391" s="18"/>
    </row>
    <row r="392" spans="3:14" s="13" customFormat="1" ht="7.2" customHeight="1" x14ac:dyDescent="0.3">
      <c r="C392" s="17">
        <v>374</v>
      </c>
      <c r="D392" s="18" cm="1">
        <f t="array" ref="D392">INDEX('New credit'!$A:$O,
MATCH(1,('New credit'!$A:$A=$C392)*('New credit'!$D:$D=D$16), 0),
MATCH(D$17,'New credit'!$1:$1,0))</f>
        <v>0.676056338028169</v>
      </c>
      <c r="E392" s="18" cm="1">
        <f t="array" ref="E392">INDEX('New credit'!$A:$O,
MATCH(1,('New credit'!$A:$A=$C392)*('New credit'!$D:$D=E$16), 0),
MATCH(E$17,'New credit'!$1:$1,0))</f>
        <v>0.85624999999999962</v>
      </c>
      <c r="F392" s="18" cm="1">
        <f t="array" ref="F392">INDEX('New credit'!$A:$O,
MATCH(1,('New credit'!$A:$A=$C392)*('New credit'!$D:$D=F$16), 0),
MATCH(F$17,'New credit'!$1:$1,0))</f>
        <v>0.76958903186449812</v>
      </c>
      <c r="G392" s="18">
        <f>INDEX('New credit'!$A:$O,
MATCH($C392, 'New credit'!$A:$A, 0),
MATCH(G$17, 'New credit'!$1:$1, 0))</f>
        <v>8.2743245331020024E-2</v>
      </c>
      <c r="H392" s="18">
        <v>0.15</v>
      </c>
      <c r="I392" s="18" cm="1">
        <f t="array" ref="I392">INDEX('Limit raise'!$A:$O,
MATCH(1,('Limit raise'!$A:$A=$C392)*('Limit raise'!$D:$D=I$16), 0),
MATCH(I$17,'Limit raise'!$1:$1,0))</f>
        <v>0.63934426229508201</v>
      </c>
      <c r="J392" s="18" cm="1">
        <f t="array" ref="J392">INDEX('Limit raise'!$A:$O,
MATCH(1,('Limit raise'!$A:$A=$C392)*('Limit raise'!$D:$D=J$16), 0),
MATCH(J$17,'Limit raise'!$1:$1,0))</f>
        <v>0.93049999999999999</v>
      </c>
      <c r="K392" s="18" cm="1">
        <f t="array" ref="K392">INDEX('Limit raise'!$A:$O,
MATCH(1,('Limit raise'!$A:$A=$C392)*('Limit raise'!$D:$D=K$16), 0),
MATCH(K$17,'Limit raise'!$1:$1,0))</f>
        <v>0.66932859399684042</v>
      </c>
      <c r="L392" s="18">
        <f>INDEX('Limit raise'!$A:$O,
MATCH($C392, 'Limit raise'!$A:$A, 0),
MATCH(L$17,'Limit raise'!$1:$1,0))</f>
        <v>9.7793280961553847E-2</v>
      </c>
      <c r="M392" s="18">
        <v>0.15</v>
      </c>
      <c r="N392" s="18"/>
    </row>
    <row r="393" spans="3:14" s="13" customFormat="1" ht="7.2" customHeight="1" x14ac:dyDescent="0.3">
      <c r="C393" s="17">
        <v>375</v>
      </c>
      <c r="D393" s="18" cm="1">
        <f t="array" ref="D393">INDEX('New credit'!$A:$O,
MATCH(1,('New credit'!$A:$A=$C393)*('New credit'!$D:$D=D$16), 0),
MATCH(D$17,'New credit'!$1:$1,0))</f>
        <v>0.71666666666666667</v>
      </c>
      <c r="E393" s="18" cm="1">
        <f t="array" ref="E393">INDEX('New credit'!$A:$O,
MATCH(1,('New credit'!$A:$A=$C393)*('New credit'!$D:$D=E$16), 0),
MATCH(E$17,'New credit'!$1:$1,0))</f>
        <v>0.88800000000000001</v>
      </c>
      <c r="F393" s="18" cm="1">
        <f t="array" ref="F393">INDEX('New credit'!$A:$O,
MATCH(1,('New credit'!$A:$A=$C393)*('New credit'!$D:$D=F$16), 0),
MATCH(F$17,'New credit'!$1:$1,0))</f>
        <v>0.72795434277242799</v>
      </c>
      <c r="G393" s="18">
        <f>INDEX('New credit'!$A:$O,
MATCH($C393, 'New credit'!$A:$A, 0),
MATCH(G$17, 'New credit'!$1:$1, 0))</f>
        <v>1</v>
      </c>
      <c r="H393" s="18">
        <v>0.15</v>
      </c>
      <c r="I393" s="18" cm="1">
        <f t="array" ref="I393">INDEX('Limit raise'!$A:$O,
MATCH(1,('Limit raise'!$A:$A=$C393)*('Limit raise'!$D:$D=I$16), 0),
MATCH(I$17,'Limit raise'!$1:$1,0))</f>
        <v>0.63934426229508201</v>
      </c>
      <c r="J393" s="18" cm="1">
        <f t="array" ref="J393">INDEX('Limit raise'!$A:$O,
MATCH(1,('Limit raise'!$A:$A=$C393)*('Limit raise'!$D:$D=J$16), 0),
MATCH(J$17,'Limit raise'!$1:$1,0))</f>
        <v>0.93049999999999999</v>
      </c>
      <c r="K393" s="18" cm="1">
        <f t="array" ref="K393">INDEX('Limit raise'!$A:$O,
MATCH(1,('Limit raise'!$A:$A=$C393)*('Limit raise'!$D:$D=K$16), 0),
MATCH(K$17,'Limit raise'!$1:$1,0))</f>
        <v>0.66956964006259778</v>
      </c>
      <c r="L393" s="18">
        <f>INDEX('Limit raise'!$A:$O,
MATCH($C393, 'Limit raise'!$A:$A, 0),
MATCH(L$17,'Limit raise'!$1:$1,0))</f>
        <v>9.7780247720005098E-2</v>
      </c>
      <c r="M393" s="18">
        <v>0.15</v>
      </c>
      <c r="N393" s="18"/>
    </row>
    <row r="394" spans="3:14" s="13" customFormat="1" ht="7.2" customHeight="1" x14ac:dyDescent="0.3">
      <c r="C394" s="17">
        <v>376</v>
      </c>
      <c r="D394" s="18" cm="1">
        <f t="array" ref="D394">INDEX('New credit'!$A:$O,
MATCH(1,('New credit'!$A:$A=$C394)*('New credit'!$D:$D=D$16), 0),
MATCH(D$17,'New credit'!$1:$1,0))</f>
        <v>0.67241379310344829</v>
      </c>
      <c r="E394" s="18" cm="1">
        <f t="array" ref="E394">INDEX('New credit'!$A:$O,
MATCH(1,('New credit'!$A:$A=$C394)*('New credit'!$D:$D=E$16), 0),
MATCH(E$17,'New credit'!$1:$1,0))</f>
        <v>0.87999999999999989</v>
      </c>
      <c r="F394" s="18" cm="1">
        <f t="array" ref="F394">INDEX('New credit'!$A:$O,
MATCH(1,('New credit'!$A:$A=$C394)*('New credit'!$D:$D=F$16), 0),
MATCH(F$17,'New credit'!$1:$1,0))</f>
        <v>0.7892302424133345</v>
      </c>
      <c r="G394" s="18">
        <f>INDEX('New credit'!$A:$O,
MATCH($C394, 'New credit'!$A:$A, 0),
MATCH(G$17, 'New credit'!$1:$1, 0))</f>
        <v>0.23677078843283181</v>
      </c>
      <c r="H394" s="18">
        <v>0.15</v>
      </c>
      <c r="I394" s="18" cm="1">
        <f t="array" ref="I394">INDEX('Limit raise'!$A:$O,
MATCH(1,('Limit raise'!$A:$A=$C394)*('Limit raise'!$D:$D=I$16), 0),
MATCH(I$17,'Limit raise'!$1:$1,0))</f>
        <v>0.63934426229508201</v>
      </c>
      <c r="J394" s="18" cm="1">
        <f t="array" ref="J394">INDEX('Limit raise'!$A:$O,
MATCH(1,('Limit raise'!$A:$A=$C394)*('Limit raise'!$D:$D=J$16), 0),
MATCH(J$17,'Limit raise'!$1:$1,0))</f>
        <v>0.93049999999999999</v>
      </c>
      <c r="K394" s="18" cm="1">
        <f t="array" ref="K394">INDEX('Limit raise'!$A:$O,
MATCH(1,('Limit raise'!$A:$A=$C394)*('Limit raise'!$D:$D=K$16), 0),
MATCH(K$17,'Limit raise'!$1:$1,0))</f>
        <v>0.69430901040582826</v>
      </c>
      <c r="L394" s="18">
        <f>INDEX('Limit raise'!$A:$O,
MATCH($C394, 'Limit raise'!$A:$A, 0),
MATCH(L$17,'Limit raise'!$1:$1,0))</f>
        <v>9.6570716109835739E-2</v>
      </c>
      <c r="M394" s="18">
        <v>0.15</v>
      </c>
      <c r="N394" s="18"/>
    </row>
    <row r="395" spans="3:14" s="13" customFormat="1" ht="7.2" customHeight="1" x14ac:dyDescent="0.3">
      <c r="C395" s="17">
        <v>377</v>
      </c>
      <c r="D395" s="18" cm="1">
        <f t="array" ref="D395">INDEX('New credit'!$A:$O,
MATCH(1,('New credit'!$A:$A=$C395)*('New credit'!$D:$D=D$16), 0),
MATCH(D$17,'New credit'!$1:$1,0))</f>
        <v>0.7678571428571429</v>
      </c>
      <c r="E395" s="18" cm="1">
        <f t="array" ref="E395">INDEX('New credit'!$A:$O,
MATCH(1,('New credit'!$A:$A=$C395)*('New credit'!$D:$D=E$16), 0),
MATCH(E$17,'New credit'!$1:$1,0))</f>
        <v>0.87636363636363623</v>
      </c>
      <c r="F395" s="18" cm="1">
        <f t="array" ref="F395">INDEX('New credit'!$A:$O,
MATCH(1,('New credit'!$A:$A=$C395)*('New credit'!$D:$D=F$16), 0),
MATCH(F$17,'New credit'!$1:$1,0))</f>
        <v>0.75551016329688747</v>
      </c>
      <c r="G395" s="18">
        <f>INDEX('New credit'!$A:$O,
MATCH($C395, 'New credit'!$A:$A, 0),
MATCH(G$17, 'New credit'!$1:$1, 0))</f>
        <v>1</v>
      </c>
      <c r="H395" s="18">
        <v>0.15</v>
      </c>
      <c r="I395" s="18" cm="1">
        <f t="array" ref="I395">INDEX('Limit raise'!$A:$O,
MATCH(1,('Limit raise'!$A:$A=$C395)*('Limit raise'!$D:$D=I$16), 0),
MATCH(I$17,'Limit raise'!$1:$1,0))</f>
        <v>0.63934426229508201</v>
      </c>
      <c r="J395" s="18" cm="1">
        <f t="array" ref="J395">INDEX('Limit raise'!$A:$O,
MATCH(1,('Limit raise'!$A:$A=$C395)*('Limit raise'!$D:$D=J$16), 0),
MATCH(J$17,'Limit raise'!$1:$1,0))</f>
        <v>0.92999999999999994</v>
      </c>
      <c r="K395" s="18" cm="1">
        <f t="array" ref="K395">INDEX('Limit raise'!$A:$O,
MATCH(1,('Limit raise'!$A:$A=$C395)*('Limit raise'!$D:$D=K$16), 0),
MATCH(K$17,'Limit raise'!$1:$1,0))</f>
        <v>0.69268694786611917</v>
      </c>
      <c r="L395" s="18">
        <f>INDEX('Limit raise'!$A:$O,
MATCH($C395, 'Limit raise'!$A:$A, 0),
MATCH(L$17,'Limit raise'!$1:$1,0))</f>
        <v>9.9336006795498699E-2</v>
      </c>
      <c r="M395" s="18">
        <v>0.15</v>
      </c>
      <c r="N395" s="18"/>
    </row>
    <row r="396" spans="3:14" s="13" customFormat="1" ht="7.2" customHeight="1" x14ac:dyDescent="0.3">
      <c r="C396" s="17">
        <v>378</v>
      </c>
      <c r="D396" s="18" cm="1">
        <f t="array" ref="D396">INDEX('New credit'!$A:$O,
MATCH(1,('New credit'!$A:$A=$C396)*('New credit'!$D:$D=D$16), 0),
MATCH(D$17,'New credit'!$1:$1,0))</f>
        <v>0.73333333333333328</v>
      </c>
      <c r="E396" s="18" cm="1">
        <f t="array" ref="E396">INDEX('New credit'!$A:$O,
MATCH(1,('New credit'!$A:$A=$C396)*('New credit'!$D:$D=E$16), 0),
MATCH(E$17,'New credit'!$1:$1,0))</f>
        <v>0.84458333333333302</v>
      </c>
      <c r="F396" s="18" cm="1">
        <f t="array" ref="F396">INDEX('New credit'!$A:$O,
MATCH(1,('New credit'!$A:$A=$C396)*('New credit'!$D:$D=F$16), 0),
MATCH(F$17,'New credit'!$1:$1,0))</f>
        <v>0.79148899349896074</v>
      </c>
      <c r="G396" s="18">
        <f>INDEX('New credit'!$A:$O,
MATCH($C396, 'New credit'!$A:$A, 0),
MATCH(G$17, 'New credit'!$1:$1, 0))</f>
        <v>0.13158890873551871</v>
      </c>
      <c r="H396" s="18">
        <v>0.15</v>
      </c>
      <c r="I396" s="18" cm="1">
        <f t="array" ref="I396">INDEX('Limit raise'!$A:$O,
MATCH(1,('Limit raise'!$A:$A=$C396)*('Limit raise'!$D:$D=I$16), 0),
MATCH(I$17,'Limit raise'!$1:$1,0))</f>
        <v>0.66101694915254239</v>
      </c>
      <c r="J396" s="18" cm="1">
        <f t="array" ref="J396">INDEX('Limit raise'!$A:$O,
MATCH(1,('Limit raise'!$A:$A=$C396)*('Limit raise'!$D:$D=J$16), 0),
MATCH(J$17,'Limit raise'!$1:$1,0))</f>
        <v>0.92999999999999994</v>
      </c>
      <c r="K396" s="18" cm="1">
        <f t="array" ref="K396">INDEX('Limit raise'!$A:$O,
MATCH(1,('Limit raise'!$A:$A=$C396)*('Limit raise'!$D:$D=K$16), 0),
MATCH(K$17,'Limit raise'!$1:$1,0))</f>
        <v>0.77169395320991063</v>
      </c>
      <c r="L396" s="18">
        <f>INDEX('Limit raise'!$A:$O,
MATCH($C396, 'Limit raise'!$A:$A, 0),
MATCH(L$17,'Limit raise'!$1:$1,0))</f>
        <v>9.8720422096618549E-2</v>
      </c>
      <c r="M396" s="18">
        <v>0.15</v>
      </c>
      <c r="N396" s="18"/>
    </row>
    <row r="397" spans="3:14" s="13" customFormat="1" ht="7.2" customHeight="1" x14ac:dyDescent="0.3">
      <c r="C397" s="17">
        <v>379</v>
      </c>
      <c r="D397" s="18" cm="1">
        <f t="array" ref="D397">INDEX('New credit'!$A:$O,
MATCH(1,('New credit'!$A:$A=$C397)*('New credit'!$D:$D=D$16), 0),
MATCH(D$17,'New credit'!$1:$1,0))</f>
        <v>0.73770491803278693</v>
      </c>
      <c r="E397" s="18" cm="1">
        <f t="array" ref="E397">INDEX('New credit'!$A:$O,
MATCH(1,('New credit'!$A:$A=$C397)*('New credit'!$D:$D=E$16), 0),
MATCH(E$17,'New credit'!$1:$1,0))</f>
        <v>0.85124999999999984</v>
      </c>
      <c r="F397" s="18" cm="1">
        <f t="array" ref="F397">INDEX('New credit'!$A:$O,
MATCH(1,('New credit'!$A:$A=$C397)*('New credit'!$D:$D=F$16), 0),
MATCH(F$17,'New credit'!$1:$1,0))</f>
        <v>0.80925131572692743</v>
      </c>
      <c r="G397" s="18">
        <f>INDEX('New credit'!$A:$O,
MATCH($C397, 'New credit'!$A:$A, 0),
MATCH(G$17, 'New credit'!$1:$1, 0))</f>
        <v>0.30788107465355002</v>
      </c>
      <c r="H397" s="18">
        <v>0.15</v>
      </c>
      <c r="I397" s="18" cm="1">
        <f t="array" ref="I397">INDEX('Limit raise'!$A:$O,
MATCH(1,('Limit raise'!$A:$A=$C397)*('Limit raise'!$D:$D=I$16), 0),
MATCH(I$17,'Limit raise'!$1:$1,0))</f>
        <v>0.65</v>
      </c>
      <c r="J397" s="18" cm="1">
        <f t="array" ref="J397">INDEX('Limit raise'!$A:$O,
MATCH(1,('Limit raise'!$A:$A=$C397)*('Limit raise'!$D:$D=J$16), 0),
MATCH(J$17,'Limit raise'!$1:$1,0))</f>
        <v>0.92949999999999977</v>
      </c>
      <c r="K397" s="18" cm="1">
        <f t="array" ref="K397">INDEX('Limit raise'!$A:$O,
MATCH(1,('Limit raise'!$A:$A=$C397)*('Limit raise'!$D:$D=K$16), 0),
MATCH(K$17,'Limit raise'!$1:$1,0))</f>
        <v>0.74832983959168797</v>
      </c>
      <c r="L397" s="18">
        <f>INDEX('Limit raise'!$A:$O,
MATCH($C397, 'Limit raise'!$A:$A, 0),
MATCH(L$17,'Limit raise'!$1:$1,0))</f>
        <v>9.9688697662211709E-2</v>
      </c>
      <c r="M397" s="18">
        <v>0.15</v>
      </c>
      <c r="N397" s="18"/>
    </row>
    <row r="398" spans="3:14" s="13" customFormat="1" ht="7.2" customHeight="1" x14ac:dyDescent="0.3">
      <c r="C398" s="17">
        <v>380</v>
      </c>
      <c r="D398" s="18" cm="1">
        <f t="array" ref="D398">INDEX('New credit'!$A:$O,
MATCH(1,('New credit'!$A:$A=$C398)*('New credit'!$D:$D=D$16), 0),
MATCH(D$17,'New credit'!$1:$1,0))</f>
        <v>0.75438596491228072</v>
      </c>
      <c r="E398" s="18" cm="1">
        <f t="array" ref="E398">INDEX('New credit'!$A:$O,
MATCH(1,('New credit'!$A:$A=$C398)*('New credit'!$D:$D=E$16), 0),
MATCH(E$17,'New credit'!$1:$1,0))</f>
        <v>0.85344827586206873</v>
      </c>
      <c r="F398" s="18" cm="1">
        <f t="array" ref="F398">INDEX('New credit'!$A:$O,
MATCH(1,('New credit'!$A:$A=$C398)*('New credit'!$D:$D=F$16), 0),
MATCH(F$17,'New credit'!$1:$1,0))</f>
        <v>0.76195402420878511</v>
      </c>
      <c r="G398" s="18">
        <f>INDEX('New credit'!$A:$O,
MATCH($C398, 'New credit'!$A:$A, 0),
MATCH(G$17, 'New credit'!$1:$1, 0))</f>
        <v>0.1239756001787736</v>
      </c>
      <c r="H398" s="18">
        <v>0.15</v>
      </c>
      <c r="I398" s="18" cm="1">
        <f t="array" ref="I398">INDEX('Limit raise'!$A:$O,
MATCH(1,('Limit raise'!$A:$A=$C398)*('Limit raise'!$D:$D=I$16), 0),
MATCH(I$17,'Limit raise'!$1:$1,0))</f>
        <v>0.66666666666666663</v>
      </c>
      <c r="J398" s="18" cm="1">
        <f t="array" ref="J398">INDEX('Limit raise'!$A:$O,
MATCH(1,('Limit raise'!$A:$A=$C398)*('Limit raise'!$D:$D=J$16), 0),
MATCH(J$17,'Limit raise'!$1:$1,0))</f>
        <v>0.88476190476190464</v>
      </c>
      <c r="K398" s="18" cm="1">
        <f t="array" ref="K398">INDEX('Limit raise'!$A:$O,
MATCH(1,('Limit raise'!$A:$A=$C398)*('Limit raise'!$D:$D=K$16), 0),
MATCH(K$17,'Limit raise'!$1:$1,0))</f>
        <v>0.77737989493155368</v>
      </c>
      <c r="L398" s="18">
        <f>INDEX('Limit raise'!$A:$O,
MATCH($C398, 'Limit raise'!$A:$A, 0),
MATCH(L$17,'Limit raise'!$1:$1,0))</f>
        <v>9.9250460907746349E-2</v>
      </c>
      <c r="M398" s="18">
        <v>0.15</v>
      </c>
      <c r="N398" s="18"/>
    </row>
    <row r="399" spans="3:14" s="13" customFormat="1" ht="7.2" customHeight="1" x14ac:dyDescent="0.3">
      <c r="C399" s="17">
        <v>381</v>
      </c>
      <c r="D399" s="18" cm="1">
        <f t="array" ref="D399">INDEX('New credit'!$A:$O,
MATCH(1,('New credit'!$A:$A=$C399)*('New credit'!$D:$D=D$16), 0),
MATCH(D$17,'New credit'!$1:$1,0))</f>
        <v>0.76666666666666672</v>
      </c>
      <c r="E399" s="18" cm="1">
        <f t="array" ref="E399">INDEX('New credit'!$A:$O,
MATCH(1,('New credit'!$A:$A=$C399)*('New credit'!$D:$D=E$16), 0),
MATCH(E$17,'New credit'!$1:$1,0))</f>
        <v>0.88874999999999982</v>
      </c>
      <c r="F399" s="18" cm="1">
        <f t="array" ref="F399">INDEX('New credit'!$A:$O,
MATCH(1,('New credit'!$A:$A=$C399)*('New credit'!$D:$D=F$16), 0),
MATCH(F$17,'New credit'!$1:$1,0))</f>
        <v>0.79813745945070724</v>
      </c>
      <c r="G399" s="18">
        <f>INDEX('New credit'!$A:$O,
MATCH($C399, 'New credit'!$A:$A, 0),
MATCH(G$17, 'New credit'!$1:$1, 0))</f>
        <v>1</v>
      </c>
      <c r="H399" s="18">
        <v>0.15</v>
      </c>
      <c r="I399" s="18" cm="1">
        <f t="array" ref="I399">INDEX('Limit raise'!$A:$O,
MATCH(1,('Limit raise'!$A:$A=$C399)*('Limit raise'!$D:$D=I$16), 0),
MATCH(I$17,'Limit raise'!$1:$1,0))</f>
        <v>0.66101694915254239</v>
      </c>
      <c r="J399" s="18" cm="1">
        <f t="array" ref="J399">INDEX('Limit raise'!$A:$O,
MATCH(1,('Limit raise'!$A:$A=$C399)*('Limit raise'!$D:$D=J$16), 0),
MATCH(J$17,'Limit raise'!$1:$1,0))</f>
        <v>0.88523809523809505</v>
      </c>
      <c r="K399" s="18" cm="1">
        <f t="array" ref="K399">INDEX('Limit raise'!$A:$O,
MATCH(1,('Limit raise'!$A:$A=$C399)*('Limit raise'!$D:$D=K$16), 0),
MATCH(K$17,'Limit raise'!$1:$1,0))</f>
        <v>0.68907548677730734</v>
      </c>
      <c r="L399" s="18">
        <f>INDEX('Limit raise'!$A:$O,
MATCH($C399, 'Limit raise'!$A:$A, 0),
MATCH(L$17,'Limit raise'!$1:$1,0))</f>
        <v>9.6709435142421307E-2</v>
      </c>
      <c r="M399" s="18">
        <v>0.15</v>
      </c>
      <c r="N399" s="18"/>
    </row>
    <row r="400" spans="3:14" s="13" customFormat="1" ht="7.2" customHeight="1" x14ac:dyDescent="0.3">
      <c r="C400" s="17">
        <v>382</v>
      </c>
      <c r="D400" s="18" cm="1">
        <f t="array" ref="D400">INDEX('New credit'!$A:$O,
MATCH(1,('New credit'!$A:$A=$C400)*('New credit'!$D:$D=D$16), 0),
MATCH(D$17,'New credit'!$1:$1,0))</f>
        <v>0.79032258064516125</v>
      </c>
      <c r="E400" s="18" cm="1">
        <f t="array" ref="E400">INDEX('New credit'!$A:$O,
MATCH(1,('New credit'!$A:$A=$C400)*('New credit'!$D:$D=E$16), 0),
MATCH(E$17,'New credit'!$1:$1,0))</f>
        <v>0.8548</v>
      </c>
      <c r="F400" s="18" cm="1">
        <f t="array" ref="F400">INDEX('New credit'!$A:$O,
MATCH(1,('New credit'!$A:$A=$C400)*('New credit'!$D:$D=F$16), 0),
MATCH(F$17,'New credit'!$1:$1,0))</f>
        <v>0.72423852315265247</v>
      </c>
      <c r="G400" s="18">
        <f>INDEX('New credit'!$A:$O,
MATCH($C400, 'New credit'!$A:$A, 0),
MATCH(G$17, 'New credit'!$1:$1, 0))</f>
        <v>9.2345877618613556E-2</v>
      </c>
      <c r="H400" s="18">
        <v>0.15</v>
      </c>
      <c r="I400" s="18" cm="1">
        <f t="array" ref="I400">INDEX('Limit raise'!$A:$O,
MATCH(1,('Limit raise'!$A:$A=$C400)*('Limit raise'!$D:$D=I$16), 0),
MATCH(I$17,'Limit raise'!$1:$1,0))</f>
        <v>0.66101694915254239</v>
      </c>
      <c r="J400" s="18" cm="1">
        <f t="array" ref="J400">INDEX('Limit raise'!$A:$O,
MATCH(1,('Limit raise'!$A:$A=$C400)*('Limit raise'!$D:$D=J$16), 0),
MATCH(J$17,'Limit raise'!$1:$1,0))</f>
        <v>0.88523809523809505</v>
      </c>
      <c r="K400" s="18" cm="1">
        <f t="array" ref="K400">INDEX('Limit raise'!$A:$O,
MATCH(1,('Limit raise'!$A:$A=$C400)*('Limit raise'!$D:$D=K$16), 0),
MATCH(K$17,'Limit raise'!$1:$1,0))</f>
        <v>0.68864821191826686</v>
      </c>
      <c r="L400" s="18">
        <f>INDEX('Limit raise'!$A:$O,
MATCH($C400, 'Limit raise'!$A:$A, 0),
MATCH(L$17,'Limit raise'!$1:$1,0))</f>
        <v>9.6395800927672345E-2</v>
      </c>
      <c r="M400" s="18">
        <v>0.15</v>
      </c>
      <c r="N400" s="18"/>
    </row>
    <row r="401" spans="3:14" s="13" customFormat="1" ht="7.2" customHeight="1" x14ac:dyDescent="0.3">
      <c r="C401" s="17">
        <v>383</v>
      </c>
      <c r="D401" s="18" cm="1">
        <f t="array" ref="D401">INDEX('New credit'!$A:$O,
MATCH(1,('New credit'!$A:$A=$C401)*('New credit'!$D:$D=D$16), 0),
MATCH(D$17,'New credit'!$1:$1,0))</f>
        <v>0.7384615384615385</v>
      </c>
      <c r="E401" s="18" cm="1">
        <f t="array" ref="E401">INDEX('New credit'!$A:$O,
MATCH(1,('New credit'!$A:$A=$C401)*('New credit'!$D:$D=E$16), 0),
MATCH(E$17,'New credit'!$1:$1,0))</f>
        <v>0.8567999999999999</v>
      </c>
      <c r="F401" s="18" cm="1">
        <f t="array" ref="F401">INDEX('New credit'!$A:$O,
MATCH(1,('New credit'!$A:$A=$C401)*('New credit'!$D:$D=F$16), 0),
MATCH(F$17,'New credit'!$1:$1,0))</f>
        <v>0.71965137079510288</v>
      </c>
      <c r="G401" s="18">
        <f>INDEX('New credit'!$A:$O,
MATCH($C401, 'New credit'!$A:$A, 0),
MATCH(G$17, 'New credit'!$1:$1, 0))</f>
        <v>0.1395960738690265</v>
      </c>
      <c r="H401" s="18">
        <v>0.15</v>
      </c>
      <c r="I401" s="18" cm="1">
        <f t="array" ref="I401">INDEX('Limit raise'!$A:$O,
MATCH(1,('Limit raise'!$A:$A=$C401)*('Limit raise'!$D:$D=I$16), 0),
MATCH(I$17,'Limit raise'!$1:$1,0))</f>
        <v>0.67796610169491522</v>
      </c>
      <c r="J401" s="18" cm="1">
        <f t="array" ref="J401">INDEX('Limit raise'!$A:$O,
MATCH(1,('Limit raise'!$A:$A=$C401)*('Limit raise'!$D:$D=J$16), 0),
MATCH(J$17,'Limit raise'!$1:$1,0))</f>
        <v>0.88523809523809505</v>
      </c>
      <c r="K401" s="18" cm="1">
        <f t="array" ref="K401">INDEX('Limit raise'!$A:$O,
MATCH(1,('Limit raise'!$A:$A=$C401)*('Limit raise'!$D:$D=K$16), 0),
MATCH(K$17,'Limit raise'!$1:$1,0))</f>
        <v>0.72710431150303079</v>
      </c>
      <c r="L401" s="18">
        <f>INDEX('Limit raise'!$A:$O,
MATCH($C401, 'Limit raise'!$A:$A, 0),
MATCH(L$17,'Limit raise'!$1:$1,0))</f>
        <v>9.679626729839326E-2</v>
      </c>
      <c r="M401" s="18">
        <v>0.15</v>
      </c>
      <c r="N401" s="18"/>
    </row>
    <row r="402" spans="3:14" s="13" customFormat="1" ht="7.2" customHeight="1" x14ac:dyDescent="0.3">
      <c r="C402" s="17">
        <v>384</v>
      </c>
      <c r="D402" s="18" cm="1">
        <f t="array" ref="D402">INDEX('New credit'!$A:$O,
MATCH(1,('New credit'!$A:$A=$C402)*('New credit'!$D:$D=D$16), 0),
MATCH(D$17,'New credit'!$1:$1,0))</f>
        <v>0.703125</v>
      </c>
      <c r="E402" s="18" cm="1">
        <f t="array" ref="E402">INDEX('New credit'!$A:$O,
MATCH(1,('New credit'!$A:$A=$C402)*('New credit'!$D:$D=E$16), 0),
MATCH(E$17,'New credit'!$1:$1,0))</f>
        <v>0.85466666666666646</v>
      </c>
      <c r="F402" s="18" cm="1">
        <f t="array" ref="F402">INDEX('New credit'!$A:$O,
MATCH(1,('New credit'!$A:$A=$C402)*('New credit'!$D:$D=F$16), 0),
MATCH(F$17,'New credit'!$1:$1,0))</f>
        <v>0.80644160848820989</v>
      </c>
      <c r="G402" s="18">
        <f>INDEX('New credit'!$A:$O,
MATCH($C402, 'New credit'!$A:$A, 0),
MATCH(G$17, 'New credit'!$1:$1, 0))</f>
        <v>0.17406063742947731</v>
      </c>
      <c r="H402" s="18">
        <v>0.15</v>
      </c>
      <c r="I402" s="18" cm="1">
        <f t="array" ref="I402">INDEX('Limit raise'!$A:$O,
MATCH(1,('Limit raise'!$A:$A=$C402)*('Limit raise'!$D:$D=I$16), 0),
MATCH(I$17,'Limit raise'!$1:$1,0))</f>
        <v>0.68333333333333335</v>
      </c>
      <c r="J402" s="18" cm="1">
        <f t="array" ref="J402">INDEX('Limit raise'!$A:$O,
MATCH(1,('Limit raise'!$A:$A=$C402)*('Limit raise'!$D:$D=J$16), 0),
MATCH(J$17,'Limit raise'!$1:$1,0))</f>
        <v>0.88476190476190464</v>
      </c>
      <c r="K402" s="18" cm="1">
        <f t="array" ref="K402">INDEX('Limit raise'!$A:$O,
MATCH(1,('Limit raise'!$A:$A=$C402)*('Limit raise'!$D:$D=K$16), 0),
MATCH(K$17,'Limit raise'!$1:$1,0))</f>
        <v>0.73380169371310622</v>
      </c>
      <c r="L402" s="18">
        <f>INDEX('Limit raise'!$A:$O,
MATCH($C402, 'Limit raise'!$A:$A, 0),
MATCH(L$17,'Limit raise'!$1:$1,0))</f>
        <v>9.8303496710009236E-2</v>
      </c>
      <c r="M402" s="18">
        <v>0.15</v>
      </c>
      <c r="N402" s="18"/>
    </row>
    <row r="403" spans="3:14" s="13" customFormat="1" ht="7.2" customHeight="1" x14ac:dyDescent="0.3">
      <c r="C403" s="17">
        <v>385</v>
      </c>
      <c r="D403" s="18" cm="1">
        <f t="array" ref="D403">INDEX('New credit'!$A:$O,
MATCH(1,('New credit'!$A:$A=$C403)*('New credit'!$D:$D=D$16), 0),
MATCH(D$17,'New credit'!$1:$1,0))</f>
        <v>0.73015873015873012</v>
      </c>
      <c r="E403" s="18" cm="1">
        <f t="array" ref="E403">INDEX('New credit'!$A:$O,
MATCH(1,('New credit'!$A:$A=$C403)*('New credit'!$D:$D=E$16), 0),
MATCH(E$17,'New credit'!$1:$1,0))</f>
        <v>0.84966666666666646</v>
      </c>
      <c r="F403" s="18" cm="1">
        <f t="array" ref="F403">INDEX('New credit'!$A:$O,
MATCH(1,('New credit'!$A:$A=$C403)*('New credit'!$D:$D=F$16), 0),
MATCH(F$17,'New credit'!$1:$1,0))</f>
        <v>0.75802985207102935</v>
      </c>
      <c r="G403" s="18">
        <f>INDEX('New credit'!$A:$O,
MATCH($C403, 'New credit'!$A:$A, 0),
MATCH(G$17, 'New credit'!$1:$1, 0))</f>
        <v>7.6873858785582561E-2</v>
      </c>
      <c r="H403" s="18">
        <v>0.15</v>
      </c>
      <c r="I403" s="18" cm="1">
        <f t="array" ref="I403">INDEX('Limit raise'!$A:$O,
MATCH(1,('Limit raise'!$A:$A=$C403)*('Limit raise'!$D:$D=I$16), 0),
MATCH(I$17,'Limit raise'!$1:$1,0))</f>
        <v>0.68333333333333335</v>
      </c>
      <c r="J403" s="18" cm="1">
        <f t="array" ref="J403">INDEX('Limit raise'!$A:$O,
MATCH(1,('Limit raise'!$A:$A=$C403)*('Limit raise'!$D:$D=J$16), 0),
MATCH(J$17,'Limit raise'!$1:$1,0))</f>
        <v>0.88428571428571412</v>
      </c>
      <c r="K403" s="18" cm="1">
        <f t="array" ref="K403">INDEX('Limit raise'!$A:$O,
MATCH(1,('Limit raise'!$A:$A=$C403)*('Limit raise'!$D:$D=K$16), 0),
MATCH(K$17,'Limit raise'!$1:$1,0))</f>
        <v>0.76340504056408731</v>
      </c>
      <c r="L403" s="18">
        <f>INDEX('Limit raise'!$A:$O,
MATCH($C403, 'Limit raise'!$A:$A, 0),
MATCH(L$17,'Limit raise'!$1:$1,0))</f>
        <v>0.1002608887235934</v>
      </c>
      <c r="M403" s="18">
        <v>0.15</v>
      </c>
      <c r="N403" s="18"/>
    </row>
    <row r="404" spans="3:14" s="13" customFormat="1" ht="7.2" customHeight="1" x14ac:dyDescent="0.3">
      <c r="C404" s="17">
        <v>386</v>
      </c>
      <c r="D404" s="18" cm="1">
        <f t="array" ref="D404">INDEX('New credit'!$A:$O,
MATCH(1,('New credit'!$A:$A=$C404)*('New credit'!$D:$D=D$16), 0),
MATCH(D$17,'New credit'!$1:$1,0))</f>
        <v>0.71186440677966101</v>
      </c>
      <c r="E404" s="18" cm="1">
        <f t="array" ref="E404">INDEX('New credit'!$A:$O,
MATCH(1,('New credit'!$A:$A=$C404)*('New credit'!$D:$D=E$16), 0),
MATCH(E$17,'New credit'!$1:$1,0))</f>
        <v>0.88</v>
      </c>
      <c r="F404" s="18" cm="1">
        <f t="array" ref="F404">INDEX('New credit'!$A:$O,
MATCH(1,('New credit'!$A:$A=$C404)*('New credit'!$D:$D=F$16), 0),
MATCH(F$17,'New credit'!$1:$1,0))</f>
        <v>0.73312290099233057</v>
      </c>
      <c r="G404" s="18">
        <f>INDEX('New credit'!$A:$O,
MATCH($C404, 'New credit'!$A:$A, 0),
MATCH(G$17, 'New credit'!$1:$1, 0))</f>
        <v>0.16331588008547779</v>
      </c>
      <c r="H404" s="18">
        <v>0.15</v>
      </c>
      <c r="I404" s="18" cm="1">
        <f t="array" ref="I404">INDEX('Limit raise'!$A:$O,
MATCH(1,('Limit raise'!$A:$A=$C404)*('Limit raise'!$D:$D=I$16), 0),
MATCH(I$17,'Limit raise'!$1:$1,0))</f>
        <v>0.7</v>
      </c>
      <c r="J404" s="18" cm="1">
        <f t="array" ref="J404">INDEX('Limit raise'!$A:$O,
MATCH(1,('Limit raise'!$A:$A=$C404)*('Limit raise'!$D:$D=J$16), 0),
MATCH(J$17,'Limit raise'!$1:$1,0))</f>
        <v>0.88349999999999995</v>
      </c>
      <c r="K404" s="18" cm="1">
        <f t="array" ref="K404">INDEX('Limit raise'!$A:$O,
MATCH(1,('Limit raise'!$A:$A=$C404)*('Limit raise'!$D:$D=K$16), 0),
MATCH(K$17,'Limit raise'!$1:$1,0))</f>
        <v>0.79582985753779112</v>
      </c>
      <c r="L404" s="18">
        <f>INDEX('Limit raise'!$A:$O,
MATCH($C404, 'Limit raise'!$A:$A, 0),
MATCH(L$17,'Limit raise'!$1:$1,0))</f>
        <v>0.10688633280176529</v>
      </c>
      <c r="M404" s="18">
        <v>0.15</v>
      </c>
      <c r="N404" s="18"/>
    </row>
    <row r="405" spans="3:14" s="13" customFormat="1" ht="7.2" customHeight="1" x14ac:dyDescent="0.3">
      <c r="C405" s="17">
        <v>387</v>
      </c>
      <c r="D405" s="18" cm="1">
        <f t="array" ref="D405">INDEX('New credit'!$A:$O,
MATCH(1,('New credit'!$A:$A=$C405)*('New credit'!$D:$D=D$16), 0),
MATCH(D$17,'New credit'!$1:$1,0))</f>
        <v>0.68181818181818177</v>
      </c>
      <c r="E405" s="18" cm="1">
        <f t="array" ref="E405">INDEX('New credit'!$A:$O,
MATCH(1,('New credit'!$A:$A=$C405)*('New credit'!$D:$D=E$16), 0),
MATCH(E$17,'New credit'!$1:$1,0))</f>
        <v>0.88190476190476186</v>
      </c>
      <c r="F405" s="18" cm="1">
        <f t="array" ref="F405">INDEX('New credit'!$A:$O,
MATCH(1,('New credit'!$A:$A=$C405)*('New credit'!$D:$D=F$16), 0),
MATCH(F$17,'New credit'!$1:$1,0))</f>
        <v>0.77189883889938615</v>
      </c>
      <c r="G405" s="18">
        <f>INDEX('New credit'!$A:$O,
MATCH($C405, 'New credit'!$A:$A, 0),
MATCH(G$17, 'New credit'!$1:$1, 0))</f>
        <v>1</v>
      </c>
      <c r="H405" s="18">
        <v>0.15</v>
      </c>
      <c r="I405" s="18" cm="1">
        <f t="array" ref="I405">INDEX('Limit raise'!$A:$O,
MATCH(1,('Limit raise'!$A:$A=$C405)*('Limit raise'!$D:$D=I$16), 0),
MATCH(I$17,'Limit raise'!$1:$1,0))</f>
        <v>0.7</v>
      </c>
      <c r="J405" s="18" cm="1">
        <f t="array" ref="J405">INDEX('Limit raise'!$A:$O,
MATCH(1,('Limit raise'!$A:$A=$C405)*('Limit raise'!$D:$D=J$16), 0),
MATCH(J$17,'Limit raise'!$1:$1,0))</f>
        <v>0.88428571428571412</v>
      </c>
      <c r="K405" s="18" cm="1">
        <f t="array" ref="K405">INDEX('Limit raise'!$A:$O,
MATCH(1,('Limit raise'!$A:$A=$C405)*('Limit raise'!$D:$D=K$16), 0),
MATCH(K$17,'Limit raise'!$1:$1,0))</f>
        <v>0.77713591801010606</v>
      </c>
      <c r="L405" s="18">
        <f>INDEX('Limit raise'!$A:$O,
MATCH($C405, 'Limit raise'!$A:$A, 0),
MATCH(L$17,'Limit raise'!$1:$1,0))</f>
        <v>0.10544621484760459</v>
      </c>
      <c r="M405" s="18">
        <v>0.15</v>
      </c>
      <c r="N405" s="18"/>
    </row>
    <row r="406" spans="3:14" s="13" customFormat="1" ht="7.2" customHeight="1" x14ac:dyDescent="0.3">
      <c r="C406" s="17">
        <v>388</v>
      </c>
      <c r="D406" s="18" cm="1">
        <f t="array" ref="D406">INDEX('New credit'!$A:$O,
MATCH(1,('New credit'!$A:$A=$C406)*('New credit'!$D:$D=D$16), 0),
MATCH(D$17,'New credit'!$1:$1,0))</f>
        <v>0.76190476190476186</v>
      </c>
      <c r="E406" s="18" cm="1">
        <f t="array" ref="E406">INDEX('New credit'!$A:$O,
MATCH(1,('New credit'!$A:$A=$C406)*('New credit'!$D:$D=E$16), 0),
MATCH(E$17,'New credit'!$1:$1,0))</f>
        <v>0.87809523809523804</v>
      </c>
      <c r="F406" s="18" cm="1">
        <f t="array" ref="F406">INDEX('New credit'!$A:$O,
MATCH(1,('New credit'!$A:$A=$C406)*('New credit'!$D:$D=F$16), 0),
MATCH(F$17,'New credit'!$1:$1,0))</f>
        <v>0.8435825579388595</v>
      </c>
      <c r="G406" s="18">
        <f>INDEX('New credit'!$A:$O,
MATCH($C406, 'New credit'!$A:$A, 0),
MATCH(G$17, 'New credit'!$1:$1, 0))</f>
        <v>1</v>
      </c>
      <c r="H406" s="18">
        <v>0.15</v>
      </c>
      <c r="I406" s="18" cm="1">
        <f t="array" ref="I406">INDEX('Limit raise'!$A:$O,
MATCH(1,('Limit raise'!$A:$A=$C406)*('Limit raise'!$D:$D=I$16), 0),
MATCH(I$17,'Limit raise'!$1:$1,0))</f>
        <v>0.68333333333333335</v>
      </c>
      <c r="J406" s="18" cm="1">
        <f t="array" ref="J406">INDEX('Limit raise'!$A:$O,
MATCH(1,('Limit raise'!$A:$A=$C406)*('Limit raise'!$D:$D=J$16), 0),
MATCH(J$17,'Limit raise'!$1:$1,0))</f>
        <v>0.8838095238095236</v>
      </c>
      <c r="K406" s="18" cm="1">
        <f t="array" ref="K406">INDEX('Limit raise'!$A:$O,
MATCH(1,('Limit raise'!$A:$A=$C406)*('Limit raise'!$D:$D=K$16), 0),
MATCH(K$17,'Limit raise'!$1:$1,0))</f>
        <v>0.74915949156057016</v>
      </c>
      <c r="L406" s="18">
        <f>INDEX('Limit raise'!$A:$O,
MATCH($C406, 'Limit raise'!$A:$A, 0),
MATCH(L$17,'Limit raise'!$1:$1,0))</f>
        <v>0.1055210546534622</v>
      </c>
      <c r="M406" s="18">
        <v>0.15</v>
      </c>
      <c r="N406" s="18"/>
    </row>
    <row r="407" spans="3:14" s="13" customFormat="1" ht="7.2" customHeight="1" x14ac:dyDescent="0.3">
      <c r="C407" s="17">
        <v>389</v>
      </c>
      <c r="D407" s="18" cm="1">
        <f t="array" ref="D407">INDEX('New credit'!$A:$O,
MATCH(1,('New credit'!$A:$A=$C407)*('New credit'!$D:$D=D$16), 0),
MATCH(D$17,'New credit'!$1:$1,0))</f>
        <v>0.70588235294117652</v>
      </c>
      <c r="E407" s="18" cm="1">
        <f t="array" ref="E407">INDEX('New credit'!$A:$O,
MATCH(1,('New credit'!$A:$A=$C407)*('New credit'!$D:$D=E$16), 0),
MATCH(E$17,'New credit'!$1:$1,0))</f>
        <v>0.85419354838709649</v>
      </c>
      <c r="F407" s="18" cm="1">
        <f t="array" ref="F407">INDEX('New credit'!$A:$O,
MATCH(1,('New credit'!$A:$A=$C407)*('New credit'!$D:$D=F$16), 0),
MATCH(F$17,'New credit'!$1:$1,0))</f>
        <v>0.78313658599450364</v>
      </c>
      <c r="G407" s="18">
        <f>INDEX('New credit'!$A:$O,
MATCH($C407, 'New credit'!$A:$A, 0),
MATCH(G$17, 'New credit'!$1:$1, 0))</f>
        <v>1</v>
      </c>
      <c r="H407" s="18">
        <v>0.15</v>
      </c>
      <c r="I407" s="18" cm="1">
        <f t="array" ref="I407">INDEX('Limit raise'!$A:$O,
MATCH(1,('Limit raise'!$A:$A=$C407)*('Limit raise'!$D:$D=I$16), 0),
MATCH(I$17,'Limit raise'!$1:$1,0))</f>
        <v>0.67796610169491522</v>
      </c>
      <c r="J407" s="18" cm="1">
        <f t="array" ref="J407">INDEX('Limit raise'!$A:$O,
MATCH(1,('Limit raise'!$A:$A=$C407)*('Limit raise'!$D:$D=J$16), 0),
MATCH(J$17,'Limit raise'!$1:$1,0))</f>
        <v>0.88428571428571412</v>
      </c>
      <c r="K407" s="18" cm="1">
        <f t="array" ref="K407">INDEX('Limit raise'!$A:$O,
MATCH(1,('Limit raise'!$A:$A=$C407)*('Limit raise'!$D:$D=K$16), 0),
MATCH(K$17,'Limit raise'!$1:$1,0))</f>
        <v>0.7294439433591392</v>
      </c>
      <c r="L407" s="18">
        <f>INDEX('Limit raise'!$A:$O,
MATCH($C407, 'Limit raise'!$A:$A, 0),
MATCH(L$17,'Limit raise'!$1:$1,0))</f>
        <v>0.1004547437020387</v>
      </c>
      <c r="M407" s="18">
        <v>0.15</v>
      </c>
      <c r="N407" s="18"/>
    </row>
    <row r="408" spans="3:14" s="13" customFormat="1" ht="7.2" customHeight="1" x14ac:dyDescent="0.3">
      <c r="C408" s="17">
        <v>390</v>
      </c>
      <c r="D408" s="18" cm="1">
        <f t="array" ref="D408">INDEX('New credit'!$A:$O,
MATCH(1,('New credit'!$A:$A=$C408)*('New credit'!$D:$D=D$16), 0),
MATCH(D$17,'New credit'!$1:$1,0))</f>
        <v>0.76119402985074625</v>
      </c>
      <c r="E408" s="18" cm="1">
        <f t="array" ref="E408">INDEX('New credit'!$A:$O,
MATCH(1,('New credit'!$A:$A=$C408)*('New credit'!$D:$D=E$16), 0),
MATCH(E$17,'New credit'!$1:$1,0))</f>
        <v>0.85593749999999991</v>
      </c>
      <c r="F408" s="18" cm="1">
        <f t="array" ref="F408">INDEX('New credit'!$A:$O,
MATCH(1,('New credit'!$A:$A=$C408)*('New credit'!$D:$D=F$16), 0),
MATCH(F$17,'New credit'!$1:$1,0))</f>
        <v>0.71912281421775637</v>
      </c>
      <c r="G408" s="18">
        <f>INDEX('New credit'!$A:$O,
MATCH($C408, 'New credit'!$A:$A, 0),
MATCH(G$17, 'New credit'!$1:$1, 0))</f>
        <v>0.14005443430893769</v>
      </c>
      <c r="H408" s="18">
        <v>0.15</v>
      </c>
      <c r="I408" s="18" cm="1">
        <f t="array" ref="I408">INDEX('Limit raise'!$A:$O,
MATCH(1,('Limit raise'!$A:$A=$C408)*('Limit raise'!$D:$D=I$16), 0),
MATCH(I$17,'Limit raise'!$1:$1,0))</f>
        <v>0.68852459016393441</v>
      </c>
      <c r="J408" s="18" cm="1">
        <f t="array" ref="J408">INDEX('Limit raise'!$A:$O,
MATCH(1,('Limit raise'!$A:$A=$C408)*('Limit raise'!$D:$D=J$16), 0),
MATCH(J$17,'Limit raise'!$1:$1,0))</f>
        <v>0.88428571428571412</v>
      </c>
      <c r="K408" s="18" cm="1">
        <f t="array" ref="K408">INDEX('Limit raise'!$A:$O,
MATCH(1,('Limit raise'!$A:$A=$C408)*('Limit raise'!$D:$D=K$16), 0),
MATCH(K$17,'Limit raise'!$1:$1,0))</f>
        <v>0.72831195842003049</v>
      </c>
      <c r="L408" s="18">
        <f>INDEX('Limit raise'!$A:$O,
MATCH($C408, 'Limit raise'!$A:$A, 0),
MATCH(L$17,'Limit raise'!$1:$1,0))</f>
        <v>0.1000760988644824</v>
      </c>
      <c r="M408" s="18">
        <v>0.15</v>
      </c>
      <c r="N408" s="18"/>
    </row>
    <row r="409" spans="3:14" s="13" customFormat="1" ht="7.2" customHeight="1" x14ac:dyDescent="0.3">
      <c r="C409" s="17">
        <v>391</v>
      </c>
      <c r="D409" s="18" cm="1">
        <f t="array" ref="D409">INDEX('New credit'!$A:$O,
MATCH(1,('New credit'!$A:$A=$C409)*('New credit'!$D:$D=D$16), 0),
MATCH(D$17,'New credit'!$1:$1,0))</f>
        <v>0.7142857142857143</v>
      </c>
      <c r="E409" s="18" cm="1">
        <f t="array" ref="E409">INDEX('New credit'!$A:$O,
MATCH(1,('New credit'!$A:$A=$C409)*('New credit'!$D:$D=E$16), 0),
MATCH(E$17,'New credit'!$1:$1,0))</f>
        <v>0.85999999999999988</v>
      </c>
      <c r="F409" s="18" cm="1">
        <f t="array" ref="F409">INDEX('New credit'!$A:$O,
MATCH(1,('New credit'!$A:$A=$C409)*('New credit'!$D:$D=F$16), 0),
MATCH(F$17,'New credit'!$1:$1,0))</f>
        <v>0.77582213723564331</v>
      </c>
      <c r="G409" s="18">
        <f>INDEX('New credit'!$A:$O,
MATCH($C409, 'New credit'!$A:$A, 0),
MATCH(G$17, 'New credit'!$1:$1, 0))</f>
        <v>0.15718572541121081</v>
      </c>
      <c r="H409" s="18">
        <v>0.15</v>
      </c>
      <c r="I409" s="18" cm="1">
        <f t="array" ref="I409">INDEX('Limit raise'!$A:$O,
MATCH(1,('Limit raise'!$A:$A=$C409)*('Limit raise'!$D:$D=I$16), 0),
MATCH(I$17,'Limit raise'!$1:$1,0))</f>
        <v>0.68333333333333335</v>
      </c>
      <c r="J409" s="18" cm="1">
        <f t="array" ref="J409">INDEX('Limit raise'!$A:$O,
MATCH(1,('Limit raise'!$A:$A=$C409)*('Limit raise'!$D:$D=J$16), 0),
MATCH(J$17,'Limit raise'!$1:$1,0))</f>
        <v>0.88428571428571412</v>
      </c>
      <c r="K409" s="18" cm="1">
        <f t="array" ref="K409">INDEX('Limit raise'!$A:$O,
MATCH(1,('Limit raise'!$A:$A=$C409)*('Limit raise'!$D:$D=K$16), 0),
MATCH(K$17,'Limit raise'!$1:$1,0))</f>
        <v>0.71801787568444531</v>
      </c>
      <c r="L409" s="18">
        <f>INDEX('Limit raise'!$A:$O,
MATCH($C409, 'Limit raise'!$A:$A, 0),
MATCH(L$17,'Limit raise'!$1:$1,0))</f>
        <v>9.629864293702492E-2</v>
      </c>
      <c r="M409" s="18">
        <v>0.15</v>
      </c>
      <c r="N409" s="18"/>
    </row>
    <row r="410" spans="3:14" s="13" customFormat="1" ht="7.2" customHeight="1" x14ac:dyDescent="0.3">
      <c r="C410" s="17">
        <v>392</v>
      </c>
      <c r="D410" s="18" cm="1">
        <f t="array" ref="D410">INDEX('New credit'!$A:$O,
MATCH(1,('New credit'!$A:$A=$C410)*('New credit'!$D:$D=D$16), 0),
MATCH(D$17,'New credit'!$1:$1,0))</f>
        <v>0.66666666666666663</v>
      </c>
      <c r="E410" s="18" cm="1">
        <f t="array" ref="E410">INDEX('New credit'!$A:$O,
MATCH(1,('New credit'!$A:$A=$C410)*('New credit'!$D:$D=E$16), 0),
MATCH(E$17,'New credit'!$1:$1,0))</f>
        <v>0.83382352941176463</v>
      </c>
      <c r="F410" s="18" cm="1">
        <f t="array" ref="F410">INDEX('New credit'!$A:$O,
MATCH(1,('New credit'!$A:$A=$C410)*('New credit'!$D:$D=F$16), 0),
MATCH(F$17,'New credit'!$1:$1,0))</f>
        <v>0.75550755852578266</v>
      </c>
      <c r="G410" s="18">
        <f>INDEX('New credit'!$A:$O,
MATCH($C410, 'New credit'!$A:$A, 0),
MATCH(G$17, 'New credit'!$1:$1, 0))</f>
        <v>9.7443689798951794E-2</v>
      </c>
      <c r="H410" s="18">
        <v>0.15</v>
      </c>
      <c r="I410" s="18" cm="1">
        <f t="array" ref="I410">INDEX('Limit raise'!$A:$O,
MATCH(1,('Limit raise'!$A:$A=$C410)*('Limit raise'!$D:$D=I$16), 0),
MATCH(I$17,'Limit raise'!$1:$1,0))</f>
        <v>0.67796610169491522</v>
      </c>
      <c r="J410" s="18" cm="1">
        <f t="array" ref="J410">INDEX('Limit raise'!$A:$O,
MATCH(1,('Limit raise'!$A:$A=$C410)*('Limit raise'!$D:$D=J$16), 0),
MATCH(J$17,'Limit raise'!$1:$1,0))</f>
        <v>0.88299999999999979</v>
      </c>
      <c r="K410" s="18" cm="1">
        <f t="array" ref="K410">INDEX('Limit raise'!$A:$O,
MATCH(1,('Limit raise'!$A:$A=$C410)*('Limit raise'!$D:$D=K$16), 0),
MATCH(K$17,'Limit raise'!$1:$1,0))</f>
        <v>0.71854112019061578</v>
      </c>
      <c r="L410" s="18">
        <f>INDEX('Limit raise'!$A:$O,
MATCH($C410, 'Limit raise'!$A:$A, 0),
MATCH(L$17,'Limit raise'!$1:$1,0))</f>
        <v>9.3459885264362427E-2</v>
      </c>
      <c r="M410" s="18">
        <v>0.15</v>
      </c>
      <c r="N410" s="18"/>
    </row>
    <row r="411" spans="3:14" s="13" customFormat="1" ht="7.2" customHeight="1" x14ac:dyDescent="0.3">
      <c r="C411" s="17">
        <v>393</v>
      </c>
      <c r="D411" s="18" cm="1">
        <f t="array" ref="D411">INDEX('New credit'!$A:$O,
MATCH(1,('New credit'!$A:$A=$C411)*('New credit'!$D:$D=D$16), 0),
MATCH(D$17,'New credit'!$1:$1,0))</f>
        <v>0.6619718309859155</v>
      </c>
      <c r="E411" s="18" cm="1">
        <f t="array" ref="E411">INDEX('New credit'!$A:$O,
MATCH(1,('New credit'!$A:$A=$C411)*('New credit'!$D:$D=E$16), 0),
MATCH(E$17,'New credit'!$1:$1,0))</f>
        <v>0.83575757575757559</v>
      </c>
      <c r="F411" s="18" cm="1">
        <f t="array" ref="F411">INDEX('New credit'!$A:$O,
MATCH(1,('New credit'!$A:$A=$C411)*('New credit'!$D:$D=F$16), 0),
MATCH(F$17,'New credit'!$1:$1,0))</f>
        <v>0.75821127921196974</v>
      </c>
      <c r="G411" s="18">
        <f>INDEX('New credit'!$A:$O,
MATCH($C411, 'New credit'!$A:$A, 0),
MATCH(G$17, 'New credit'!$1:$1, 0))</f>
        <v>0.1390324316165259</v>
      </c>
      <c r="H411" s="18">
        <v>0.15</v>
      </c>
      <c r="I411" s="18" cm="1">
        <f t="array" ref="I411">INDEX('Limit raise'!$A:$O,
MATCH(1,('Limit raise'!$A:$A=$C411)*('Limit raise'!$D:$D=I$16), 0),
MATCH(I$17,'Limit raise'!$1:$1,0))</f>
        <v>0.68965517241379315</v>
      </c>
      <c r="J411" s="18" cm="1">
        <f t="array" ref="J411">INDEX('Limit raise'!$A:$O,
MATCH(1,('Limit raise'!$A:$A=$C411)*('Limit raise'!$D:$D=J$16), 0),
MATCH(J$17,'Limit raise'!$1:$1,0))</f>
        <v>0.88299999999999979</v>
      </c>
      <c r="K411" s="18" cm="1">
        <f t="array" ref="K411">INDEX('Limit raise'!$A:$O,
MATCH(1,('Limit raise'!$A:$A=$C411)*('Limit raise'!$D:$D=K$16), 0),
MATCH(K$17,'Limit raise'!$1:$1,0))</f>
        <v>0.71673227403122741</v>
      </c>
      <c r="L411" s="18">
        <f>INDEX('Limit raise'!$A:$O,
MATCH($C411, 'Limit raise'!$A:$A, 0),
MATCH(L$17,'Limit raise'!$1:$1,0))</f>
        <v>9.4190904465548106E-2</v>
      </c>
      <c r="M411" s="18">
        <v>0.15</v>
      </c>
      <c r="N411" s="18"/>
    </row>
    <row r="412" spans="3:14" s="13" customFormat="1" ht="7.2" customHeight="1" x14ac:dyDescent="0.3">
      <c r="C412" s="17">
        <v>394</v>
      </c>
      <c r="D412" s="18" cm="1">
        <f t="array" ref="D412">INDEX('New credit'!$A:$O,
MATCH(1,('New credit'!$A:$A=$C412)*('New credit'!$D:$D=D$16), 0),
MATCH(D$17,'New credit'!$1:$1,0))</f>
        <v>0.66666666666666663</v>
      </c>
      <c r="E412" s="18" cm="1">
        <f t="array" ref="E412">INDEX('New credit'!$A:$O,
MATCH(1,('New credit'!$A:$A=$C412)*('New credit'!$D:$D=E$16), 0),
MATCH(E$17,'New credit'!$1:$1,0))</f>
        <v>0.89384615384615396</v>
      </c>
      <c r="F412" s="18" cm="1">
        <f t="array" ref="F412">INDEX('New credit'!$A:$O,
MATCH(1,('New credit'!$A:$A=$C412)*('New credit'!$D:$D=F$16), 0),
MATCH(F$17,'New credit'!$1:$1,0))</f>
        <v>0.79441533690421473</v>
      </c>
      <c r="G412" s="18">
        <f>INDEX('New credit'!$A:$O,
MATCH($C412, 'New credit'!$A:$A, 0),
MATCH(G$17, 'New credit'!$1:$1, 0))</f>
        <v>1</v>
      </c>
      <c r="H412" s="18">
        <v>0.15</v>
      </c>
      <c r="I412" s="18" cm="1">
        <f t="array" ref="I412">INDEX('Limit raise'!$A:$O,
MATCH(1,('Limit raise'!$A:$A=$C412)*('Limit raise'!$D:$D=I$16), 0),
MATCH(I$17,'Limit raise'!$1:$1,0))</f>
        <v>0.66101694915254239</v>
      </c>
      <c r="J412" s="18" cm="1">
        <f t="array" ref="J412">INDEX('Limit raise'!$A:$O,
MATCH(1,('Limit raise'!$A:$A=$C412)*('Limit raise'!$D:$D=J$16), 0),
MATCH(J$17,'Limit raise'!$1:$1,0))</f>
        <v>0.8838095238095236</v>
      </c>
      <c r="K412" s="18" cm="1">
        <f t="array" ref="K412">INDEX('Limit raise'!$A:$O,
MATCH(1,('Limit raise'!$A:$A=$C412)*('Limit raise'!$D:$D=K$16), 0),
MATCH(K$17,'Limit raise'!$1:$1,0))</f>
        <v>0.6776067053451198</v>
      </c>
      <c r="L412" s="18">
        <f>INDEX('Limit raise'!$A:$O,
MATCH($C412, 'Limit raise'!$A:$A, 0),
MATCH(L$17,'Limit raise'!$1:$1,0))</f>
        <v>9.3738445586726282E-2</v>
      </c>
      <c r="M412" s="18">
        <v>0.15</v>
      </c>
      <c r="N412" s="18"/>
    </row>
    <row r="413" spans="3:14" s="13" customFormat="1" ht="7.2" customHeight="1" x14ac:dyDescent="0.3">
      <c r="C413" s="17">
        <v>395</v>
      </c>
      <c r="D413" s="18" cm="1">
        <f t="array" ref="D413">INDEX('New credit'!$A:$O,
MATCH(1,('New credit'!$A:$A=$C413)*('New credit'!$D:$D=D$16), 0),
MATCH(D$17,'New credit'!$1:$1,0))</f>
        <v>0.73015873015873012</v>
      </c>
      <c r="E413" s="18" cm="1">
        <f t="array" ref="E413">INDEX('New credit'!$A:$O,
MATCH(1,('New credit'!$A:$A=$C413)*('New credit'!$D:$D=E$16), 0),
MATCH(E$17,'New credit'!$1:$1,0))</f>
        <v>0.89159999999999995</v>
      </c>
      <c r="F413" s="18" cm="1">
        <f t="array" ref="F413">INDEX('New credit'!$A:$O,
MATCH(1,('New credit'!$A:$A=$C413)*('New credit'!$D:$D=F$16), 0),
MATCH(F$17,'New credit'!$1:$1,0))</f>
        <v>0.79243306391825552</v>
      </c>
      <c r="G413" s="18">
        <f>INDEX('New credit'!$A:$O,
MATCH($C413, 'New credit'!$A:$A, 0),
MATCH(G$17, 'New credit'!$1:$1, 0))</f>
        <v>1</v>
      </c>
      <c r="H413" s="18">
        <v>0.15</v>
      </c>
      <c r="I413" s="18" cm="1">
        <f t="array" ref="I413">INDEX('Limit raise'!$A:$O,
MATCH(1,('Limit raise'!$A:$A=$C413)*('Limit raise'!$D:$D=I$16), 0),
MATCH(I$17,'Limit raise'!$1:$1,0))</f>
        <v>0.66101694915254239</v>
      </c>
      <c r="J413" s="18" cm="1">
        <f t="array" ref="J413">INDEX('Limit raise'!$A:$O,
MATCH(1,('Limit raise'!$A:$A=$C413)*('Limit raise'!$D:$D=J$16), 0),
MATCH(J$17,'Limit raise'!$1:$1,0))</f>
        <v>0.8838095238095236</v>
      </c>
      <c r="K413" s="18" cm="1">
        <f t="array" ref="K413">INDEX('Limit raise'!$A:$O,
MATCH(1,('Limit raise'!$A:$A=$C413)*('Limit raise'!$D:$D=K$16), 0),
MATCH(K$17,'Limit raise'!$1:$1,0))</f>
        <v>0.71704052621283554</v>
      </c>
      <c r="L413" s="18">
        <f>INDEX('Limit raise'!$A:$O,
MATCH($C413, 'Limit raise'!$A:$A, 0),
MATCH(L$17,'Limit raise'!$1:$1,0))</f>
        <v>9.1683396148126831E-2</v>
      </c>
      <c r="M413" s="18">
        <v>0.15</v>
      </c>
      <c r="N413" s="18"/>
    </row>
    <row r="414" spans="3:14" s="13" customFormat="1" ht="7.2" customHeight="1" x14ac:dyDescent="0.3">
      <c r="C414" s="17">
        <v>396</v>
      </c>
      <c r="D414" s="18" cm="1">
        <f t="array" ref="D414">INDEX('New credit'!$A:$O,
MATCH(1,('New credit'!$A:$A=$C414)*('New credit'!$D:$D=D$16), 0),
MATCH(D$17,'New credit'!$1:$1,0))</f>
        <v>0.77586206896551724</v>
      </c>
      <c r="E414" s="18" cm="1">
        <f t="array" ref="E414">INDEX('New credit'!$A:$O,
MATCH(1,('New credit'!$A:$A=$C414)*('New credit'!$D:$D=E$16), 0),
MATCH(E$17,'New credit'!$1:$1,0))</f>
        <v>0.8822727272727271</v>
      </c>
      <c r="F414" s="18" cm="1">
        <f t="array" ref="F414">INDEX('New credit'!$A:$O,
MATCH(1,('New credit'!$A:$A=$C414)*('New credit'!$D:$D=F$16), 0),
MATCH(F$17,'New credit'!$1:$1,0))</f>
        <v>0.78035387103022125</v>
      </c>
      <c r="G414" s="18">
        <f>INDEX('New credit'!$A:$O,
MATCH($C414, 'New credit'!$A:$A, 0),
MATCH(G$17, 'New credit'!$1:$1, 0))</f>
        <v>0.1347239414235375</v>
      </c>
      <c r="H414" s="18">
        <v>0.15</v>
      </c>
      <c r="I414" s="18" cm="1">
        <f t="array" ref="I414">INDEX('Limit raise'!$A:$O,
MATCH(1,('Limit raise'!$A:$A=$C414)*('Limit raise'!$D:$D=I$16), 0),
MATCH(I$17,'Limit raise'!$1:$1,0))</f>
        <v>0.66101694915254239</v>
      </c>
      <c r="J414" s="18" cm="1">
        <f t="array" ref="J414">INDEX('Limit raise'!$A:$O,
MATCH(1,('Limit raise'!$A:$A=$C414)*('Limit raise'!$D:$D=J$16), 0),
MATCH(J$17,'Limit raise'!$1:$1,0))</f>
        <v>0.88428571428571412</v>
      </c>
      <c r="K414" s="18" cm="1">
        <f t="array" ref="K414">INDEX('Limit raise'!$A:$O,
MATCH(1,('Limit raise'!$A:$A=$C414)*('Limit raise'!$D:$D=K$16), 0),
MATCH(K$17,'Limit raise'!$1:$1,0))</f>
        <v>0.7171052773909391</v>
      </c>
      <c r="L414" s="18">
        <f>INDEX('Limit raise'!$A:$O,
MATCH($C414, 'Limit raise'!$A:$A, 0),
MATCH(L$17,'Limit raise'!$1:$1,0))</f>
        <v>9.2129217499314658E-2</v>
      </c>
      <c r="M414" s="18">
        <v>0.15</v>
      </c>
      <c r="N414" s="18"/>
    </row>
    <row r="415" spans="3:14" s="13" customFormat="1" ht="7.2" customHeight="1" x14ac:dyDescent="0.3">
      <c r="C415" s="17">
        <v>397</v>
      </c>
      <c r="D415" s="18" cm="1">
        <f t="array" ref="D415">INDEX('New credit'!$A:$O,
MATCH(1,('New credit'!$A:$A=$C415)*('New credit'!$D:$D=D$16), 0),
MATCH(D$17,'New credit'!$1:$1,0))</f>
        <v>0.7068965517241379</v>
      </c>
      <c r="E415" s="18" cm="1">
        <f t="array" ref="E415">INDEX('New credit'!$A:$O,
MATCH(1,('New credit'!$A:$A=$C415)*('New credit'!$D:$D=E$16), 0),
MATCH(E$17,'New credit'!$1:$1,0))</f>
        <v>0.84374999999999989</v>
      </c>
      <c r="F415" s="18" cm="1">
        <f t="array" ref="F415">INDEX('New credit'!$A:$O,
MATCH(1,('New credit'!$A:$A=$C415)*('New credit'!$D:$D=F$16), 0),
MATCH(F$17,'New credit'!$1:$1,0))</f>
        <v>0.72626747025802951</v>
      </c>
      <c r="G415" s="18">
        <f>INDEX('New credit'!$A:$O,
MATCH($C415, 'New credit'!$A:$A, 0),
MATCH(G$17, 'New credit'!$1:$1, 0))</f>
        <v>0.15839967441632891</v>
      </c>
      <c r="H415" s="18">
        <v>0.15</v>
      </c>
      <c r="I415" s="18" cm="1">
        <f t="array" ref="I415">INDEX('Limit raise'!$A:$O,
MATCH(1,('Limit raise'!$A:$A=$C415)*('Limit raise'!$D:$D=I$16), 0),
MATCH(I$17,'Limit raise'!$1:$1,0))</f>
        <v>0.67796610169491522</v>
      </c>
      <c r="J415" s="18" cm="1">
        <f t="array" ref="J415">INDEX('Limit raise'!$A:$O,
MATCH(1,('Limit raise'!$A:$A=$C415)*('Limit raise'!$D:$D=J$16), 0),
MATCH(J$17,'Limit raise'!$1:$1,0))</f>
        <v>0.8838095238095236</v>
      </c>
      <c r="K415" s="18" cm="1">
        <f t="array" ref="K415">INDEX('Limit raise'!$A:$O,
MATCH(1,('Limit raise'!$A:$A=$C415)*('Limit raise'!$D:$D=K$16), 0),
MATCH(K$17,'Limit raise'!$1:$1,0))</f>
        <v>0.77019224933867092</v>
      </c>
      <c r="L415" s="18">
        <f>INDEX('Limit raise'!$A:$O,
MATCH($C415, 'Limit raise'!$A:$A, 0),
MATCH(L$17,'Limit raise'!$1:$1,0))</f>
        <v>8.8681977561082162E-2</v>
      </c>
      <c r="M415" s="18">
        <v>0.15</v>
      </c>
      <c r="N415" s="18"/>
    </row>
    <row r="416" spans="3:14" s="13" customFormat="1" ht="7.2" customHeight="1" x14ac:dyDescent="0.3">
      <c r="C416" s="17">
        <v>398</v>
      </c>
      <c r="D416" s="18" cm="1">
        <f t="array" ref="D416">INDEX('New credit'!$A:$O,
MATCH(1,('New credit'!$A:$A=$C416)*('New credit'!$D:$D=D$16), 0),
MATCH(D$17,'New credit'!$1:$1,0))</f>
        <v>0.64912280701754388</v>
      </c>
      <c r="E416" s="18" cm="1">
        <f t="array" ref="E416">INDEX('New credit'!$A:$O,
MATCH(1,('New credit'!$A:$A=$C416)*('New credit'!$D:$D=E$16), 0),
MATCH(E$17,'New credit'!$1:$1,0))</f>
        <v>0.83999999999999986</v>
      </c>
      <c r="F416" s="18" cm="1">
        <f t="array" ref="F416">INDEX('New credit'!$A:$O,
MATCH(1,('New credit'!$A:$A=$C416)*('New credit'!$D:$D=F$16), 0),
MATCH(F$17,'New credit'!$1:$1,0))</f>
        <v>0.758534327897186</v>
      </c>
      <c r="G416" s="18">
        <f>INDEX('New credit'!$A:$O,
MATCH($C416, 'New credit'!$A:$A, 0),
MATCH(G$17, 'New credit'!$1:$1, 0))</f>
        <v>1</v>
      </c>
      <c r="H416" s="18">
        <v>0.15</v>
      </c>
      <c r="I416" s="18" cm="1">
        <f t="array" ref="I416">INDEX('Limit raise'!$A:$O,
MATCH(1,('Limit raise'!$A:$A=$C416)*('Limit raise'!$D:$D=I$16), 0),
MATCH(I$17,'Limit raise'!$1:$1,0))</f>
        <v>0.68965517241379315</v>
      </c>
      <c r="J416" s="18" cm="1">
        <f t="array" ref="J416">INDEX('Limit raise'!$A:$O,
MATCH(1,('Limit raise'!$A:$A=$C416)*('Limit raise'!$D:$D=J$16), 0),
MATCH(J$17,'Limit raise'!$1:$1,0))</f>
        <v>0.88285714285714267</v>
      </c>
      <c r="K416" s="18" cm="1">
        <f t="array" ref="K416">INDEX('Limit raise'!$A:$O,
MATCH(1,('Limit raise'!$A:$A=$C416)*('Limit raise'!$D:$D=K$16), 0),
MATCH(K$17,'Limit raise'!$1:$1,0))</f>
        <v>0.81430374206897083</v>
      </c>
      <c r="L416" s="18">
        <f>INDEX('Limit raise'!$A:$O,
MATCH($C416, 'Limit raise'!$A:$A, 0),
MATCH(L$17,'Limit raise'!$1:$1,0))</f>
        <v>9.0419865047754983E-2</v>
      </c>
      <c r="M416" s="18">
        <v>0.15</v>
      </c>
      <c r="N416" s="18"/>
    </row>
    <row r="417" spans="3:14" s="13" customFormat="1" ht="7.2" customHeight="1" x14ac:dyDescent="0.3">
      <c r="C417" s="17">
        <v>399</v>
      </c>
      <c r="D417" s="18" cm="1">
        <f t="array" ref="D417">INDEX('New credit'!$A:$O,
MATCH(1,('New credit'!$A:$A=$C417)*('New credit'!$D:$D=D$16), 0),
MATCH(D$17,'New credit'!$1:$1,0))</f>
        <v>0.63492063492063489</v>
      </c>
      <c r="E417" s="18" cm="1">
        <f t="array" ref="E417">INDEX('New credit'!$A:$O,
MATCH(1,('New credit'!$A:$A=$C417)*('New credit'!$D:$D=E$16), 0),
MATCH(E$17,'New credit'!$1:$1,0))</f>
        <v>0.85533333333333306</v>
      </c>
      <c r="F417" s="18" cm="1">
        <f t="array" ref="F417">INDEX('New credit'!$A:$O,
MATCH(1,('New credit'!$A:$A=$C417)*('New credit'!$D:$D=F$16), 0),
MATCH(F$17,'New credit'!$1:$1,0))</f>
        <v>0.76519259193715272</v>
      </c>
      <c r="G417" s="18">
        <f>INDEX('New credit'!$A:$O,
MATCH($C417, 'New credit'!$A:$A, 0),
MATCH(G$17, 'New credit'!$1:$1, 0))</f>
        <v>1</v>
      </c>
      <c r="H417" s="18">
        <v>0.15</v>
      </c>
      <c r="I417" s="18" cm="1">
        <f t="array" ref="I417">INDEX('Limit raise'!$A:$O,
MATCH(1,('Limit raise'!$A:$A=$C417)*('Limit raise'!$D:$D=I$16), 0),
MATCH(I$17,'Limit raise'!$1:$1,0))</f>
        <v>0.68333333333333335</v>
      </c>
      <c r="J417" s="18" cm="1">
        <f t="array" ref="J417">INDEX('Limit raise'!$A:$O,
MATCH(1,('Limit raise'!$A:$A=$C417)*('Limit raise'!$D:$D=J$16), 0),
MATCH(J$17,'Limit raise'!$1:$1,0))</f>
        <v>0.8838095238095236</v>
      </c>
      <c r="K417" s="18" cm="1">
        <f t="array" ref="K417">INDEX('Limit raise'!$A:$O,
MATCH(1,('Limit raise'!$A:$A=$C417)*('Limit raise'!$D:$D=K$16), 0),
MATCH(K$17,'Limit raise'!$1:$1,0))</f>
        <v>0.81519171695839121</v>
      </c>
      <c r="L417" s="18">
        <f>INDEX('Limit raise'!$A:$O,
MATCH($C417, 'Limit raise'!$A:$A, 0),
MATCH(L$17,'Limit raise'!$1:$1,0))</f>
        <v>8.7160065323925326E-2</v>
      </c>
      <c r="M417" s="18">
        <v>0.15</v>
      </c>
      <c r="N417" s="18"/>
    </row>
    <row r="418" spans="3:14" s="13" customFormat="1" ht="7.2" customHeight="1" x14ac:dyDescent="0.3">
      <c r="C418" s="17">
        <v>400</v>
      </c>
      <c r="D418" s="18" cm="1">
        <f t="array" ref="D418">INDEX('New credit'!$A:$O,
MATCH(1,('New credit'!$A:$A=$C418)*('New credit'!$D:$D=D$16), 0),
MATCH(D$17,'New credit'!$1:$1,0))</f>
        <v>0.625</v>
      </c>
      <c r="E418" s="18" cm="1">
        <f t="array" ref="E418">INDEX('New credit'!$A:$O,
MATCH(1,('New credit'!$A:$A=$C418)*('New credit'!$D:$D=E$16), 0),
MATCH(E$17,'New credit'!$1:$1,0))</f>
        <v>0.86093749999999991</v>
      </c>
      <c r="F418" s="18" cm="1">
        <f t="array" ref="F418">INDEX('New credit'!$A:$O,
MATCH(1,('New credit'!$A:$A=$C418)*('New credit'!$D:$D=F$16), 0),
MATCH(F$17,'New credit'!$1:$1,0))</f>
        <v>0.75924726491206762</v>
      </c>
      <c r="G418" s="18">
        <f>INDEX('New credit'!$A:$O,
MATCH($C418, 'New credit'!$A:$A, 0),
MATCH(G$17, 'New credit'!$1:$1, 0))</f>
        <v>0.13680898963121471</v>
      </c>
      <c r="H418" s="18">
        <v>0.15</v>
      </c>
      <c r="I418" s="18" cm="1">
        <f t="array" ref="I418">INDEX('Limit raise'!$A:$O,
MATCH(1,('Limit raise'!$A:$A=$C418)*('Limit raise'!$D:$D=I$16), 0),
MATCH(I$17,'Limit raise'!$1:$1,0))</f>
        <v>0.64516129032258063</v>
      </c>
      <c r="J418" s="18" cm="1">
        <f t="array" ref="J418">INDEX('Limit raise'!$A:$O,
MATCH(1,('Limit raise'!$A:$A=$C418)*('Limit raise'!$D:$D=J$16), 0),
MATCH(J$17,'Limit raise'!$1:$1,0))</f>
        <v>0.88047619047619019</v>
      </c>
      <c r="K418" s="18" cm="1">
        <f t="array" ref="K418">INDEX('Limit raise'!$A:$O,
MATCH(1,('Limit raise'!$A:$A=$C418)*('Limit raise'!$D:$D=K$16), 0),
MATCH(K$17,'Limit raise'!$1:$1,0))</f>
        <v>0.77924187644517351</v>
      </c>
      <c r="L418" s="18">
        <f>INDEX('Limit raise'!$A:$O,
MATCH($C418, 'Limit raise'!$A:$A, 0),
MATCH(L$17,'Limit raise'!$1:$1,0))</f>
        <v>8.4706895831074533E-2</v>
      </c>
      <c r="M418" s="18">
        <v>0.15</v>
      </c>
      <c r="N418" s="18"/>
    </row>
    <row r="419" spans="3:14" s="13" customFormat="1" ht="7.2" customHeight="1" x14ac:dyDescent="0.3">
      <c r="C419" s="17">
        <v>401</v>
      </c>
      <c r="D419" s="18" cm="1">
        <f t="array" ref="D419">INDEX('New credit'!$A:$O,
MATCH(1,('New credit'!$A:$A=$C419)*('New credit'!$D:$D=D$16), 0),
MATCH(D$17,'New credit'!$1:$1,0))</f>
        <v>0.69117647058823528</v>
      </c>
      <c r="E419" s="18" cm="1">
        <f t="array" ref="E419">INDEX('New credit'!$A:$O,
MATCH(1,('New credit'!$A:$A=$C419)*('New credit'!$D:$D=E$16), 0),
MATCH(E$17,'New credit'!$1:$1,0))</f>
        <v>0.8610714285714286</v>
      </c>
      <c r="F419" s="18" cm="1">
        <f t="array" ref="F419">INDEX('New credit'!$A:$O,
MATCH(1,('New credit'!$A:$A=$C419)*('New credit'!$D:$D=F$16), 0),
MATCH(F$17,'New credit'!$1:$1,0))</f>
        <v>0.73395112618742697</v>
      </c>
      <c r="G419" s="18">
        <f>INDEX('New credit'!$A:$O,
MATCH($C419, 'New credit'!$A:$A, 0),
MATCH(G$17, 'New credit'!$1:$1, 0))</f>
        <v>0.15185955134467891</v>
      </c>
      <c r="H419" s="18">
        <v>0.15</v>
      </c>
      <c r="I419" s="18" cm="1">
        <f t="array" ref="I419">INDEX('Limit raise'!$A:$O,
MATCH(1,('Limit raise'!$A:$A=$C419)*('Limit raise'!$D:$D=I$16), 0),
MATCH(I$17,'Limit raise'!$1:$1,0))</f>
        <v>0.625</v>
      </c>
      <c r="J419" s="18" cm="1">
        <f t="array" ref="J419">INDEX('Limit raise'!$A:$O,
MATCH(1,('Limit raise'!$A:$A=$C419)*('Limit raise'!$D:$D=J$16), 0),
MATCH(J$17,'Limit raise'!$1:$1,0))</f>
        <v>0.87999999999999989</v>
      </c>
      <c r="K419" s="18" cm="1">
        <f t="array" ref="K419">INDEX('Limit raise'!$A:$O,
MATCH(1,('Limit raise'!$A:$A=$C419)*('Limit raise'!$D:$D=K$16), 0),
MATCH(K$17,'Limit raise'!$1:$1,0))</f>
        <v>0.7785259640780825</v>
      </c>
      <c r="L419" s="18">
        <f>INDEX('Limit raise'!$A:$O,
MATCH($C419, 'Limit raise'!$A:$A, 0),
MATCH(L$17,'Limit raise'!$1:$1,0))</f>
        <v>8.8915911503275866E-2</v>
      </c>
      <c r="M419" s="18">
        <v>0.15</v>
      </c>
      <c r="N419" s="18"/>
    </row>
    <row r="420" spans="3:14" s="13" customFormat="1" ht="7.2" customHeight="1" x14ac:dyDescent="0.3">
      <c r="C420" s="17">
        <v>402</v>
      </c>
      <c r="D420" s="18" cm="1">
        <f t="array" ref="D420">INDEX('New credit'!$A:$O,
MATCH(1,('New credit'!$A:$A=$C420)*('New credit'!$D:$D=D$16), 0),
MATCH(D$17,'New credit'!$1:$1,0))</f>
        <v>0.73913043478260865</v>
      </c>
      <c r="E420" s="18" cm="1">
        <f t="array" ref="E420">INDEX('New credit'!$A:$O,
MATCH(1,('New credit'!$A:$A=$C420)*('New credit'!$D:$D=E$16), 0),
MATCH(E$17,'New credit'!$1:$1,0))</f>
        <v>0.86111111111111094</v>
      </c>
      <c r="F420" s="18" cm="1">
        <f t="array" ref="F420">INDEX('New credit'!$A:$O,
MATCH(1,('New credit'!$A:$A=$C420)*('New credit'!$D:$D=F$16), 0),
MATCH(F$17,'New credit'!$1:$1,0))</f>
        <v>0.76403440727916638</v>
      </c>
      <c r="G420" s="18">
        <f>INDEX('New credit'!$A:$O,
MATCH($C420, 'New credit'!$A:$A, 0),
MATCH(G$17, 'New credit'!$1:$1, 0))</f>
        <v>8.4912910332739774E-2</v>
      </c>
      <c r="H420" s="18">
        <v>0.15</v>
      </c>
      <c r="I420" s="18" cm="1">
        <f t="array" ref="I420">INDEX('Limit raise'!$A:$O,
MATCH(1,('Limit raise'!$A:$A=$C420)*('Limit raise'!$D:$D=I$16), 0),
MATCH(I$17,'Limit raise'!$1:$1,0))</f>
        <v>0.63076923076923075</v>
      </c>
      <c r="J420" s="18" cm="1">
        <f t="array" ref="J420">INDEX('Limit raise'!$A:$O,
MATCH(1,('Limit raise'!$A:$A=$C420)*('Limit raise'!$D:$D=J$16), 0),
MATCH(J$17,'Limit raise'!$1:$1,0))</f>
        <v>0.87952380952380926</v>
      </c>
      <c r="K420" s="18" cm="1">
        <f t="array" ref="K420">INDEX('Limit raise'!$A:$O,
MATCH(1,('Limit raise'!$A:$A=$C420)*('Limit raise'!$D:$D=K$16), 0),
MATCH(K$17,'Limit raise'!$1:$1,0))</f>
        <v>0.81562728285773711</v>
      </c>
      <c r="L420" s="18">
        <f>INDEX('Limit raise'!$A:$O,
MATCH($C420, 'Limit raise'!$A:$A, 0),
MATCH(L$17,'Limit raise'!$1:$1,0))</f>
        <v>8.9469812895236131E-2</v>
      </c>
      <c r="M420" s="18">
        <v>0.15</v>
      </c>
      <c r="N420" s="18"/>
    </row>
    <row r="421" spans="3:14" s="13" customFormat="1" ht="7.2" customHeight="1" x14ac:dyDescent="0.3">
      <c r="C421" s="17">
        <v>403</v>
      </c>
      <c r="D421" s="18" cm="1">
        <f t="array" ref="D421">INDEX('New credit'!$A:$O,
MATCH(1,('New credit'!$A:$A=$C421)*('New credit'!$D:$D=D$16), 0),
MATCH(D$17,'New credit'!$1:$1,0))</f>
        <v>0.69230769230769229</v>
      </c>
      <c r="E421" s="18" cm="1">
        <f t="array" ref="E421">INDEX('New credit'!$A:$O,
MATCH(1,('New credit'!$A:$A=$C421)*('New credit'!$D:$D=E$16), 0),
MATCH(E$17,'New credit'!$1:$1,0))</f>
        <v>0.86448275862068968</v>
      </c>
      <c r="F421" s="18" cm="1">
        <f t="array" ref="F421">INDEX('New credit'!$A:$O,
MATCH(1,('New credit'!$A:$A=$C421)*('New credit'!$D:$D=F$16), 0),
MATCH(F$17,'New credit'!$1:$1,0))</f>
        <v>0.75186028182438747</v>
      </c>
      <c r="G421" s="18">
        <f>INDEX('New credit'!$A:$O,
MATCH($C421, 'New credit'!$A:$A, 0),
MATCH(G$17, 'New credit'!$1:$1, 0))</f>
        <v>0.12322038303248101</v>
      </c>
      <c r="H421" s="18">
        <v>0.15</v>
      </c>
      <c r="I421" s="18" cm="1">
        <f t="array" ref="I421">INDEX('Limit raise'!$A:$O,
MATCH(1,('Limit raise'!$A:$A=$C421)*('Limit raise'!$D:$D=I$16), 0),
MATCH(I$17,'Limit raise'!$1:$1,0))</f>
        <v>0.62121212121212122</v>
      </c>
      <c r="J421" s="18" cm="1">
        <f t="array" ref="J421">INDEX('Limit raise'!$A:$O,
MATCH(1,('Limit raise'!$A:$A=$C421)*('Limit raise'!$D:$D=J$16), 0),
MATCH(J$17,'Limit raise'!$1:$1,0))</f>
        <v>0.87999999999999989</v>
      </c>
      <c r="K421" s="18" cm="1">
        <f t="array" ref="K421">INDEX('Limit raise'!$A:$O,
MATCH(1,('Limit raise'!$A:$A=$C421)*('Limit raise'!$D:$D=K$16), 0),
MATCH(K$17,'Limit raise'!$1:$1,0))</f>
        <v>0.81573759232127707</v>
      </c>
      <c r="L421" s="18">
        <f>INDEX('Limit raise'!$A:$O,
MATCH($C421, 'Limit raise'!$A:$A, 0),
MATCH(L$17,'Limit raise'!$1:$1,0))</f>
        <v>9.3755003848717725E-2</v>
      </c>
      <c r="M421" s="18">
        <v>0.15</v>
      </c>
      <c r="N421" s="18"/>
    </row>
    <row r="422" spans="3:14" s="13" customFormat="1" ht="7.2" customHeight="1" x14ac:dyDescent="0.3">
      <c r="C422" s="17">
        <v>404</v>
      </c>
      <c r="D422" s="18" cm="1">
        <f t="array" ref="D422">INDEX('New credit'!$A:$O,
MATCH(1,('New credit'!$A:$A=$C422)*('New credit'!$D:$D=D$16), 0),
MATCH(D$17,'New credit'!$1:$1,0))</f>
        <v>0.72580645161290325</v>
      </c>
      <c r="E422" s="18" cm="1">
        <f t="array" ref="E422">INDEX('New credit'!$A:$O,
MATCH(1,('New credit'!$A:$A=$C422)*('New credit'!$D:$D=E$16), 0),
MATCH(E$17,'New credit'!$1:$1,0))</f>
        <v>0.86264705882352921</v>
      </c>
      <c r="F422" s="18" cm="1">
        <f t="array" ref="F422">INDEX('New credit'!$A:$O,
MATCH(1,('New credit'!$A:$A=$C422)*('New credit'!$D:$D=F$16), 0),
MATCH(F$17,'New credit'!$1:$1,0))</f>
        <v>0.79338786823351815</v>
      </c>
      <c r="G422" s="18">
        <f>INDEX('New credit'!$A:$O,
MATCH($C422, 'New credit'!$A:$A, 0),
MATCH(G$17, 'New credit'!$1:$1, 0))</f>
        <v>0.1524296833999616</v>
      </c>
      <c r="H422" s="18">
        <v>0.15</v>
      </c>
      <c r="I422" s="18" cm="1">
        <f t="array" ref="I422">INDEX('Limit raise'!$A:$O,
MATCH(1,('Limit raise'!$A:$A=$C422)*('Limit raise'!$D:$D=I$16), 0),
MATCH(I$17,'Limit raise'!$1:$1,0))</f>
        <v>0.62121212121212122</v>
      </c>
      <c r="J422" s="18" cm="1">
        <f t="array" ref="J422">INDEX('Limit raise'!$A:$O,
MATCH(1,('Limit raise'!$A:$A=$C422)*('Limit raise'!$D:$D=J$16), 0),
MATCH(J$17,'Limit raise'!$1:$1,0))</f>
        <v>0.88095238095238082</v>
      </c>
      <c r="K422" s="18" cm="1">
        <f t="array" ref="K422">INDEX('Limit raise'!$A:$O,
MATCH(1,('Limit raise'!$A:$A=$C422)*('Limit raise'!$D:$D=K$16), 0),
MATCH(K$17,'Limit raise'!$1:$1,0))</f>
        <v>0.77466560768192128</v>
      </c>
      <c r="L422" s="18">
        <f>INDEX('Limit raise'!$A:$O,
MATCH($C422, 'Limit raise'!$A:$A, 0),
MATCH(L$17,'Limit raise'!$1:$1,0))</f>
        <v>9.8025144797205088E-2</v>
      </c>
      <c r="M422" s="18">
        <v>0.15</v>
      </c>
      <c r="N422" s="18"/>
    </row>
    <row r="423" spans="3:14" s="13" customFormat="1" ht="7.2" customHeight="1" x14ac:dyDescent="0.3">
      <c r="C423" s="17">
        <v>405</v>
      </c>
      <c r="D423" s="18" cm="1">
        <f t="array" ref="D423">INDEX('New credit'!$A:$O,
MATCH(1,('New credit'!$A:$A=$C423)*('New credit'!$D:$D=D$16), 0),
MATCH(D$17,'New credit'!$1:$1,0))</f>
        <v>0.74576271186440679</v>
      </c>
      <c r="E423" s="18" cm="1">
        <f t="array" ref="E423">INDEX('New credit'!$A:$O,
MATCH(1,('New credit'!$A:$A=$C423)*('New credit'!$D:$D=E$16), 0),
MATCH(E$17,'New credit'!$1:$1,0))</f>
        <v>0.86034482758620678</v>
      </c>
      <c r="F423" s="18" cm="1">
        <f t="array" ref="F423">INDEX('New credit'!$A:$O,
MATCH(1,('New credit'!$A:$A=$C423)*('New credit'!$D:$D=F$16), 0),
MATCH(F$17,'New credit'!$1:$1,0))</f>
        <v>0.78135427572038452</v>
      </c>
      <c r="G423" s="18">
        <f>INDEX('New credit'!$A:$O,
MATCH($C423, 'New credit'!$A:$A, 0),
MATCH(G$17, 'New credit'!$1:$1, 0))</f>
        <v>1</v>
      </c>
      <c r="H423" s="18">
        <v>0.15</v>
      </c>
      <c r="I423" s="18" cm="1">
        <f t="array" ref="I423">INDEX('Limit raise'!$A:$O,
MATCH(1,('Limit raise'!$A:$A=$C423)*('Limit raise'!$D:$D=I$16), 0),
MATCH(I$17,'Limit raise'!$1:$1,0))</f>
        <v>0.61538461538461542</v>
      </c>
      <c r="J423" s="18" cm="1">
        <f t="array" ref="J423">INDEX('Limit raise'!$A:$O,
MATCH(1,('Limit raise'!$A:$A=$C423)*('Limit raise'!$D:$D=J$16), 0),
MATCH(J$17,'Limit raise'!$1:$1,0))</f>
        <v>0.87999999999999989</v>
      </c>
      <c r="K423" s="18" cm="1">
        <f t="array" ref="K423">INDEX('Limit raise'!$A:$O,
MATCH(1,('Limit raise'!$A:$A=$C423)*('Limit raise'!$D:$D=K$16), 0),
MATCH(K$17,'Limit raise'!$1:$1,0))</f>
        <v>0.77414364928323265</v>
      </c>
      <c r="L423" s="18">
        <f>INDEX('Limit raise'!$A:$O,
MATCH($C423, 'Limit raise'!$A:$A, 0),
MATCH(L$17,'Limit raise'!$1:$1,0))</f>
        <v>0.1025397342347116</v>
      </c>
      <c r="M423" s="18">
        <v>0.15</v>
      </c>
      <c r="N423" s="18"/>
    </row>
    <row r="424" spans="3:14" s="13" customFormat="1" ht="7.2" customHeight="1" x14ac:dyDescent="0.3">
      <c r="C424" s="17">
        <v>406</v>
      </c>
      <c r="D424" s="18" cm="1">
        <f t="array" ref="D424">INDEX('New credit'!$A:$O,
MATCH(1,('New credit'!$A:$A=$C424)*('New credit'!$D:$D=D$16), 0),
MATCH(D$17,'New credit'!$1:$1,0))</f>
        <v>0.77586206896551724</v>
      </c>
      <c r="E424" s="18" cm="1">
        <f t="array" ref="E424">INDEX('New credit'!$A:$O,
MATCH(1,('New credit'!$A:$A=$C424)*('New credit'!$D:$D=E$16), 0),
MATCH(E$17,'New credit'!$1:$1,0))</f>
        <v>0.85370370370370374</v>
      </c>
      <c r="F424" s="18" cm="1">
        <f t="array" ref="F424">INDEX('New credit'!$A:$O,
MATCH(1,('New credit'!$A:$A=$C424)*('New credit'!$D:$D=F$16), 0),
MATCH(F$17,'New credit'!$1:$1,0))</f>
        <v>0.74293738618576044</v>
      </c>
      <c r="G424" s="18">
        <f>INDEX('New credit'!$A:$O,
MATCH($C424, 'New credit'!$A:$A, 0),
MATCH(G$17, 'New credit'!$1:$1, 0))</f>
        <v>1</v>
      </c>
      <c r="H424" s="18">
        <v>0.15</v>
      </c>
      <c r="I424" s="18" cm="1">
        <f t="array" ref="I424">INDEX('Limit raise'!$A:$O,
MATCH(1,('Limit raise'!$A:$A=$C424)*('Limit raise'!$D:$D=I$16), 0),
MATCH(I$17,'Limit raise'!$1:$1,0))</f>
        <v>0.63076923076923075</v>
      </c>
      <c r="J424" s="18" cm="1">
        <f t="array" ref="J424">INDEX('Limit raise'!$A:$O,
MATCH(1,('Limit raise'!$A:$A=$C424)*('Limit raise'!$D:$D=J$16), 0),
MATCH(J$17,'Limit raise'!$1:$1,0))</f>
        <v>0.87899999999999989</v>
      </c>
      <c r="K424" s="18" cm="1">
        <f t="array" ref="K424">INDEX('Limit raise'!$A:$O,
MATCH(1,('Limit raise'!$A:$A=$C424)*('Limit raise'!$D:$D=K$16), 0),
MATCH(K$17,'Limit raise'!$1:$1,0))</f>
        <v>0.77447010089965906</v>
      </c>
      <c r="L424" s="18">
        <f>INDEX('Limit raise'!$A:$O,
MATCH($C424, 'Limit raise'!$A:$A, 0),
MATCH(L$17,'Limit raise'!$1:$1,0))</f>
        <v>0.1022180754870254</v>
      </c>
      <c r="M424" s="18">
        <v>0.15</v>
      </c>
      <c r="N424" s="18"/>
    </row>
    <row r="425" spans="3:14" s="13" customFormat="1" ht="7.2" customHeight="1" x14ac:dyDescent="0.3">
      <c r="C425" s="17">
        <v>407</v>
      </c>
      <c r="D425" s="18" cm="1">
        <f t="array" ref="D425">INDEX('New credit'!$A:$O,
MATCH(1,('New credit'!$A:$A=$C425)*('New credit'!$D:$D=D$16), 0),
MATCH(D$17,'New credit'!$1:$1,0))</f>
        <v>0.67692307692307696</v>
      </c>
      <c r="E425" s="18" cm="1">
        <f t="array" ref="E425">INDEX('New credit'!$A:$O,
MATCH(1,('New credit'!$A:$A=$C425)*('New credit'!$D:$D=E$16), 0),
MATCH(E$17,'New credit'!$1:$1,0))</f>
        <v>0.82074074074074077</v>
      </c>
      <c r="F425" s="18" cm="1">
        <f t="array" ref="F425">INDEX('New credit'!$A:$O,
MATCH(1,('New credit'!$A:$A=$C425)*('New credit'!$D:$D=F$16), 0),
MATCH(F$17,'New credit'!$1:$1,0))</f>
        <v>0.73820660499674207</v>
      </c>
      <c r="G425" s="18">
        <f>INDEX('New credit'!$A:$O,
MATCH($C425, 'New credit'!$A:$A, 0),
MATCH(G$17, 'New credit'!$1:$1, 0))</f>
        <v>9.3826213834182839E-2</v>
      </c>
      <c r="H425" s="18">
        <v>0.15</v>
      </c>
      <c r="I425" s="18" cm="1">
        <f t="array" ref="I425">INDEX('Limit raise'!$A:$O,
MATCH(1,('Limit raise'!$A:$A=$C425)*('Limit raise'!$D:$D=I$16), 0),
MATCH(I$17,'Limit raise'!$1:$1,0))</f>
        <v>0.64615384615384619</v>
      </c>
      <c r="J425" s="18" cm="1">
        <f t="array" ref="J425">INDEX('Limit raise'!$A:$O,
MATCH(1,('Limit raise'!$A:$A=$C425)*('Limit raise'!$D:$D=J$16), 0),
MATCH(J$17,'Limit raise'!$1:$1,0))</f>
        <v>0.87849999999999984</v>
      </c>
      <c r="K425" s="18" cm="1">
        <f t="array" ref="K425">INDEX('Limit raise'!$A:$O,
MATCH(1,('Limit raise'!$A:$A=$C425)*('Limit raise'!$D:$D=K$16), 0),
MATCH(K$17,'Limit raise'!$1:$1,0))</f>
        <v>0.81323021571237364</v>
      </c>
      <c r="L425" s="18">
        <f>INDEX('Limit raise'!$A:$O,
MATCH($C425, 'Limit raise'!$A:$A, 0),
MATCH(L$17,'Limit raise'!$1:$1,0))</f>
        <v>0.10246659214129521</v>
      </c>
      <c r="M425" s="18">
        <v>0.15</v>
      </c>
      <c r="N425" s="18"/>
    </row>
    <row r="426" spans="3:14" s="13" customFormat="1" ht="7.2" customHeight="1" x14ac:dyDescent="0.3">
      <c r="C426" s="17">
        <v>408</v>
      </c>
      <c r="D426" s="18" cm="1">
        <f t="array" ref="D426">INDEX('New credit'!$A:$O,
MATCH(1,('New credit'!$A:$A=$C426)*('New credit'!$D:$D=D$16), 0),
MATCH(D$17,'New credit'!$1:$1,0))</f>
        <v>0.70769230769230773</v>
      </c>
      <c r="E426" s="18" cm="1">
        <f t="array" ref="E426">INDEX('New credit'!$A:$O,
MATCH(1,('New credit'!$A:$A=$C426)*('New credit'!$D:$D=E$16), 0),
MATCH(E$17,'New credit'!$1:$1,0))</f>
        <v>0.88652173913043464</v>
      </c>
      <c r="F426" s="18" cm="1">
        <f t="array" ref="F426">INDEX('New credit'!$A:$O,
MATCH(1,('New credit'!$A:$A=$C426)*('New credit'!$D:$D=F$16), 0),
MATCH(F$17,'New credit'!$1:$1,0))</f>
        <v>0.78307076553754773</v>
      </c>
      <c r="G426" s="18">
        <f>INDEX('New credit'!$A:$O,
MATCH($C426, 'New credit'!$A:$A, 0),
MATCH(G$17, 'New credit'!$1:$1, 0))</f>
        <v>1</v>
      </c>
      <c r="H426" s="18">
        <v>0.15</v>
      </c>
      <c r="I426" s="18" cm="1">
        <f t="array" ref="I426">INDEX('Limit raise'!$A:$O,
MATCH(1,('Limit raise'!$A:$A=$C426)*('Limit raise'!$D:$D=I$16), 0),
MATCH(I$17,'Limit raise'!$1:$1,0))</f>
        <v>0.63636363636363635</v>
      </c>
      <c r="J426" s="18" cm="1">
        <f t="array" ref="J426">INDEX('Limit raise'!$A:$O,
MATCH(1,('Limit raise'!$A:$A=$C426)*('Limit raise'!$D:$D=J$16), 0),
MATCH(J$17,'Limit raise'!$1:$1,0))</f>
        <v>0.87899999999999989</v>
      </c>
      <c r="K426" s="18" cm="1">
        <f t="array" ref="K426">INDEX('Limit raise'!$A:$O,
MATCH(1,('Limit raise'!$A:$A=$C426)*('Limit raise'!$D:$D=K$16), 0),
MATCH(K$17,'Limit raise'!$1:$1,0))</f>
        <v>0.84597345528124002</v>
      </c>
      <c r="L426" s="18">
        <f>INDEX('Limit raise'!$A:$O,
MATCH($C426, 'Limit raise'!$A:$A, 0),
MATCH(L$17,'Limit raise'!$1:$1,0))</f>
        <v>0.10119091920970751</v>
      </c>
      <c r="M426" s="18">
        <v>0.15</v>
      </c>
      <c r="N426" s="18"/>
    </row>
    <row r="427" spans="3:14" s="13" customFormat="1" ht="7.2" customHeight="1" x14ac:dyDescent="0.3">
      <c r="C427" s="17">
        <v>409</v>
      </c>
      <c r="D427" s="18" cm="1">
        <f t="array" ref="D427">INDEX('New credit'!$A:$O,
MATCH(1,('New credit'!$A:$A=$C427)*('New credit'!$D:$D=D$16), 0),
MATCH(D$17,'New credit'!$1:$1,0))</f>
        <v>0.69696969696969702</v>
      </c>
      <c r="E427" s="18" cm="1">
        <f t="array" ref="E427">INDEX('New credit'!$A:$O,
MATCH(1,('New credit'!$A:$A=$C427)*('New credit'!$D:$D=E$16), 0),
MATCH(E$17,'New credit'!$1:$1,0))</f>
        <v>0.89076923076923065</v>
      </c>
      <c r="F427" s="18" cm="1">
        <f t="array" ref="F427">INDEX('New credit'!$A:$O,
MATCH(1,('New credit'!$A:$A=$C427)*('New credit'!$D:$D=F$16), 0),
MATCH(F$17,'New credit'!$1:$1,0))</f>
        <v>0.7986534406408603</v>
      </c>
      <c r="G427" s="18">
        <f>INDEX('New credit'!$A:$O,
MATCH($C427, 'New credit'!$A:$A, 0),
MATCH(G$17, 'New credit'!$1:$1, 0))</f>
        <v>0.1051215568661734</v>
      </c>
      <c r="H427" s="18">
        <v>0.15</v>
      </c>
      <c r="I427" s="18" cm="1">
        <f t="array" ref="I427">INDEX('Limit raise'!$A:$O,
MATCH(1,('Limit raise'!$A:$A=$C427)*('Limit raise'!$D:$D=I$16), 0),
MATCH(I$17,'Limit raise'!$1:$1,0))</f>
        <v>0.65151515151515149</v>
      </c>
      <c r="J427" s="18" cm="1">
        <f t="array" ref="J427">INDEX('Limit raise'!$A:$O,
MATCH(1,('Limit raise'!$A:$A=$C427)*('Limit raise'!$D:$D=J$16), 0),
MATCH(J$17,'Limit raise'!$1:$1,0))</f>
        <v>0.88409090909090904</v>
      </c>
      <c r="K427" s="18" cm="1">
        <f t="array" ref="K427">INDEX('Limit raise'!$A:$O,
MATCH(1,('Limit raise'!$A:$A=$C427)*('Limit raise'!$D:$D=K$16), 0),
MATCH(K$17,'Limit raise'!$1:$1,0))</f>
        <v>0.8470870140762542</v>
      </c>
      <c r="L427" s="18">
        <f>INDEX('Limit raise'!$A:$O,
MATCH($C427, 'Limit raise'!$A:$A, 0),
MATCH(L$17,'Limit raise'!$1:$1,0))</f>
        <v>0.1014510229617302</v>
      </c>
      <c r="M427" s="18">
        <v>0.15</v>
      </c>
      <c r="N427" s="18"/>
    </row>
    <row r="428" spans="3:14" s="13" customFormat="1" ht="7.2" customHeight="1" x14ac:dyDescent="0.3">
      <c r="C428" s="17">
        <v>410</v>
      </c>
      <c r="D428" s="18" cm="1">
        <f t="array" ref="D428">INDEX('New credit'!$A:$O,
MATCH(1,('New credit'!$A:$A=$C428)*('New credit'!$D:$D=D$16), 0),
MATCH(D$17,'New credit'!$1:$1,0))</f>
        <v>0.61764705882352944</v>
      </c>
      <c r="E428" s="18" cm="1">
        <f t="array" ref="E428">INDEX('New credit'!$A:$O,
MATCH(1,('New credit'!$A:$A=$C428)*('New credit'!$D:$D=E$16), 0),
MATCH(E$17,'New credit'!$1:$1,0))</f>
        <v>0.88961538461538425</v>
      </c>
      <c r="F428" s="18" cm="1">
        <f t="array" ref="F428">INDEX('New credit'!$A:$O,
MATCH(1,('New credit'!$A:$A=$C428)*('New credit'!$D:$D=F$16), 0),
MATCH(F$17,'New credit'!$1:$1,0))</f>
        <v>0.81245565388291718</v>
      </c>
      <c r="G428" s="18">
        <f>INDEX('New credit'!$A:$O,
MATCH($C428, 'New credit'!$A:$A, 0),
MATCH(G$17, 'New credit'!$1:$1, 0))</f>
        <v>1</v>
      </c>
      <c r="H428" s="18">
        <v>0.15</v>
      </c>
      <c r="I428" s="18" cm="1">
        <f t="array" ref="I428">INDEX('Limit raise'!$A:$O,
MATCH(1,('Limit raise'!$A:$A=$C428)*('Limit raise'!$D:$D=I$16), 0),
MATCH(I$17,'Limit raise'!$1:$1,0))</f>
        <v>0.609375</v>
      </c>
      <c r="J428" s="18" cm="1">
        <f t="array" ref="J428">INDEX('Limit raise'!$A:$O,
MATCH(1,('Limit raise'!$A:$A=$C428)*('Limit raise'!$D:$D=J$16), 0),
MATCH(J$17,'Limit raise'!$1:$1,0))</f>
        <v>0.88454545454545441</v>
      </c>
      <c r="K428" s="18" cm="1">
        <f t="array" ref="K428">INDEX('Limit raise'!$A:$O,
MATCH(1,('Limit raise'!$A:$A=$C428)*('Limit raise'!$D:$D=K$16), 0),
MATCH(K$17,'Limit raise'!$1:$1,0))</f>
        <v>0.84618659027311838</v>
      </c>
      <c r="L428" s="18">
        <f>INDEX('Limit raise'!$A:$O,
MATCH($C428, 'Limit raise'!$A:$A, 0),
MATCH(L$17,'Limit raise'!$1:$1,0))</f>
        <v>0.1025725963635334</v>
      </c>
      <c r="M428" s="18">
        <v>0.15</v>
      </c>
      <c r="N428" s="18"/>
    </row>
    <row r="429" spans="3:14" s="13" customFormat="1" ht="7.2" customHeight="1" x14ac:dyDescent="0.3">
      <c r="C429" s="17">
        <v>411</v>
      </c>
      <c r="D429" s="18" cm="1">
        <f t="array" ref="D429">INDEX('New credit'!$A:$O,
MATCH(1,('New credit'!$A:$A=$C429)*('New credit'!$D:$D=D$16), 0),
MATCH(D$17,'New credit'!$1:$1,0))</f>
        <v>0.6428571428571429</v>
      </c>
      <c r="E429" s="18" cm="1">
        <f t="array" ref="E429">INDEX('New credit'!$A:$O,
MATCH(1,('New credit'!$A:$A=$C429)*('New credit'!$D:$D=E$16), 0),
MATCH(E$17,'New credit'!$1:$1,0))</f>
        <v>0.86071428571428554</v>
      </c>
      <c r="F429" s="18" cm="1">
        <f t="array" ref="F429">INDEX('New credit'!$A:$O,
MATCH(1,('New credit'!$A:$A=$C429)*('New credit'!$D:$D=F$16), 0),
MATCH(F$17,'New credit'!$1:$1,0))</f>
        <v>0.80862668765029555</v>
      </c>
      <c r="G429" s="18">
        <f>INDEX('New credit'!$A:$O,
MATCH($C429, 'New credit'!$A:$A, 0),
MATCH(G$17, 'New credit'!$1:$1, 0))</f>
        <v>8.4968342512731443E-2</v>
      </c>
      <c r="H429" s="18">
        <v>0.15</v>
      </c>
      <c r="I429" s="18" cm="1">
        <f t="array" ref="I429">INDEX('Limit raise'!$A:$O,
MATCH(1,('Limit raise'!$A:$A=$C429)*('Limit raise'!$D:$D=I$16), 0),
MATCH(I$17,'Limit raise'!$1:$1,0))</f>
        <v>0.61538461538461542</v>
      </c>
      <c r="J429" s="18" cm="1">
        <f t="array" ref="J429">INDEX('Limit raise'!$A:$O,
MATCH(1,('Limit raise'!$A:$A=$C429)*('Limit raise'!$D:$D=J$16), 0),
MATCH(J$17,'Limit raise'!$1:$1,0))</f>
        <v>0.88739130434782598</v>
      </c>
      <c r="K429" s="18" cm="1">
        <f t="array" ref="K429">INDEX('Limit raise'!$A:$O,
MATCH(1,('Limit raise'!$A:$A=$C429)*('Limit raise'!$D:$D=K$16), 0),
MATCH(K$17,'Limit raise'!$1:$1,0))</f>
        <v>0.84650847540113583</v>
      </c>
      <c r="L429" s="18">
        <f>INDEX('Limit raise'!$A:$O,
MATCH($C429, 'Limit raise'!$A:$A, 0),
MATCH(L$17,'Limit raise'!$1:$1,0))</f>
        <v>9.9803080898344623E-2</v>
      </c>
      <c r="M429" s="18">
        <v>0.15</v>
      </c>
      <c r="N429" s="18"/>
    </row>
    <row r="430" spans="3:14" s="13" customFormat="1" ht="7.2" customHeight="1" x14ac:dyDescent="0.3">
      <c r="C430" s="17">
        <v>412</v>
      </c>
      <c r="D430" s="18" cm="1">
        <f t="array" ref="D430">INDEX('New credit'!$A:$O,
MATCH(1,('New credit'!$A:$A=$C430)*('New credit'!$D:$D=D$16), 0),
MATCH(D$17,'New credit'!$1:$1,0))</f>
        <v>0.61971830985915488</v>
      </c>
      <c r="E430" s="18" cm="1">
        <f t="array" ref="E430">INDEX('New credit'!$A:$O,
MATCH(1,('New credit'!$A:$A=$C430)*('New credit'!$D:$D=E$16), 0),
MATCH(E$17,'New credit'!$1:$1,0))</f>
        <v>0.85703703703703693</v>
      </c>
      <c r="F430" s="18" cm="1">
        <f t="array" ref="F430">INDEX('New credit'!$A:$O,
MATCH(1,('New credit'!$A:$A=$C430)*('New credit'!$D:$D=F$16), 0),
MATCH(F$17,'New credit'!$1:$1,0))</f>
        <v>0.71972189109663376</v>
      </c>
      <c r="G430" s="18">
        <f>INDEX('New credit'!$A:$O,
MATCH($C430, 'New credit'!$A:$A, 0),
MATCH(G$17, 'New credit'!$1:$1, 0))</f>
        <v>0.1098775851874243</v>
      </c>
      <c r="H430" s="18">
        <v>0.15</v>
      </c>
      <c r="I430" s="18" cm="1">
        <f t="array" ref="I430">INDEX('Limit raise'!$A:$O,
MATCH(1,('Limit raise'!$A:$A=$C430)*('Limit raise'!$D:$D=I$16), 0),
MATCH(I$17,'Limit raise'!$1:$1,0))</f>
        <v>0.61538461538461542</v>
      </c>
      <c r="J430" s="18" cm="1">
        <f t="array" ref="J430">INDEX('Limit raise'!$A:$O,
MATCH(1,('Limit raise'!$A:$A=$C430)*('Limit raise'!$D:$D=J$16), 0),
MATCH(J$17,'Limit raise'!$1:$1,0))</f>
        <v>0.88545454545454527</v>
      </c>
      <c r="K430" s="18" cm="1">
        <f t="array" ref="K430">INDEX('Limit raise'!$A:$O,
MATCH(1,('Limit raise'!$A:$A=$C430)*('Limit raise'!$D:$D=K$16), 0),
MATCH(K$17,'Limit raise'!$1:$1,0))</f>
        <v>0.84706244276662523</v>
      </c>
      <c r="L430" s="18">
        <f>INDEX('Limit raise'!$A:$O,
MATCH($C430, 'Limit raise'!$A:$A, 0),
MATCH(L$17,'Limit raise'!$1:$1,0))</f>
        <v>9.9639810052900485E-2</v>
      </c>
      <c r="M430" s="18">
        <v>0.15</v>
      </c>
      <c r="N430" s="18"/>
    </row>
    <row r="431" spans="3:14" s="13" customFormat="1" ht="7.2" customHeight="1" x14ac:dyDescent="0.3">
      <c r="C431" s="17">
        <v>413</v>
      </c>
      <c r="D431" s="18" cm="1">
        <f t="array" ref="D431">INDEX('New credit'!$A:$O,
MATCH(1,('New credit'!$A:$A=$C431)*('New credit'!$D:$D=D$16), 0),
MATCH(D$17,'New credit'!$1:$1,0))</f>
        <v>0.64473684210526316</v>
      </c>
      <c r="E431" s="18" cm="1">
        <f t="array" ref="E431">INDEX('New credit'!$A:$O,
MATCH(1,('New credit'!$A:$A=$C431)*('New credit'!$D:$D=E$16), 0),
MATCH(E$17,'New credit'!$1:$1,0))</f>
        <v>0.85851851851851835</v>
      </c>
      <c r="F431" s="18" cm="1">
        <f t="array" ref="F431">INDEX('New credit'!$A:$O,
MATCH(1,('New credit'!$A:$A=$C431)*('New credit'!$D:$D=F$16), 0),
MATCH(F$17,'New credit'!$1:$1,0))</f>
        <v>0.69709268867264129</v>
      </c>
      <c r="G431" s="18">
        <f>INDEX('New credit'!$A:$O,
MATCH($C431, 'New credit'!$A:$A, 0),
MATCH(G$17, 'New credit'!$1:$1, 0))</f>
        <v>0.14797721779737971</v>
      </c>
      <c r="H431" s="18">
        <v>0.15</v>
      </c>
      <c r="I431" s="18" cm="1">
        <f t="array" ref="I431">INDEX('Limit raise'!$A:$O,
MATCH(1,('Limit raise'!$A:$A=$C431)*('Limit raise'!$D:$D=I$16), 0),
MATCH(I$17,'Limit raise'!$1:$1,0))</f>
        <v>0.609375</v>
      </c>
      <c r="J431" s="18" cm="1">
        <f t="array" ref="J431">INDEX('Limit raise'!$A:$O,
MATCH(1,('Limit raise'!$A:$A=$C431)*('Limit raise'!$D:$D=J$16), 0),
MATCH(J$17,'Limit raise'!$1:$1,0))</f>
        <v>0.88545454545454527</v>
      </c>
      <c r="K431" s="18" cm="1">
        <f t="array" ref="K431">INDEX('Limit raise'!$A:$O,
MATCH(1,('Limit raise'!$A:$A=$C431)*('Limit raise'!$D:$D=K$16), 0),
MATCH(K$17,'Limit raise'!$1:$1,0))</f>
        <v>0.84306969957649613</v>
      </c>
      <c r="L431" s="18">
        <f>INDEX('Limit raise'!$A:$O,
MATCH($C431, 'Limit raise'!$A:$A, 0),
MATCH(L$17,'Limit raise'!$1:$1,0))</f>
        <v>0.1058491072016749</v>
      </c>
      <c r="M431" s="18">
        <v>0.15</v>
      </c>
      <c r="N431" s="18"/>
    </row>
    <row r="432" spans="3:14" s="13" customFormat="1" ht="7.2" customHeight="1" x14ac:dyDescent="0.3">
      <c r="C432" s="17">
        <v>414</v>
      </c>
      <c r="D432" s="18" cm="1">
        <f t="array" ref="D432">INDEX('New credit'!$A:$O,
MATCH(1,('New credit'!$A:$A=$C432)*('New credit'!$D:$D=D$16), 0),
MATCH(D$17,'New credit'!$1:$1,0))</f>
        <v>0.67142857142857137</v>
      </c>
      <c r="E432" s="18" cm="1">
        <f t="array" ref="E432">INDEX('New credit'!$A:$O,
MATCH(1,('New credit'!$A:$A=$C432)*('New credit'!$D:$D=E$16), 0),
MATCH(E$17,'New credit'!$1:$1,0))</f>
        <v>0.85925925925925895</v>
      </c>
      <c r="F432" s="18" cm="1">
        <f t="array" ref="F432">INDEX('New credit'!$A:$O,
MATCH(1,('New credit'!$A:$A=$C432)*('New credit'!$D:$D=F$16), 0),
MATCH(F$17,'New credit'!$1:$1,0))</f>
        <v>0.648396584208768</v>
      </c>
      <c r="G432" s="18">
        <f>INDEX('New credit'!$A:$O,
MATCH($C432, 'New credit'!$A:$A, 0),
MATCH(G$17, 'New credit'!$1:$1, 0))</f>
        <v>0.1439936474326052</v>
      </c>
      <c r="H432" s="18">
        <v>0.15</v>
      </c>
      <c r="I432" s="18" cm="1">
        <f t="array" ref="I432">INDEX('Limit raise'!$A:$O,
MATCH(1,('Limit raise'!$A:$A=$C432)*('Limit raise'!$D:$D=I$16), 0),
MATCH(I$17,'Limit raise'!$1:$1,0))</f>
        <v>0.625</v>
      </c>
      <c r="J432" s="18" cm="1">
        <f t="array" ref="J432">INDEX('Limit raise'!$A:$O,
MATCH(1,('Limit raise'!$A:$A=$C432)*('Limit raise'!$D:$D=J$16), 0),
MATCH(J$17,'Limit raise'!$1:$1,0))</f>
        <v>0.8849999999999999</v>
      </c>
      <c r="K432" s="18" cm="1">
        <f t="array" ref="K432">INDEX('Limit raise'!$A:$O,
MATCH(1,('Limit raise'!$A:$A=$C432)*('Limit raise'!$D:$D=K$16), 0),
MATCH(K$17,'Limit raise'!$1:$1,0))</f>
        <v>0.86298987209921718</v>
      </c>
      <c r="L432" s="18">
        <f>INDEX('Limit raise'!$A:$O,
MATCH($C432, 'Limit raise'!$A:$A, 0),
MATCH(L$17,'Limit raise'!$1:$1,0))</f>
        <v>0.1038585017299084</v>
      </c>
      <c r="M432" s="18">
        <v>0.15</v>
      </c>
      <c r="N432" s="18"/>
    </row>
    <row r="433" spans="3:14" s="13" customFormat="1" ht="7.2" customHeight="1" x14ac:dyDescent="0.3">
      <c r="C433" s="17">
        <v>415</v>
      </c>
      <c r="D433" s="18" cm="1">
        <f t="array" ref="D433">INDEX('New credit'!$A:$O,
MATCH(1,('New credit'!$A:$A=$C433)*('New credit'!$D:$D=D$16), 0),
MATCH(D$17,'New credit'!$1:$1,0))</f>
        <v>0.703125</v>
      </c>
      <c r="E433" s="18" cm="1">
        <f t="array" ref="E433">INDEX('New credit'!$A:$O,
MATCH(1,('New credit'!$A:$A=$C433)*('New credit'!$D:$D=E$16), 0),
MATCH(E$17,'New credit'!$1:$1,0))</f>
        <v>0.85290322580645139</v>
      </c>
      <c r="F433" s="18" cm="1">
        <f t="array" ref="F433">INDEX('New credit'!$A:$O,
MATCH(1,('New credit'!$A:$A=$C433)*('New credit'!$D:$D=F$16), 0),
MATCH(F$17,'New credit'!$1:$1,0))</f>
        <v>0.75342793388944518</v>
      </c>
      <c r="G433" s="18">
        <f>INDEX('New credit'!$A:$O,
MATCH($C433, 'New credit'!$A:$A, 0),
MATCH(G$17, 'New credit'!$1:$1, 0))</f>
        <v>1</v>
      </c>
      <c r="H433" s="18">
        <v>0.15</v>
      </c>
      <c r="I433" s="18" cm="1">
        <f t="array" ref="I433">INDEX('Limit raise'!$A:$O,
MATCH(1,('Limit raise'!$A:$A=$C433)*('Limit raise'!$D:$D=I$16), 0),
MATCH(I$17,'Limit raise'!$1:$1,0))</f>
        <v>0.640625</v>
      </c>
      <c r="J433" s="18" cm="1">
        <f t="array" ref="J433">INDEX('Limit raise'!$A:$O,
MATCH(1,('Limit raise'!$A:$A=$C433)*('Limit raise'!$D:$D=J$16), 0),
MATCH(J$17,'Limit raise'!$1:$1,0))</f>
        <v>0.92809523809523797</v>
      </c>
      <c r="K433" s="18" cm="1">
        <f t="array" ref="K433">INDEX('Limit raise'!$A:$O,
MATCH(1,('Limit raise'!$A:$A=$C433)*('Limit raise'!$D:$D=K$16), 0),
MATCH(K$17,'Limit raise'!$1:$1,0))</f>
        <v>0.87534065986008691</v>
      </c>
      <c r="L433" s="18">
        <f>INDEX('Limit raise'!$A:$O,
MATCH($C433, 'Limit raise'!$A:$A, 0),
MATCH(L$17,'Limit raise'!$1:$1,0))</f>
        <v>0.1029078258988023</v>
      </c>
      <c r="M433" s="18">
        <v>0.15</v>
      </c>
      <c r="N433" s="18"/>
    </row>
    <row r="434" spans="3:14" s="13" customFormat="1" ht="7.2" customHeight="1" x14ac:dyDescent="0.3">
      <c r="C434" s="17">
        <v>416</v>
      </c>
      <c r="D434" s="18" cm="1">
        <f t="array" ref="D434">INDEX('New credit'!$A:$O,
MATCH(1,('New credit'!$A:$A=$C434)*('New credit'!$D:$D=D$16), 0),
MATCH(D$17,'New credit'!$1:$1,0))</f>
        <v>0.72580645161290325</v>
      </c>
      <c r="E434" s="18" cm="1">
        <f t="array" ref="E434">INDEX('New credit'!$A:$O,
MATCH(1,('New credit'!$A:$A=$C434)*('New credit'!$D:$D=E$16), 0),
MATCH(E$17,'New credit'!$1:$1,0))</f>
        <v>0.84928571428571409</v>
      </c>
      <c r="F434" s="18" cm="1">
        <f t="array" ref="F434">INDEX('New credit'!$A:$O,
MATCH(1,('New credit'!$A:$A=$C434)*('New credit'!$D:$D=F$16), 0),
MATCH(F$17,'New credit'!$1:$1,0))</f>
        <v>0.75980007473191946</v>
      </c>
      <c r="G434" s="18">
        <f>INDEX('New credit'!$A:$O,
MATCH($C434, 'New credit'!$A:$A, 0),
MATCH(G$17, 'New credit'!$1:$1, 0))</f>
        <v>1</v>
      </c>
      <c r="H434" s="18">
        <v>0.15</v>
      </c>
      <c r="I434" s="18" cm="1">
        <f t="array" ref="I434">INDEX('Limit raise'!$A:$O,
MATCH(1,('Limit raise'!$A:$A=$C434)*('Limit raise'!$D:$D=I$16), 0),
MATCH(I$17,'Limit raise'!$1:$1,0))</f>
        <v>0.625</v>
      </c>
      <c r="J434" s="18" cm="1">
        <f t="array" ref="J434">INDEX('Limit raise'!$A:$O,
MATCH(1,('Limit raise'!$A:$A=$C434)*('Limit raise'!$D:$D=J$16), 0),
MATCH(J$17,'Limit raise'!$1:$1,0))</f>
        <v>0.92809523809523797</v>
      </c>
      <c r="K434" s="18" cm="1">
        <f t="array" ref="K434">INDEX('Limit raise'!$A:$O,
MATCH(1,('Limit raise'!$A:$A=$C434)*('Limit raise'!$D:$D=K$16), 0),
MATCH(K$17,'Limit raise'!$1:$1,0))</f>
        <v>0.85739795619043846</v>
      </c>
      <c r="L434" s="18">
        <f>INDEX('Limit raise'!$A:$O,
MATCH($C434, 'Limit raise'!$A:$A, 0),
MATCH(L$17,'Limit raise'!$1:$1,0))</f>
        <v>0.1039897498720594</v>
      </c>
      <c r="M434" s="18">
        <v>0.15</v>
      </c>
      <c r="N434" s="18"/>
    </row>
    <row r="435" spans="3:14" s="13" customFormat="1" ht="7.2" customHeight="1" x14ac:dyDescent="0.3">
      <c r="C435" s="17">
        <v>417</v>
      </c>
      <c r="D435" s="18" cm="1">
        <f t="array" ref="D435">INDEX('New credit'!$A:$O,
MATCH(1,('New credit'!$A:$A=$C435)*('New credit'!$D:$D=D$16), 0),
MATCH(D$17,'New credit'!$1:$1,0))</f>
        <v>0.68965517241379315</v>
      </c>
      <c r="E435" s="18" cm="1">
        <f t="array" ref="E435">INDEX('New credit'!$A:$O,
MATCH(1,('New credit'!$A:$A=$C435)*('New credit'!$D:$D=E$16), 0),
MATCH(E$17,'New credit'!$1:$1,0))</f>
        <v>0.84310344827586181</v>
      </c>
      <c r="F435" s="18" cm="1">
        <f t="array" ref="F435">INDEX('New credit'!$A:$O,
MATCH(1,('New credit'!$A:$A=$C435)*('New credit'!$D:$D=F$16), 0),
MATCH(F$17,'New credit'!$1:$1,0))</f>
        <v>0.75567503407102388</v>
      </c>
      <c r="G435" s="18">
        <f>INDEX('New credit'!$A:$O,
MATCH($C435, 'New credit'!$A:$A, 0),
MATCH(G$17, 'New credit'!$1:$1, 0))</f>
        <v>0.23355748943770499</v>
      </c>
      <c r="H435" s="18">
        <v>0.15</v>
      </c>
      <c r="I435" s="18" cm="1">
        <f t="array" ref="I435">INDEX('Limit raise'!$A:$O,
MATCH(1,('Limit raise'!$A:$A=$C435)*('Limit raise'!$D:$D=I$16), 0),
MATCH(I$17,'Limit raise'!$1:$1,0))</f>
        <v>0.625</v>
      </c>
      <c r="J435" s="18" cm="1">
        <f t="array" ref="J435">INDEX('Limit raise'!$A:$O,
MATCH(1,('Limit raise'!$A:$A=$C435)*('Limit raise'!$D:$D=J$16), 0),
MATCH(J$17,'Limit raise'!$1:$1,0))</f>
        <v>0.92809523809523797</v>
      </c>
      <c r="K435" s="18" cm="1">
        <f t="array" ref="K435">INDEX('Limit raise'!$A:$O,
MATCH(1,('Limit raise'!$A:$A=$C435)*('Limit raise'!$D:$D=K$16), 0),
MATCH(K$17,'Limit raise'!$1:$1,0))</f>
        <v>0.85851680457372315</v>
      </c>
      <c r="L435" s="18">
        <f>INDEX('Limit raise'!$A:$O,
MATCH($C435, 'Limit raise'!$A:$A, 0),
MATCH(L$17,'Limit raise'!$1:$1,0))</f>
        <v>0.10292048618404211</v>
      </c>
      <c r="M435" s="18">
        <v>0.15</v>
      </c>
      <c r="N435" s="18"/>
    </row>
    <row r="436" spans="3:14" s="13" customFormat="1" ht="7.2" customHeight="1" x14ac:dyDescent="0.3">
      <c r="C436" s="17">
        <v>418</v>
      </c>
      <c r="D436" s="18" cm="1">
        <f t="array" ref="D436">INDEX('New credit'!$A:$O,
MATCH(1,('New credit'!$A:$A=$C436)*('New credit'!$D:$D=D$16), 0),
MATCH(D$17,'New credit'!$1:$1,0))</f>
        <v>0.7</v>
      </c>
      <c r="E436" s="18" cm="1">
        <f t="array" ref="E436">INDEX('New credit'!$A:$O,
MATCH(1,('New credit'!$A:$A=$C436)*('New credit'!$D:$D=E$16), 0),
MATCH(E$17,'New credit'!$1:$1,0))</f>
        <v>0.85333333333333328</v>
      </c>
      <c r="F436" s="18" cm="1">
        <f t="array" ref="F436">INDEX('New credit'!$A:$O,
MATCH(1,('New credit'!$A:$A=$C436)*('New credit'!$D:$D=F$16), 0),
MATCH(F$17,'New credit'!$1:$1,0))</f>
        <v>0.81162035044793968</v>
      </c>
      <c r="G436" s="18">
        <f>INDEX('New credit'!$A:$O,
MATCH($C436, 'New credit'!$A:$A, 0),
MATCH(G$17, 'New credit'!$1:$1, 0))</f>
        <v>0.16753343952191141</v>
      </c>
      <c r="H436" s="18">
        <v>0.15</v>
      </c>
      <c r="I436" s="18" cm="1">
        <f t="array" ref="I436">INDEX('Limit raise'!$A:$O,
MATCH(1,('Limit raise'!$A:$A=$C436)*('Limit raise'!$D:$D=I$16), 0),
MATCH(I$17,'Limit raise'!$1:$1,0))</f>
        <v>0.625</v>
      </c>
      <c r="J436" s="18" cm="1">
        <f t="array" ref="J436">INDEX('Limit raise'!$A:$O,
MATCH(1,('Limit raise'!$A:$A=$C436)*('Limit raise'!$D:$D=J$16), 0),
MATCH(J$17,'Limit raise'!$1:$1,0))</f>
        <v>0.92761904761904745</v>
      </c>
      <c r="K436" s="18" cm="1">
        <f t="array" ref="K436">INDEX('Limit raise'!$A:$O,
MATCH(1,('Limit raise'!$A:$A=$C436)*('Limit raise'!$D:$D=K$16), 0),
MATCH(K$17,'Limit raise'!$1:$1,0))</f>
        <v>0.85962676200288946</v>
      </c>
      <c r="L436" s="18">
        <f>INDEX('Limit raise'!$A:$O,
MATCH($C436, 'Limit raise'!$A:$A, 0),
MATCH(L$17,'Limit raise'!$1:$1,0))</f>
        <v>0.10366876418117139</v>
      </c>
      <c r="M436" s="18">
        <v>0.15</v>
      </c>
      <c r="N436" s="18"/>
    </row>
    <row r="437" spans="3:14" s="13" customFormat="1" ht="7.2" customHeight="1" x14ac:dyDescent="0.3">
      <c r="C437" s="17">
        <v>419</v>
      </c>
      <c r="D437" s="18" cm="1">
        <f t="array" ref="D437">INDEX('New credit'!$A:$O,
MATCH(1,('New credit'!$A:$A=$C437)*('New credit'!$D:$D=D$16), 0),
MATCH(D$17,'New credit'!$1:$1,0))</f>
        <v>0.69230769230769229</v>
      </c>
      <c r="E437" s="18" cm="1">
        <f t="array" ref="E437">INDEX('New credit'!$A:$O,
MATCH(1,('New credit'!$A:$A=$C437)*('New credit'!$D:$D=E$16), 0),
MATCH(E$17,'New credit'!$1:$1,0))</f>
        <v>0.82593749999999988</v>
      </c>
      <c r="F437" s="18" cm="1">
        <f t="array" ref="F437">INDEX('New credit'!$A:$O,
MATCH(1,('New credit'!$A:$A=$C437)*('New credit'!$D:$D=F$16), 0),
MATCH(F$17,'New credit'!$1:$1,0))</f>
        <v>0.64662315658917791</v>
      </c>
      <c r="G437" s="18">
        <f>INDEX('New credit'!$A:$O,
MATCH($C437, 'New credit'!$A:$A, 0),
MATCH(G$17, 'New credit'!$1:$1, 0))</f>
        <v>0.12697421822915381</v>
      </c>
      <c r="H437" s="18">
        <v>0.15</v>
      </c>
      <c r="I437" s="18" cm="1">
        <f t="array" ref="I437">INDEX('Limit raise'!$A:$O,
MATCH(1,('Limit raise'!$A:$A=$C437)*('Limit raise'!$D:$D=I$16), 0),
MATCH(I$17,'Limit raise'!$1:$1,0))</f>
        <v>0.625</v>
      </c>
      <c r="J437" s="18" cm="1">
        <f t="array" ref="J437">INDEX('Limit raise'!$A:$O,
MATCH(1,('Limit raise'!$A:$A=$C437)*('Limit raise'!$D:$D=J$16), 0),
MATCH(J$17,'Limit raise'!$1:$1,0))</f>
        <v>0.92761904761904745</v>
      </c>
      <c r="K437" s="18" cm="1">
        <f t="array" ref="K437">INDEX('Limit raise'!$A:$O,
MATCH(1,('Limit raise'!$A:$A=$C437)*('Limit raise'!$D:$D=K$16), 0),
MATCH(K$17,'Limit raise'!$1:$1,0))</f>
        <v>0.85738311584796534</v>
      </c>
      <c r="L437" s="18">
        <f>INDEX('Limit raise'!$A:$O,
MATCH($C437, 'Limit raise'!$A:$A, 0),
MATCH(L$17,'Limit raise'!$1:$1,0))</f>
        <v>0.10102205149452009</v>
      </c>
      <c r="M437" s="18">
        <v>0.15</v>
      </c>
      <c r="N437" s="18"/>
    </row>
    <row r="438" spans="3:14" s="13" customFormat="1" ht="7.2" customHeight="1" x14ac:dyDescent="0.3">
      <c r="C438" s="17">
        <v>420</v>
      </c>
      <c r="D438" s="18" cm="1">
        <f t="array" ref="D438">INDEX('New credit'!$A:$O,
MATCH(1,('New credit'!$A:$A=$C438)*('New credit'!$D:$D=D$16), 0),
MATCH(D$17,'New credit'!$1:$1,0))</f>
        <v>0.65625</v>
      </c>
      <c r="E438" s="18" cm="1">
        <f t="array" ref="E438">INDEX('New credit'!$A:$O,
MATCH(1,('New credit'!$A:$A=$C438)*('New credit'!$D:$D=E$16), 0),
MATCH(E$17,'New credit'!$1:$1,0))</f>
        <v>0.85935483870967744</v>
      </c>
      <c r="F438" s="18" cm="1">
        <f t="array" ref="F438">INDEX('New credit'!$A:$O,
MATCH(1,('New credit'!$A:$A=$C438)*('New credit'!$D:$D=F$16), 0),
MATCH(F$17,'New credit'!$1:$1,0))</f>
        <v>0.81107703845845658</v>
      </c>
      <c r="G438" s="18">
        <f>INDEX('New credit'!$A:$O,
MATCH($C438, 'New credit'!$A:$A, 0),
MATCH(G$17, 'New credit'!$1:$1, 0))</f>
        <v>0.16253765354727609</v>
      </c>
      <c r="H438" s="18">
        <v>0.15</v>
      </c>
      <c r="I438" s="18" cm="1">
        <f t="array" ref="I438">INDEX('Limit raise'!$A:$O,
MATCH(1,('Limit raise'!$A:$A=$C438)*('Limit raise'!$D:$D=I$16), 0),
MATCH(I$17,'Limit raise'!$1:$1,0))</f>
        <v>0.625</v>
      </c>
      <c r="J438" s="18" cm="1">
        <f t="array" ref="J438">INDEX('Limit raise'!$A:$O,
MATCH(1,('Limit raise'!$A:$A=$C438)*('Limit raise'!$D:$D=J$16), 0),
MATCH(J$17,'Limit raise'!$1:$1,0))</f>
        <v>0.9285714285714286</v>
      </c>
      <c r="K438" s="18" cm="1">
        <f t="array" ref="K438">INDEX('Limit raise'!$A:$O,
MATCH(1,('Limit raise'!$A:$A=$C438)*('Limit raise'!$D:$D=K$16), 0),
MATCH(K$17,'Limit raise'!$1:$1,0))</f>
        <v>0.85668267802257947</v>
      </c>
      <c r="L438" s="18">
        <f>INDEX('Limit raise'!$A:$O,
MATCH($C438, 'Limit raise'!$A:$A, 0),
MATCH(L$17,'Limit raise'!$1:$1,0))</f>
        <v>9.8676404468665546E-2</v>
      </c>
      <c r="M438" s="18">
        <v>0.15</v>
      </c>
      <c r="N438" s="18"/>
    </row>
    <row r="439" spans="3:14" s="13" customFormat="1" ht="7.2" customHeight="1" x14ac:dyDescent="0.3">
      <c r="C439" s="17">
        <v>421</v>
      </c>
      <c r="D439" s="18" cm="1">
        <f t="array" ref="D439">INDEX('New credit'!$A:$O,
MATCH(1,('New credit'!$A:$A=$C439)*('New credit'!$D:$D=D$16), 0),
MATCH(D$17,'New credit'!$1:$1,0))</f>
        <v>0.70769230769230773</v>
      </c>
      <c r="E439" s="18" cm="1">
        <f t="array" ref="E439">INDEX('New credit'!$A:$O,
MATCH(1,('New credit'!$A:$A=$C439)*('New credit'!$D:$D=E$16), 0),
MATCH(E$17,'New credit'!$1:$1,0))</f>
        <v>0.86499999999999977</v>
      </c>
      <c r="F439" s="18" cm="1">
        <f t="array" ref="F439">INDEX('New credit'!$A:$O,
MATCH(1,('New credit'!$A:$A=$C439)*('New credit'!$D:$D=F$16), 0),
MATCH(F$17,'New credit'!$1:$1,0))</f>
        <v>0.80409675126449787</v>
      </c>
      <c r="G439" s="18">
        <f>INDEX('New credit'!$A:$O,
MATCH($C439, 'New credit'!$A:$A, 0),
MATCH(G$17, 'New credit'!$1:$1, 0))</f>
        <v>1</v>
      </c>
      <c r="H439" s="18">
        <v>0.15</v>
      </c>
      <c r="I439" s="18" cm="1">
        <f t="array" ref="I439">INDEX('Limit raise'!$A:$O,
MATCH(1,('Limit raise'!$A:$A=$C439)*('Limit raise'!$D:$D=I$16), 0),
MATCH(I$17,'Limit raise'!$1:$1,0))</f>
        <v>0.625</v>
      </c>
      <c r="J439" s="18" cm="1">
        <f t="array" ref="J439">INDEX('Limit raise'!$A:$O,
MATCH(1,('Limit raise'!$A:$A=$C439)*('Limit raise'!$D:$D=J$16), 0),
MATCH(J$17,'Limit raise'!$1:$1,0))</f>
        <v>0.92904761904761879</v>
      </c>
      <c r="K439" s="18" cm="1">
        <f t="array" ref="K439">INDEX('Limit raise'!$A:$O,
MATCH(1,('Limit raise'!$A:$A=$C439)*('Limit raise'!$D:$D=K$16), 0),
MATCH(K$17,'Limit raise'!$1:$1,0))</f>
        <v>0.8565936713265474</v>
      </c>
      <c r="L439" s="18">
        <f>INDEX('Limit raise'!$A:$O,
MATCH($C439, 'Limit raise'!$A:$A, 0),
MATCH(L$17,'Limit raise'!$1:$1,0))</f>
        <v>0.10023292235584851</v>
      </c>
      <c r="M439" s="18">
        <v>0.15</v>
      </c>
      <c r="N439" s="18"/>
    </row>
    <row r="440" spans="3:14" s="13" customFormat="1" ht="7.2" customHeight="1" x14ac:dyDescent="0.3">
      <c r="C440" s="17">
        <v>422</v>
      </c>
      <c r="D440" s="18" cm="1">
        <f t="array" ref="D440">INDEX('New credit'!$A:$O,
MATCH(1,('New credit'!$A:$A=$C440)*('New credit'!$D:$D=D$16), 0),
MATCH(D$17,'New credit'!$1:$1,0))</f>
        <v>0.71666666666666667</v>
      </c>
      <c r="E440" s="18" cm="1">
        <f t="array" ref="E440">INDEX('New credit'!$A:$O,
MATCH(1,('New credit'!$A:$A=$C440)*('New credit'!$D:$D=E$16), 0),
MATCH(E$17,'New credit'!$1:$1,0))</f>
        <v>0.86121212121212121</v>
      </c>
      <c r="F440" s="18" cm="1">
        <f t="array" ref="F440">INDEX('New credit'!$A:$O,
MATCH(1,('New credit'!$A:$A=$C440)*('New credit'!$D:$D=F$16), 0),
MATCH(F$17,'New credit'!$1:$1,0))</f>
        <v>0.79443955250455933</v>
      </c>
      <c r="G440" s="18">
        <f>INDEX('New credit'!$A:$O,
MATCH($C440, 'New credit'!$A:$A, 0),
MATCH(G$17, 'New credit'!$1:$1, 0))</f>
        <v>9.4629182924216973E-2</v>
      </c>
      <c r="H440" s="18">
        <v>0.15</v>
      </c>
      <c r="I440" s="18" cm="1">
        <f t="array" ref="I440">INDEX('Limit raise'!$A:$O,
MATCH(1,('Limit raise'!$A:$A=$C440)*('Limit raise'!$D:$D=I$16), 0),
MATCH(I$17,'Limit raise'!$1:$1,0))</f>
        <v>0.60317460317460314</v>
      </c>
      <c r="J440" s="18" cm="1">
        <f t="array" ref="J440">INDEX('Limit raise'!$A:$O,
MATCH(1,('Limit raise'!$A:$A=$C440)*('Limit raise'!$D:$D=J$16), 0),
MATCH(J$17,'Limit raise'!$1:$1,0))</f>
        <v>0.92904761904761879</v>
      </c>
      <c r="K440" s="18" cm="1">
        <f t="array" ref="K440">INDEX('Limit raise'!$A:$O,
MATCH(1,('Limit raise'!$A:$A=$C440)*('Limit raise'!$D:$D=K$16), 0),
MATCH(K$17,'Limit raise'!$1:$1,0))</f>
        <v>0.87231467019103703</v>
      </c>
      <c r="L440" s="18">
        <f>INDEX('Limit raise'!$A:$O,
MATCH($C440, 'Limit raise'!$A:$A, 0),
MATCH(L$17,'Limit raise'!$1:$1,0))</f>
        <v>9.5101651233005388E-2</v>
      </c>
      <c r="M440" s="18">
        <v>0.15</v>
      </c>
      <c r="N440" s="18"/>
    </row>
    <row r="441" spans="3:14" s="13" customFormat="1" ht="7.2" customHeight="1" x14ac:dyDescent="0.3">
      <c r="C441" s="17">
        <v>423</v>
      </c>
      <c r="D441" s="18" cm="1">
        <f t="array" ref="D441">INDEX('New credit'!$A:$O,
MATCH(1,('New credit'!$A:$A=$C441)*('New credit'!$D:$D=D$16), 0),
MATCH(D$17,'New credit'!$1:$1,0))</f>
        <v>0.6470588235294118</v>
      </c>
      <c r="E441" s="18" cm="1">
        <f t="array" ref="E441">INDEX('New credit'!$A:$O,
MATCH(1,('New credit'!$A:$A=$C441)*('New credit'!$D:$D=E$16), 0),
MATCH(E$17,'New credit'!$1:$1,0))</f>
        <v>0.86071428571428565</v>
      </c>
      <c r="F441" s="18" cm="1">
        <f t="array" ref="F441">INDEX('New credit'!$A:$O,
MATCH(1,('New credit'!$A:$A=$C441)*('New credit'!$D:$D=F$16), 0),
MATCH(F$17,'New credit'!$1:$1,0))</f>
        <v>0.7851014967143275</v>
      </c>
      <c r="G441" s="18">
        <f>INDEX('New credit'!$A:$O,
MATCH($C441, 'New credit'!$A:$A, 0),
MATCH(G$17, 'New credit'!$1:$1, 0))</f>
        <v>1</v>
      </c>
      <c r="H441" s="18">
        <v>0.15</v>
      </c>
      <c r="I441" s="18" cm="1">
        <f t="array" ref="I441">INDEX('Limit raise'!$A:$O,
MATCH(1,('Limit raise'!$A:$A=$C441)*('Limit raise'!$D:$D=I$16), 0),
MATCH(I$17,'Limit raise'!$1:$1,0))</f>
        <v>0.609375</v>
      </c>
      <c r="J441" s="18" cm="1">
        <f t="array" ref="J441">INDEX('Limit raise'!$A:$O,
MATCH(1,('Limit raise'!$A:$A=$C441)*('Limit raise'!$D:$D=J$16), 0),
MATCH(J$17,'Limit raise'!$1:$1,0))</f>
        <v>0.92952380952380931</v>
      </c>
      <c r="K441" s="18" cm="1">
        <f t="array" ref="K441">INDEX('Limit raise'!$A:$O,
MATCH(1,('Limit raise'!$A:$A=$C441)*('Limit raise'!$D:$D=K$16), 0),
MATCH(K$17,'Limit raise'!$1:$1,0))</f>
        <v>0.87341354958480721</v>
      </c>
      <c r="L441" s="18">
        <f>INDEX('Limit raise'!$A:$O,
MATCH($C441, 'Limit raise'!$A:$A, 0),
MATCH(L$17,'Limit raise'!$1:$1,0))</f>
        <v>9.2741279200694388E-2</v>
      </c>
      <c r="M441" s="18">
        <v>0.15</v>
      </c>
      <c r="N441" s="18"/>
    </row>
    <row r="442" spans="3:14" s="13" customFormat="1" ht="7.2" customHeight="1" x14ac:dyDescent="0.3">
      <c r="C442" s="17">
        <v>424</v>
      </c>
      <c r="D442" s="18" cm="1">
        <f t="array" ref="D442">INDEX('New credit'!$A:$O,
MATCH(1,('New credit'!$A:$A=$C442)*('New credit'!$D:$D=D$16), 0),
MATCH(D$17,'New credit'!$1:$1,0))</f>
        <v>0.71212121212121215</v>
      </c>
      <c r="E442" s="18" cm="1">
        <f t="array" ref="E442">INDEX('New credit'!$A:$O,
MATCH(1,('New credit'!$A:$A=$C442)*('New credit'!$D:$D=E$16), 0),
MATCH(E$17,'New credit'!$1:$1,0))</f>
        <v>0.85615384615384593</v>
      </c>
      <c r="F442" s="18" cm="1">
        <f t="array" ref="F442">INDEX('New credit'!$A:$O,
MATCH(1,('New credit'!$A:$A=$C442)*('New credit'!$D:$D=F$16), 0),
MATCH(F$17,'New credit'!$1:$1,0))</f>
        <v>0.77456139526530687</v>
      </c>
      <c r="G442" s="18">
        <f>INDEX('New credit'!$A:$O,
MATCH($C442, 'New credit'!$A:$A, 0),
MATCH(G$17, 'New credit'!$1:$1, 0))</f>
        <v>7.272510486154346E-2</v>
      </c>
      <c r="H442" s="18">
        <v>0.15</v>
      </c>
      <c r="I442" s="18" cm="1">
        <f t="array" ref="I442">INDEX('Limit raise'!$A:$O,
MATCH(1,('Limit raise'!$A:$A=$C442)*('Limit raise'!$D:$D=I$16), 0),
MATCH(I$17,'Limit raise'!$1:$1,0))</f>
        <v>0.609375</v>
      </c>
      <c r="J442" s="18" cm="1">
        <f t="array" ref="J442">INDEX('Limit raise'!$A:$O,
MATCH(1,('Limit raise'!$A:$A=$C442)*('Limit raise'!$D:$D=J$16), 0),
MATCH(J$17,'Limit raise'!$1:$1,0))</f>
        <v>0.9290476190476189</v>
      </c>
      <c r="K442" s="18" cm="1">
        <f t="array" ref="K442">INDEX('Limit raise'!$A:$O,
MATCH(1,('Limit raise'!$A:$A=$C442)*('Limit raise'!$D:$D=K$16), 0),
MATCH(K$17,'Limit raise'!$1:$1,0))</f>
        <v>0.87651319268966332</v>
      </c>
      <c r="L442" s="18">
        <f>INDEX('Limit raise'!$A:$O,
MATCH($C442, 'Limit raise'!$A:$A, 0),
MATCH(L$17,'Limit raise'!$1:$1,0))</f>
        <v>9.0415425724048565E-2</v>
      </c>
      <c r="M442" s="18">
        <v>0.15</v>
      </c>
      <c r="N442" s="18"/>
    </row>
    <row r="443" spans="3:14" s="13" customFormat="1" ht="7.2" customHeight="1" x14ac:dyDescent="0.3">
      <c r="C443" s="17">
        <v>425</v>
      </c>
      <c r="D443" s="18" cm="1">
        <f t="array" ref="D443">INDEX('New credit'!$A:$O,
MATCH(1,('New credit'!$A:$A=$C443)*('New credit'!$D:$D=D$16), 0),
MATCH(D$17,'New credit'!$1:$1,0))</f>
        <v>0.70491803278688525</v>
      </c>
      <c r="E443" s="18" cm="1">
        <f t="array" ref="E443">INDEX('New credit'!$A:$O,
MATCH(1,('New credit'!$A:$A=$C443)*('New credit'!$D:$D=E$16), 0),
MATCH(E$17,'New credit'!$1:$1,0))</f>
        <v>0.88739130434782598</v>
      </c>
      <c r="F443" s="18" cm="1">
        <f t="array" ref="F443">INDEX('New credit'!$A:$O,
MATCH(1,('New credit'!$A:$A=$C443)*('New credit'!$D:$D=F$16), 0),
MATCH(F$17,'New credit'!$1:$1,0))</f>
        <v>0.81580845537646662</v>
      </c>
      <c r="G443" s="18">
        <f>INDEX('New credit'!$A:$O,
MATCH($C443, 'New credit'!$A:$A, 0),
MATCH(G$17, 'New credit'!$1:$1, 0))</f>
        <v>1</v>
      </c>
      <c r="H443" s="18">
        <v>0.15</v>
      </c>
      <c r="I443" s="18" cm="1">
        <f t="array" ref="I443">INDEX('Limit raise'!$A:$O,
MATCH(1,('Limit raise'!$A:$A=$C443)*('Limit raise'!$D:$D=I$16), 0),
MATCH(I$17,'Limit raise'!$1:$1,0))</f>
        <v>0.609375</v>
      </c>
      <c r="J443" s="18" cm="1">
        <f t="array" ref="J443">INDEX('Limit raise'!$A:$O,
MATCH(1,('Limit raise'!$A:$A=$C443)*('Limit raise'!$D:$D=J$16), 0),
MATCH(J$17,'Limit raise'!$1:$1,0))</f>
        <v>0.92904761904761912</v>
      </c>
      <c r="K443" s="18" cm="1">
        <f t="array" ref="K443">INDEX('Limit raise'!$A:$O,
MATCH(1,('Limit raise'!$A:$A=$C443)*('Limit raise'!$D:$D=K$16), 0),
MATCH(K$17,'Limit raise'!$1:$1,0))</f>
        <v>0.87592864125122194</v>
      </c>
      <c r="L443" s="18">
        <f>INDEX('Limit raise'!$A:$O,
MATCH($C443, 'Limit raise'!$A:$A, 0),
MATCH(L$17,'Limit raise'!$1:$1,0))</f>
        <v>9.0313080001259163E-2</v>
      </c>
      <c r="M443" s="18">
        <v>0.15</v>
      </c>
      <c r="N443" s="18"/>
    </row>
    <row r="444" spans="3:14" s="13" customFormat="1" ht="7.2" customHeight="1" x14ac:dyDescent="0.3">
      <c r="C444" s="17">
        <v>426</v>
      </c>
      <c r="D444" s="18" cm="1">
        <f t="array" ref="D444">INDEX('New credit'!$A:$O,
MATCH(1,('New credit'!$A:$A=$C444)*('New credit'!$D:$D=D$16), 0),
MATCH(D$17,'New credit'!$1:$1,0))</f>
        <v>0.76666666666666672</v>
      </c>
      <c r="E444" s="18" cm="1">
        <f t="array" ref="E444">INDEX('New credit'!$A:$O,
MATCH(1,('New credit'!$A:$A=$C444)*('New credit'!$D:$D=E$16), 0),
MATCH(E$17,'New credit'!$1:$1,0))</f>
        <v>0.85399999999999987</v>
      </c>
      <c r="F444" s="18" cm="1">
        <f t="array" ref="F444">INDEX('New credit'!$A:$O,
MATCH(1,('New credit'!$A:$A=$C444)*('New credit'!$D:$D=F$16), 0),
MATCH(F$17,'New credit'!$1:$1,0))</f>
        <v>0.57140672304889928</v>
      </c>
      <c r="G444" s="18">
        <f>INDEX('New credit'!$A:$O,
MATCH($C444, 'New credit'!$A:$A, 0),
MATCH(G$17, 'New credit'!$1:$1, 0))</f>
        <v>9.5877794918638307E-2</v>
      </c>
      <c r="H444" s="18">
        <v>0.15</v>
      </c>
      <c r="I444" s="18" cm="1">
        <f t="array" ref="I444">INDEX('Limit raise'!$A:$O,
MATCH(1,('Limit raise'!$A:$A=$C444)*('Limit raise'!$D:$D=I$16), 0),
MATCH(I$17,'Limit raise'!$1:$1,0))</f>
        <v>0.625</v>
      </c>
      <c r="J444" s="18" cm="1">
        <f t="array" ref="J444">INDEX('Limit raise'!$A:$O,
MATCH(1,('Limit raise'!$A:$A=$C444)*('Limit raise'!$D:$D=J$16), 0),
MATCH(J$17,'Limit raise'!$1:$1,0))</f>
        <v>0.92899999999999994</v>
      </c>
      <c r="K444" s="18" cm="1">
        <f t="array" ref="K444">INDEX('Limit raise'!$A:$O,
MATCH(1,('Limit raise'!$A:$A=$C444)*('Limit raise'!$D:$D=K$16), 0),
MATCH(K$17,'Limit raise'!$1:$1,0))</f>
        <v>0.89491717295962236</v>
      </c>
      <c r="L444" s="18">
        <f>INDEX('Limit raise'!$A:$O,
MATCH($C444, 'Limit raise'!$A:$A, 0),
MATCH(L$17,'Limit raise'!$1:$1,0))</f>
        <v>9.4364525917059613E-2</v>
      </c>
      <c r="M444" s="18">
        <v>0.15</v>
      </c>
      <c r="N444" s="18"/>
    </row>
    <row r="445" spans="3:14" s="13" customFormat="1" ht="7.2" customHeight="1" x14ac:dyDescent="0.3">
      <c r="C445" s="17">
        <v>427</v>
      </c>
      <c r="D445" s="18" cm="1">
        <f t="array" ref="D445">INDEX('New credit'!$A:$O,
MATCH(1,('New credit'!$A:$A=$C445)*('New credit'!$D:$D=D$16), 0),
MATCH(D$17,'New credit'!$1:$1,0))</f>
        <v>0.78688524590163933</v>
      </c>
      <c r="E445" s="18" cm="1">
        <f t="array" ref="E445">INDEX('New credit'!$A:$O,
MATCH(1,('New credit'!$A:$A=$C445)*('New credit'!$D:$D=E$16), 0),
MATCH(E$17,'New credit'!$1:$1,0))</f>
        <v>0.85233333333333305</v>
      </c>
      <c r="F445" s="18" cm="1">
        <f t="array" ref="F445">INDEX('New credit'!$A:$O,
MATCH(1,('New credit'!$A:$A=$C445)*('New credit'!$D:$D=F$16), 0),
MATCH(F$17,'New credit'!$1:$1,0))</f>
        <v>0.72941566455002205</v>
      </c>
      <c r="G445" s="18">
        <f>INDEX('New credit'!$A:$O,
MATCH($C445, 'New credit'!$A:$A, 0),
MATCH(G$17, 'New credit'!$1:$1, 0))</f>
        <v>1</v>
      </c>
      <c r="H445" s="18">
        <v>0.15</v>
      </c>
      <c r="I445" s="18" cm="1">
        <f t="array" ref="I445">INDEX('Limit raise'!$A:$O,
MATCH(1,('Limit raise'!$A:$A=$C445)*('Limit raise'!$D:$D=I$16), 0),
MATCH(I$17,'Limit raise'!$1:$1,0))</f>
        <v>0.625</v>
      </c>
      <c r="J445" s="18" cm="1">
        <f t="array" ref="J445">INDEX('Limit raise'!$A:$O,
MATCH(1,('Limit raise'!$A:$A=$C445)*('Limit raise'!$D:$D=J$16), 0),
MATCH(J$17,'Limit raise'!$1:$1,0))</f>
        <v>0.92849999999999999</v>
      </c>
      <c r="K445" s="18" cm="1">
        <f t="array" ref="K445">INDEX('Limit raise'!$A:$O,
MATCH(1,('Limit raise'!$A:$A=$C445)*('Limit raise'!$D:$D=K$16), 0),
MATCH(K$17,'Limit raise'!$1:$1,0))</f>
        <v>0.8123032401668292</v>
      </c>
      <c r="L445" s="18">
        <f>INDEX('Limit raise'!$A:$O,
MATCH($C445, 'Limit raise'!$A:$A, 0),
MATCH(L$17,'Limit raise'!$1:$1,0))</f>
        <v>9.439127516780968E-2</v>
      </c>
      <c r="M445" s="18">
        <v>0.15</v>
      </c>
      <c r="N445" s="18"/>
    </row>
    <row r="446" spans="3:14" s="13" customFormat="1" ht="7.2" customHeight="1" x14ac:dyDescent="0.3">
      <c r="C446" s="17">
        <v>428</v>
      </c>
      <c r="D446" s="18" cm="1">
        <f t="array" ref="D446">INDEX('New credit'!$A:$O,
MATCH(1,('New credit'!$A:$A=$C446)*('New credit'!$D:$D=D$16), 0),
MATCH(D$17,'New credit'!$1:$1,0))</f>
        <v>0.77611940298507465</v>
      </c>
      <c r="E446" s="18" cm="1">
        <f t="array" ref="E446">INDEX('New credit'!$A:$O,
MATCH(1,('New credit'!$A:$A=$C446)*('New credit'!$D:$D=E$16), 0),
MATCH(E$17,'New credit'!$1:$1,0))</f>
        <v>0.86</v>
      </c>
      <c r="F446" s="18" cm="1">
        <f t="array" ref="F446">INDEX('New credit'!$A:$O,
MATCH(1,('New credit'!$A:$A=$C446)*('New credit'!$D:$D=F$16), 0),
MATCH(F$17,'New credit'!$1:$1,0))</f>
        <v>0.80782396497327902</v>
      </c>
      <c r="G446" s="18">
        <f>INDEX('New credit'!$A:$O,
MATCH($C446, 'New credit'!$A:$A, 0),
MATCH(G$17, 'New credit'!$1:$1, 0))</f>
        <v>0.1451423377780213</v>
      </c>
      <c r="H446" s="18">
        <v>0.15</v>
      </c>
      <c r="I446" s="18" cm="1">
        <f t="array" ref="I446">INDEX('Limit raise'!$A:$O,
MATCH(1,('Limit raise'!$A:$A=$C446)*('Limit raise'!$D:$D=I$16), 0),
MATCH(I$17,'Limit raise'!$1:$1,0))</f>
        <v>0.65625</v>
      </c>
      <c r="J446" s="18" cm="1">
        <f t="array" ref="J446">INDEX('Limit raise'!$A:$O,
MATCH(1,('Limit raise'!$A:$A=$C446)*('Limit raise'!$D:$D=J$16), 0),
MATCH(J$17,'Limit raise'!$1:$1,0))</f>
        <v>0.92899999999999994</v>
      </c>
      <c r="K446" s="18" cm="1">
        <f t="array" ref="K446">INDEX('Limit raise'!$A:$O,
MATCH(1,('Limit raise'!$A:$A=$C446)*('Limit raise'!$D:$D=K$16), 0),
MATCH(K$17,'Limit raise'!$1:$1,0))</f>
        <v>0.8201177675371224</v>
      </c>
      <c r="L446" s="18">
        <f>INDEX('Limit raise'!$A:$O,
MATCH($C446, 'Limit raise'!$A:$A, 0),
MATCH(L$17,'Limit raise'!$1:$1,0))</f>
        <v>9.6197454626283666E-2</v>
      </c>
      <c r="M446" s="18">
        <v>0.15</v>
      </c>
      <c r="N446" s="18"/>
    </row>
    <row r="447" spans="3:14" s="13" customFormat="1" ht="7.2" customHeight="1" x14ac:dyDescent="0.3">
      <c r="C447" s="17">
        <v>429</v>
      </c>
      <c r="D447" s="18" cm="1">
        <f t="array" ref="D447">INDEX('New credit'!$A:$O,
MATCH(1,('New credit'!$A:$A=$C447)*('New credit'!$D:$D=D$16), 0),
MATCH(D$17,'New credit'!$1:$1,0))</f>
        <v>0.72727272727272729</v>
      </c>
      <c r="E447" s="18" cm="1">
        <f t="array" ref="E447">INDEX('New credit'!$A:$O,
MATCH(1,('New credit'!$A:$A=$C447)*('New credit'!$D:$D=E$16), 0),
MATCH(E$17,'New credit'!$1:$1,0))</f>
        <v>0.86111111111111094</v>
      </c>
      <c r="F447" s="18" cm="1">
        <f t="array" ref="F447">INDEX('New credit'!$A:$O,
MATCH(1,('New credit'!$A:$A=$C447)*('New credit'!$D:$D=F$16), 0),
MATCH(F$17,'New credit'!$1:$1,0))</f>
        <v>0.7898802395414587</v>
      </c>
      <c r="G447" s="18">
        <f>INDEX('New credit'!$A:$O,
MATCH($C447, 'New credit'!$A:$A, 0),
MATCH(G$17, 'New credit'!$1:$1, 0))</f>
        <v>0.16339333480545309</v>
      </c>
      <c r="H447" s="18">
        <v>0.15</v>
      </c>
      <c r="I447" s="18" cm="1">
        <f t="array" ref="I447">INDEX('Limit raise'!$A:$O,
MATCH(1,('Limit raise'!$A:$A=$C447)*('Limit raise'!$D:$D=I$16), 0),
MATCH(I$17,'Limit raise'!$1:$1,0))</f>
        <v>0.671875</v>
      </c>
      <c r="J447" s="18" cm="1">
        <f t="array" ref="J447">INDEX('Limit raise'!$A:$O,
MATCH(1,('Limit raise'!$A:$A=$C447)*('Limit raise'!$D:$D=J$16), 0),
MATCH(J$17,'Limit raise'!$1:$1,0))</f>
        <v>0.92900000000000005</v>
      </c>
      <c r="K447" s="18" cm="1">
        <f t="array" ref="K447">INDEX('Limit raise'!$A:$O,
MATCH(1,('Limit raise'!$A:$A=$C447)*('Limit raise'!$D:$D=K$16), 0),
MATCH(K$17,'Limit raise'!$1:$1,0))</f>
        <v>0.83842867773399421</v>
      </c>
      <c r="L447" s="18">
        <f>INDEX('Limit raise'!$A:$O,
MATCH($C447, 'Limit raise'!$A:$A, 0),
MATCH(L$17,'Limit raise'!$1:$1,0))</f>
        <v>9.6105766413026344E-2</v>
      </c>
      <c r="M447" s="18">
        <v>0.15</v>
      </c>
      <c r="N447" s="18"/>
    </row>
    <row r="448" spans="3:14" s="13" customFormat="1" ht="7.2" customHeight="1" x14ac:dyDescent="0.3">
      <c r="C448" s="17">
        <v>430</v>
      </c>
      <c r="D448" s="18" cm="1">
        <f t="array" ref="D448">INDEX('New credit'!$A:$O,
MATCH(1,('New credit'!$A:$A=$C448)*('New credit'!$D:$D=D$16), 0),
MATCH(D$17,'New credit'!$1:$1,0))</f>
        <v>0.765625</v>
      </c>
      <c r="E448" s="18" cm="1">
        <f t="array" ref="E448">INDEX('New credit'!$A:$O,
MATCH(1,('New credit'!$A:$A=$C448)*('New credit'!$D:$D=E$16), 0),
MATCH(E$17,'New credit'!$1:$1,0))</f>
        <v>0.86933333333333318</v>
      </c>
      <c r="F448" s="18" cm="1">
        <f t="array" ref="F448">INDEX('New credit'!$A:$O,
MATCH(1,('New credit'!$A:$A=$C448)*('New credit'!$D:$D=F$16), 0),
MATCH(F$17,'New credit'!$1:$1,0))</f>
        <v>0.80113391576447945</v>
      </c>
      <c r="G448" s="18">
        <f>INDEX('New credit'!$A:$O,
MATCH($C448, 'New credit'!$A:$A, 0),
MATCH(G$17, 'New credit'!$1:$1, 0))</f>
        <v>0.10177121811269151</v>
      </c>
      <c r="H448" s="18">
        <v>0.15</v>
      </c>
      <c r="I448" s="18" cm="1">
        <f t="array" ref="I448">INDEX('Limit raise'!$A:$O,
MATCH(1,('Limit raise'!$A:$A=$C448)*('Limit raise'!$D:$D=I$16), 0),
MATCH(I$17,'Limit raise'!$1:$1,0))</f>
        <v>0.625</v>
      </c>
      <c r="J448" s="18" cm="1">
        <f t="array" ref="J448">INDEX('Limit raise'!$A:$O,
MATCH(1,('Limit raise'!$A:$A=$C448)*('Limit raise'!$D:$D=J$16), 0),
MATCH(J$17,'Limit raise'!$1:$1,0))</f>
        <v>0.92849999999999999</v>
      </c>
      <c r="K448" s="18" cm="1">
        <f t="array" ref="K448">INDEX('Limit raise'!$A:$O,
MATCH(1,('Limit raise'!$A:$A=$C448)*('Limit raise'!$D:$D=K$16), 0),
MATCH(K$17,'Limit raise'!$1:$1,0))</f>
        <v>0.81922382008870931</v>
      </c>
      <c r="L448" s="18">
        <f>INDEX('Limit raise'!$A:$O,
MATCH($C448, 'Limit raise'!$A:$A, 0),
MATCH(L$17,'Limit raise'!$1:$1,0))</f>
        <v>9.7741725016325318E-2</v>
      </c>
      <c r="M448" s="18">
        <v>0.15</v>
      </c>
      <c r="N448" s="18"/>
    </row>
    <row r="449" spans="3:37" s="13" customFormat="1" ht="7.2" customHeight="1" x14ac:dyDescent="0.3">
      <c r="C449" s="17">
        <v>431</v>
      </c>
      <c r="D449" s="18" cm="1">
        <f t="array" ref="D449">INDEX('New credit'!$A:$O,
MATCH(1,('New credit'!$A:$A=$C449)*('New credit'!$D:$D=D$16), 0),
MATCH(D$17,'New credit'!$1:$1,0))</f>
        <v>0.76271186440677963</v>
      </c>
      <c r="E449" s="18" cm="1">
        <f t="array" ref="E449">INDEX('New credit'!$A:$O,
MATCH(1,('New credit'!$A:$A=$C449)*('New credit'!$D:$D=E$16), 0),
MATCH(E$17,'New credit'!$1:$1,0))</f>
        <v>0.86464285714285705</v>
      </c>
      <c r="F449" s="18" cm="1">
        <f t="array" ref="F449">INDEX('New credit'!$A:$O,
MATCH(1,('New credit'!$A:$A=$C449)*('New credit'!$D:$D=F$16), 0),
MATCH(F$17,'New credit'!$1:$1,0))</f>
        <v>0.77727049734481379</v>
      </c>
      <c r="G449" s="18">
        <f>INDEX('New credit'!$A:$O,
MATCH($C449, 'New credit'!$A:$A, 0),
MATCH(G$17, 'New credit'!$1:$1, 0))</f>
        <v>0.13176301307503821</v>
      </c>
      <c r="H449" s="18">
        <v>0.15</v>
      </c>
      <c r="I449" s="18" cm="1">
        <f t="array" ref="I449">INDEX('Limit raise'!$A:$O,
MATCH(1,('Limit raise'!$A:$A=$C449)*('Limit raise'!$D:$D=I$16), 0),
MATCH(I$17,'Limit raise'!$1:$1,0))</f>
        <v>0.65625</v>
      </c>
      <c r="J449" s="18" cm="1">
        <f t="array" ref="J449">INDEX('Limit raise'!$A:$O,
MATCH(1,('Limit raise'!$A:$A=$C449)*('Limit raise'!$D:$D=J$16), 0),
MATCH(J$17,'Limit raise'!$1:$1,0))</f>
        <v>0.92949999999999999</v>
      </c>
      <c r="K449" s="18" cm="1">
        <f t="array" ref="K449">INDEX('Limit raise'!$A:$O,
MATCH(1,('Limit raise'!$A:$A=$C449)*('Limit raise'!$D:$D=K$16), 0),
MATCH(K$17,'Limit raise'!$1:$1,0))</f>
        <v>0.84001143662492495</v>
      </c>
      <c r="L449" s="18">
        <f>INDEX('Limit raise'!$A:$O,
MATCH($C449, 'Limit raise'!$A:$A, 0),
MATCH(L$17,'Limit raise'!$1:$1,0))</f>
        <v>9.5297538934214762E-2</v>
      </c>
      <c r="M449" s="18">
        <v>0.15</v>
      </c>
      <c r="N449" s="18"/>
    </row>
    <row r="450" spans="3:37" s="13" customFormat="1" ht="7.2" customHeight="1" x14ac:dyDescent="0.3">
      <c r="C450" s="17">
        <v>432</v>
      </c>
      <c r="D450" s="18" cm="1">
        <f t="array" ref="D450">INDEX('New credit'!$A:$O,
MATCH(1,('New credit'!$A:$A=$C450)*('New credit'!$D:$D=D$16), 0),
MATCH(D$17,'New credit'!$1:$1,0))</f>
        <v>0.69230769230769229</v>
      </c>
      <c r="E450" s="18" cm="1">
        <f t="array" ref="E450">INDEX('New credit'!$A:$O,
MATCH(1,('New credit'!$A:$A=$C450)*('New credit'!$D:$D=E$16), 0),
MATCH(E$17,'New credit'!$1:$1,0))</f>
        <v>0.86833333333333307</v>
      </c>
      <c r="F450" s="18" cm="1">
        <f t="array" ref="F450">INDEX('New credit'!$A:$O,
MATCH(1,('New credit'!$A:$A=$C450)*('New credit'!$D:$D=F$16), 0),
MATCH(F$17,'New credit'!$1:$1,0))</f>
        <v>0.80720418159267282</v>
      </c>
      <c r="G450" s="18">
        <f>INDEX('New credit'!$A:$O,
MATCH($C450, 'New credit'!$A:$A, 0),
MATCH(G$17, 'New credit'!$1:$1, 0))</f>
        <v>0.19308236799393599</v>
      </c>
      <c r="H450" s="18">
        <v>0.15</v>
      </c>
      <c r="I450" s="18" cm="1">
        <f t="array" ref="I450">INDEX('Limit raise'!$A:$O,
MATCH(1,('Limit raise'!$A:$A=$C450)*('Limit raise'!$D:$D=I$16), 0),
MATCH(I$17,'Limit raise'!$1:$1,0))</f>
        <v>0.640625</v>
      </c>
      <c r="J450" s="18" cm="1">
        <f t="array" ref="J450">INDEX('Limit raise'!$A:$O,
MATCH(1,('Limit raise'!$A:$A=$C450)*('Limit raise'!$D:$D=J$16), 0),
MATCH(J$17,'Limit raise'!$1:$1,0))</f>
        <v>0.92899999999999994</v>
      </c>
      <c r="K450" s="18" cm="1">
        <f t="array" ref="K450">INDEX('Limit raise'!$A:$O,
MATCH(1,('Limit raise'!$A:$A=$C450)*('Limit raise'!$D:$D=K$16), 0),
MATCH(K$17,'Limit raise'!$1:$1,0))</f>
        <v>0.81806783710485287</v>
      </c>
      <c r="L450" s="18">
        <f>INDEX('Limit raise'!$A:$O,
MATCH($C450, 'Limit raise'!$A:$A, 0),
MATCH(L$17,'Limit raise'!$1:$1,0))</f>
        <v>9.5011959129496101E-2</v>
      </c>
      <c r="M450" s="18">
        <v>0.15</v>
      </c>
      <c r="N450" s="18"/>
    </row>
    <row r="451" spans="3:37" s="13" customFormat="1" ht="7.2" customHeight="1" x14ac:dyDescent="0.3">
      <c r="C451" s="17">
        <v>433</v>
      </c>
      <c r="D451" s="18" cm="1">
        <f t="array" ref="D451">INDEX('New credit'!$A:$O,
MATCH(1,('New credit'!$A:$A=$C451)*('New credit'!$D:$D=D$16), 0),
MATCH(D$17,'New credit'!$1:$1,0))</f>
        <v>0.6901408450704225</v>
      </c>
      <c r="E451" s="18" cm="1">
        <f t="array" ref="E451">INDEX('New credit'!$A:$O,
MATCH(1,('New credit'!$A:$A=$C451)*('New credit'!$D:$D=E$16), 0),
MATCH(E$17,'New credit'!$1:$1,0))</f>
        <v>0.86448275862068935</v>
      </c>
      <c r="F451" s="18" cm="1">
        <f t="array" ref="F451">INDEX('New credit'!$A:$O,
MATCH(1,('New credit'!$A:$A=$C451)*('New credit'!$D:$D=F$16), 0),
MATCH(F$17,'New credit'!$1:$1,0))</f>
        <v>0.80525861492400486</v>
      </c>
      <c r="G451" s="18">
        <f>INDEX('New credit'!$A:$O,
MATCH($C451, 'New credit'!$A:$A, 0),
MATCH(G$17, 'New credit'!$1:$1, 0))</f>
        <v>7.4722192456363926E-2</v>
      </c>
      <c r="H451" s="18">
        <v>0.15</v>
      </c>
      <c r="I451" s="18" cm="1">
        <f t="array" ref="I451">INDEX('Limit raise'!$A:$O,
MATCH(1,('Limit raise'!$A:$A=$C451)*('Limit raise'!$D:$D=I$16), 0),
MATCH(I$17,'Limit raise'!$1:$1,0))</f>
        <v>0.59090909090909094</v>
      </c>
      <c r="J451" s="18" cm="1">
        <f t="array" ref="J451">INDEX('Limit raise'!$A:$O,
MATCH(1,('Limit raise'!$A:$A=$C451)*('Limit raise'!$D:$D=J$16), 0),
MATCH(J$17,'Limit raise'!$1:$1,0))</f>
        <v>0.92849999999999988</v>
      </c>
      <c r="K451" s="18" cm="1">
        <f t="array" ref="K451">INDEX('Limit raise'!$A:$O,
MATCH(1,('Limit raise'!$A:$A=$C451)*('Limit raise'!$D:$D=K$16), 0),
MATCH(K$17,'Limit raise'!$1:$1,0))</f>
        <v>0.79246094969487624</v>
      </c>
      <c r="L451" s="18">
        <f>INDEX('Limit raise'!$A:$O,
MATCH($C451, 'Limit raise'!$A:$A, 0),
MATCH(L$17,'Limit raise'!$1:$1,0))</f>
        <v>9.9327399013480103E-2</v>
      </c>
      <c r="M451" s="18">
        <v>0.15</v>
      </c>
      <c r="N451" s="18"/>
    </row>
    <row r="452" spans="3:37" s="13" customFormat="1" ht="7.2" customHeight="1" x14ac:dyDescent="0.3">
      <c r="C452" s="17">
        <v>434</v>
      </c>
      <c r="D452" s="18" cm="1">
        <f t="array" ref="D452">INDEX('New credit'!$A:$O,
MATCH(1,('New credit'!$A:$A=$C452)*('New credit'!$D:$D=D$16), 0),
MATCH(D$17,'New credit'!$1:$1,0))</f>
        <v>0.68571428571428572</v>
      </c>
      <c r="E452" s="18" cm="1">
        <f t="array" ref="E452">INDEX('New credit'!$A:$O,
MATCH(1,('New credit'!$A:$A=$C452)*('New credit'!$D:$D=E$16), 0),
MATCH(E$17,'New credit'!$1:$1,0))</f>
        <v>0.85962962962962941</v>
      </c>
      <c r="F452" s="18" cm="1">
        <f t="array" ref="F452">INDEX('New credit'!$A:$O,
MATCH(1,('New credit'!$A:$A=$C452)*('New credit'!$D:$D=F$16), 0),
MATCH(F$17,'New credit'!$1:$1,0))</f>
        <v>0.74424740231145714</v>
      </c>
      <c r="G452" s="18">
        <f>INDEX('New credit'!$A:$O,
MATCH($C452, 'New credit'!$A:$A, 0),
MATCH(G$17, 'New credit'!$1:$1, 0))</f>
        <v>0.13460984222883221</v>
      </c>
      <c r="H452" s="18">
        <v>0.15</v>
      </c>
      <c r="I452" s="18" cm="1">
        <f t="array" ref="I452">INDEX('Limit raise'!$A:$O,
MATCH(1,('Limit raise'!$A:$A=$C452)*('Limit raise'!$D:$D=I$16), 0),
MATCH(I$17,'Limit raise'!$1:$1,0))</f>
        <v>0.62121212121212122</v>
      </c>
      <c r="J452" s="18" cm="1">
        <f t="array" ref="J452">INDEX('Limit raise'!$A:$O,
MATCH(1,('Limit raise'!$A:$A=$C452)*('Limit raise'!$D:$D=J$16), 0),
MATCH(J$17,'Limit raise'!$1:$1,0))</f>
        <v>0.92761904761904745</v>
      </c>
      <c r="K452" s="18" cm="1">
        <f t="array" ref="K452">INDEX('Limit raise'!$A:$O,
MATCH(1,('Limit raise'!$A:$A=$C452)*('Limit raise'!$D:$D=K$16), 0),
MATCH(K$17,'Limit raise'!$1:$1,0))</f>
        <v>0.81949711186265473</v>
      </c>
      <c r="L452" s="18">
        <f>INDEX('Limit raise'!$A:$O,
MATCH($C452, 'Limit raise'!$A:$A, 0),
MATCH(L$17,'Limit raise'!$1:$1,0))</f>
        <v>9.4822493750161801E-2</v>
      </c>
      <c r="M452" s="18">
        <v>0.15</v>
      </c>
      <c r="N452" s="18"/>
    </row>
    <row r="453" spans="3:37" s="13" customFormat="1" ht="7.2" customHeight="1" x14ac:dyDescent="0.3">
      <c r="C453" s="17">
        <v>435</v>
      </c>
      <c r="D453" s="18" cm="1">
        <f t="array" ref="D453">INDEX('New credit'!$A:$O,
MATCH(1,('New credit'!$A:$A=$C453)*('New credit'!$D:$D=D$16), 0),
MATCH(D$17,'New credit'!$1:$1,0))</f>
        <v>0.72307692307692306</v>
      </c>
      <c r="E453" s="18" cm="1">
        <f t="array" ref="E453">INDEX('New credit'!$A:$O,
MATCH(1,('New credit'!$A:$A=$C453)*('New credit'!$D:$D=E$16), 0),
MATCH(E$17,'New credit'!$1:$1,0))</f>
        <v>0.86071428571428565</v>
      </c>
      <c r="F453" s="18" cm="1">
        <f t="array" ref="F453">INDEX('New credit'!$A:$O,
MATCH(1,('New credit'!$A:$A=$C453)*('New credit'!$D:$D=F$16), 0),
MATCH(F$17,'New credit'!$1:$1,0))</f>
        <v>0.7608983314585106</v>
      </c>
      <c r="G453" s="18">
        <f>INDEX('New credit'!$A:$O,
MATCH($C453, 'New credit'!$A:$A, 0),
MATCH(G$17, 'New credit'!$1:$1, 0))</f>
        <v>0.1241194706800685</v>
      </c>
      <c r="H453" s="18">
        <v>0.15</v>
      </c>
      <c r="I453" s="18" cm="1">
        <f t="array" ref="I453">INDEX('Limit raise'!$A:$O,
MATCH(1,('Limit raise'!$A:$A=$C453)*('Limit raise'!$D:$D=I$16), 0),
MATCH(I$17,'Limit raise'!$1:$1,0))</f>
        <v>0.62121212121212122</v>
      </c>
      <c r="J453" s="18" cm="1">
        <f t="array" ref="J453">INDEX('Limit raise'!$A:$O,
MATCH(1,('Limit raise'!$A:$A=$C453)*('Limit raise'!$D:$D=J$16), 0),
MATCH(J$17,'Limit raise'!$1:$1,0))</f>
        <v>0.92714285714285694</v>
      </c>
      <c r="K453" s="18" cm="1">
        <f t="array" ref="K453">INDEX('Limit raise'!$A:$O,
MATCH(1,('Limit raise'!$A:$A=$C453)*('Limit raise'!$D:$D=K$16), 0),
MATCH(K$17,'Limit raise'!$1:$1,0))</f>
        <v>0.82104531735174702</v>
      </c>
      <c r="L453" s="18">
        <f>INDEX('Limit raise'!$A:$O,
MATCH($C453, 'Limit raise'!$A:$A, 0),
MATCH(L$17,'Limit raise'!$1:$1,0))</f>
        <v>9.483108599640834E-2</v>
      </c>
      <c r="M453" s="18">
        <v>0.15</v>
      </c>
      <c r="N453" s="18"/>
    </row>
    <row r="454" spans="3:37" s="13" customFormat="1" ht="7.2" customHeight="1" x14ac:dyDescent="0.3">
      <c r="C454" s="17">
        <v>436</v>
      </c>
      <c r="D454" s="18" cm="1">
        <f t="array" ref="D454">INDEX('New credit'!$A:$O,
MATCH(1,('New credit'!$A:$A=$C454)*('New credit'!$D:$D=D$16), 0),
MATCH(D$17,'New credit'!$1:$1,0))</f>
        <v>0.70967741935483875</v>
      </c>
      <c r="E454" s="18" cm="1">
        <f t="array" ref="E454">INDEX('New credit'!$A:$O,
MATCH(1,('New credit'!$A:$A=$C454)*('New credit'!$D:$D=E$16), 0),
MATCH(E$17,'New credit'!$1:$1,0))</f>
        <v>0.85214285714285698</v>
      </c>
      <c r="F454" s="18" cm="1">
        <f t="array" ref="F454">INDEX('New credit'!$A:$O,
MATCH(1,('New credit'!$A:$A=$C454)*('New credit'!$D:$D=F$16), 0),
MATCH(F$17,'New credit'!$1:$1,0))</f>
        <v>0.77833599447942503</v>
      </c>
      <c r="G454" s="18">
        <f>INDEX('New credit'!$A:$O,
MATCH($C454, 'New credit'!$A:$A, 0),
MATCH(G$17, 'New credit'!$1:$1, 0))</f>
        <v>0.2013470916296215</v>
      </c>
      <c r="H454" s="18">
        <v>0.15</v>
      </c>
      <c r="I454" s="18" cm="1">
        <f t="array" ref="I454">INDEX('Limit raise'!$A:$O,
MATCH(1,('Limit raise'!$A:$A=$C454)*('Limit raise'!$D:$D=I$16), 0),
MATCH(I$17,'Limit raise'!$1:$1,0))</f>
        <v>0.63636363636363635</v>
      </c>
      <c r="J454" s="18" cm="1">
        <f t="array" ref="J454">INDEX('Limit raise'!$A:$O,
MATCH(1,('Limit raise'!$A:$A=$C454)*('Limit raise'!$D:$D=J$16), 0),
MATCH(J$17,'Limit raise'!$1:$1,0))</f>
        <v>0.92619047619047601</v>
      </c>
      <c r="K454" s="18" cm="1">
        <f t="array" ref="K454">INDEX('Limit raise'!$A:$O,
MATCH(1,('Limit raise'!$A:$A=$C454)*('Limit raise'!$D:$D=K$16), 0),
MATCH(K$17,'Limit raise'!$1:$1,0))</f>
        <v>0.77483002358957054</v>
      </c>
      <c r="L454" s="18">
        <f>INDEX('Limit raise'!$A:$O,
MATCH($C454, 'Limit raise'!$A:$A, 0),
MATCH(L$17,'Limit raise'!$1:$1,0))</f>
        <v>9.3582315321808426E-2</v>
      </c>
      <c r="M454" s="18">
        <v>0.15</v>
      </c>
      <c r="N454" s="18"/>
    </row>
    <row r="455" spans="3:37" s="13" customFormat="1" ht="7.2" customHeight="1" x14ac:dyDescent="0.3">
      <c r="C455" s="17">
        <v>437</v>
      </c>
      <c r="D455" s="18" cm="1">
        <f t="array" ref="D455">INDEX('New credit'!$A:$O,
MATCH(1,('New credit'!$A:$A=$C455)*('New credit'!$D:$D=D$16), 0),
MATCH(D$17,'New credit'!$1:$1,0))</f>
        <v>0.75</v>
      </c>
      <c r="E455" s="18" cm="1">
        <f t="array" ref="E455">INDEX('New credit'!$A:$O,
MATCH(1,('New credit'!$A:$A=$C455)*('New credit'!$D:$D=E$16), 0),
MATCH(E$17,'New credit'!$1:$1,0))</f>
        <v>0.84925925925925894</v>
      </c>
      <c r="F455" s="18" cm="1">
        <f t="array" ref="F455">INDEX('New credit'!$A:$O,
MATCH(1,('New credit'!$A:$A=$C455)*('New credit'!$D:$D=F$16), 0),
MATCH(F$17,'New credit'!$1:$1,0))</f>
        <v>0.79291459794775965</v>
      </c>
      <c r="G455" s="18">
        <f>INDEX('New credit'!$A:$O,
MATCH($C455, 'New credit'!$A:$A, 0),
MATCH(G$17, 'New credit'!$1:$1, 0))</f>
        <v>0.12354812087232191</v>
      </c>
      <c r="H455" s="18">
        <v>0.15</v>
      </c>
      <c r="I455" s="18" cm="1">
        <f t="array" ref="I455">INDEX('Limit raise'!$A:$O,
MATCH(1,('Limit raise'!$A:$A=$C455)*('Limit raise'!$D:$D=I$16), 0),
MATCH(I$17,'Limit raise'!$1:$1,0))</f>
        <v>0.64615384615384619</v>
      </c>
      <c r="J455" s="18" cm="1">
        <f t="array" ref="J455">INDEX('Limit raise'!$A:$O,
MATCH(1,('Limit raise'!$A:$A=$C455)*('Limit raise'!$D:$D=J$16), 0),
MATCH(J$17,'Limit raise'!$1:$1,0))</f>
        <v>0.92809523809523786</v>
      </c>
      <c r="K455" s="18" cm="1">
        <f t="array" ref="K455">INDEX('Limit raise'!$A:$O,
MATCH(1,('Limit raise'!$A:$A=$C455)*('Limit raise'!$D:$D=K$16), 0),
MATCH(K$17,'Limit raise'!$1:$1,0))</f>
        <v>0.84127071702769707</v>
      </c>
      <c r="L455" s="18">
        <f>INDEX('Limit raise'!$A:$O,
MATCH($C455, 'Limit raise'!$A:$A, 0),
MATCH(L$17,'Limit raise'!$1:$1,0))</f>
        <v>9.7489767892782145E-2</v>
      </c>
      <c r="M455" s="18">
        <v>0.15</v>
      </c>
      <c r="N455" s="18"/>
    </row>
    <row r="456" spans="3:37" s="13" customFormat="1" ht="7.2" customHeight="1" x14ac:dyDescent="0.3">
      <c r="C456" s="17">
        <v>438</v>
      </c>
      <c r="D456" s="18" cm="1">
        <f t="array" ref="D456">INDEX('New credit'!$A:$O,
MATCH(1,('New credit'!$A:$A=$C456)*('New credit'!$D:$D=D$16), 0),
MATCH(D$17,'New credit'!$1:$1,0))</f>
        <v>0.61971830985915488</v>
      </c>
      <c r="E456" s="18" cm="1">
        <f t="array" ref="E456">INDEX('New credit'!$A:$O,
MATCH(1,('New credit'!$A:$A=$C456)*('New credit'!$D:$D=E$16), 0),
MATCH(E$17,'New credit'!$1:$1,0))</f>
        <v>0.85531249999999981</v>
      </c>
      <c r="F456" s="18" cm="1">
        <f t="array" ref="F456">INDEX('New credit'!$A:$O,
MATCH(1,('New credit'!$A:$A=$C456)*('New credit'!$D:$D=F$16), 0),
MATCH(F$17,'New credit'!$1:$1,0))</f>
        <v>0.78708005847711737</v>
      </c>
      <c r="G456" s="18">
        <f>INDEX('New credit'!$A:$O,
MATCH($C456, 'New credit'!$A:$A, 0),
MATCH(G$17, 'New credit'!$1:$1, 0))</f>
        <v>0.15938582686131761</v>
      </c>
      <c r="H456" s="18">
        <v>0.15</v>
      </c>
      <c r="I456" s="18" cm="1">
        <f t="array" ref="I456">INDEX('Limit raise'!$A:$O,
MATCH(1,('Limit raise'!$A:$A=$C456)*('Limit raise'!$D:$D=I$16), 0),
MATCH(I$17,'Limit raise'!$1:$1,0))</f>
        <v>0.66129032258064513</v>
      </c>
      <c r="J456" s="18" cm="1">
        <f t="array" ref="J456">INDEX('Limit raise'!$A:$O,
MATCH(1,('Limit raise'!$A:$A=$C456)*('Limit raise'!$D:$D=J$16), 0),
MATCH(J$17,'Limit raise'!$1:$1,0))</f>
        <v>0.92999999999999994</v>
      </c>
      <c r="K456" s="18" cm="1">
        <f t="array" ref="K456">INDEX('Limit raise'!$A:$O,
MATCH(1,('Limit raise'!$A:$A=$C456)*('Limit raise'!$D:$D=K$16), 0),
MATCH(K$17,'Limit raise'!$1:$1,0))</f>
        <v>0.86554294636365903</v>
      </c>
      <c r="L456" s="18">
        <f>INDEX('Limit raise'!$A:$O,
MATCH($C456, 'Limit raise'!$A:$A, 0),
MATCH(L$17,'Limit raise'!$1:$1,0))</f>
        <v>9.9701208264252855E-2</v>
      </c>
      <c r="M456" s="18">
        <v>0.15</v>
      </c>
      <c r="N456" s="18"/>
    </row>
    <row r="457" spans="3:37" s="13" customFormat="1" ht="7.2" customHeight="1" x14ac:dyDescent="0.3">
      <c r="C457" s="17">
        <v>439</v>
      </c>
      <c r="D457" s="18" cm="1">
        <f t="array" ref="D457">INDEX('New credit'!$A:$O,
MATCH(1,('New credit'!$A:$A=$C457)*('New credit'!$D:$D=D$16), 0),
MATCH(D$17,'New credit'!$1:$1,0))</f>
        <v>0.67567567567567566</v>
      </c>
      <c r="E457" s="18" cm="1">
        <f t="array" ref="E457">INDEX('New credit'!$A:$O,
MATCH(1,('New credit'!$A:$A=$C457)*('New credit'!$D:$D=E$16), 0),
MATCH(E$17,'New credit'!$1:$1,0))</f>
        <v>0.83437499999999976</v>
      </c>
      <c r="F457" s="18" cm="1">
        <f t="array" ref="F457">INDEX('New credit'!$A:$O,
MATCH(1,('New credit'!$A:$A=$C457)*('New credit'!$D:$D=F$16), 0),
MATCH(F$17,'New credit'!$1:$1,0))</f>
        <v>0.63269132805538475</v>
      </c>
      <c r="G457" s="18">
        <f>INDEX('New credit'!$A:$O,
MATCH($C457, 'New credit'!$A:$A, 0),
MATCH(G$17, 'New credit'!$1:$1, 0))</f>
        <v>9.2179487071023664E-2</v>
      </c>
      <c r="H457" s="18">
        <v>0.15</v>
      </c>
      <c r="I457" s="18" cm="1">
        <f t="array" ref="I457">INDEX('Limit raise'!$A:$O,
MATCH(1,('Limit raise'!$A:$A=$C457)*('Limit raise'!$D:$D=I$16), 0),
MATCH(I$17,'Limit raise'!$1:$1,0))</f>
        <v>0.66129032258064513</v>
      </c>
      <c r="J457" s="18" cm="1">
        <f t="array" ref="J457">INDEX('Limit raise'!$A:$O,
MATCH(1,('Limit raise'!$A:$A=$C457)*('Limit raise'!$D:$D=J$16), 0),
MATCH(J$17,'Limit raise'!$1:$1,0))</f>
        <v>0.92999999999999994</v>
      </c>
      <c r="K457" s="18" cm="1">
        <f t="array" ref="K457">INDEX('Limit raise'!$A:$O,
MATCH(1,('Limit raise'!$A:$A=$C457)*('Limit raise'!$D:$D=K$16), 0),
MATCH(K$17,'Limit raise'!$1:$1,0))</f>
        <v>0.86788077182092349</v>
      </c>
      <c r="L457" s="18">
        <f>INDEX('Limit raise'!$A:$O,
MATCH($C457, 'Limit raise'!$A:$A, 0),
MATCH(L$17,'Limit raise'!$1:$1,0))</f>
        <v>9.4294410829124542E-2</v>
      </c>
      <c r="M457" s="18">
        <v>0.15</v>
      </c>
      <c r="N457" s="18"/>
    </row>
    <row r="458" spans="3:37" s="13" customFormat="1" ht="7.2" customHeight="1" x14ac:dyDescent="0.3">
      <c r="C458" s="17">
        <v>440</v>
      </c>
      <c r="D458" s="18" cm="1">
        <f t="array" ref="D458">INDEX('New credit'!$A:$O,
MATCH(1,('New credit'!$A:$A=$C458)*('New credit'!$D:$D=D$16), 0),
MATCH(D$17,'New credit'!$1:$1,0))</f>
        <v>0.65789473684210531</v>
      </c>
      <c r="E458" s="18" cm="1">
        <f t="array" ref="E458">INDEX('New credit'!$A:$O,
MATCH(1,('New credit'!$A:$A=$C458)*('New credit'!$D:$D=E$16), 0),
MATCH(E$17,'New credit'!$1:$1,0))</f>
        <v>0.8609374999999998</v>
      </c>
      <c r="F458" s="18" cm="1">
        <f t="array" ref="F458">INDEX('New credit'!$A:$O,
MATCH(1,('New credit'!$A:$A=$C458)*('New credit'!$D:$D=F$16), 0),
MATCH(F$17,'New credit'!$1:$1,0))</f>
        <v>0.71094084945714886</v>
      </c>
      <c r="G458" s="18">
        <f>INDEX('New credit'!$A:$O,
MATCH($C458, 'New credit'!$A:$A, 0),
MATCH(G$17, 'New credit'!$1:$1, 0))</f>
        <v>0.1242536887376247</v>
      </c>
      <c r="H458" s="18">
        <v>0.15</v>
      </c>
      <c r="I458" s="18" cm="1">
        <f t="array" ref="I458">INDEX('Limit raise'!$A:$O,
MATCH(1,('Limit raise'!$A:$A=$C458)*('Limit raise'!$D:$D=I$16), 0),
MATCH(I$17,'Limit raise'!$1:$1,0))</f>
        <v>0.66129032258064513</v>
      </c>
      <c r="J458" s="18" cm="1">
        <f t="array" ref="J458">INDEX('Limit raise'!$A:$O,
MATCH(1,('Limit raise'!$A:$A=$C458)*('Limit raise'!$D:$D=J$16), 0),
MATCH(J$17,'Limit raise'!$1:$1,0))</f>
        <v>0.92666666666666642</v>
      </c>
      <c r="K458" s="18" cm="1">
        <f t="array" ref="K458">INDEX('Limit raise'!$A:$O,
MATCH(1,('Limit raise'!$A:$A=$C458)*('Limit raise'!$D:$D=K$16), 0),
MATCH(K$17,'Limit raise'!$1:$1,0))</f>
        <v>0.86797683935471148</v>
      </c>
      <c r="L458" s="18">
        <f>INDEX('Limit raise'!$A:$O,
MATCH($C458, 'Limit raise'!$A:$A, 0),
MATCH(L$17,'Limit raise'!$1:$1,0))</f>
        <v>9.4135089729445995E-2</v>
      </c>
      <c r="M458" s="18">
        <v>0.15</v>
      </c>
      <c r="N458" s="18"/>
    </row>
    <row r="459" spans="3:37" s="13" customFormat="1" ht="7.2" customHeight="1" x14ac:dyDescent="0.3">
      <c r="C459" s="17">
        <v>441</v>
      </c>
      <c r="D459" s="18" cm="1">
        <f t="array" ref="D459">INDEX('New credit'!$A:$O,
MATCH(1,('New credit'!$A:$A=$C459)*('New credit'!$D:$D=D$16), 0),
MATCH(D$17,'New credit'!$1:$1,0))</f>
        <v>0.67567567567567566</v>
      </c>
      <c r="E459" s="18" cm="1">
        <f t="array" ref="E459">INDEX('New credit'!$A:$O,
MATCH(1,('New credit'!$A:$A=$C459)*('New credit'!$D:$D=E$16), 0),
MATCH(E$17,'New credit'!$1:$1,0))</f>
        <v>0.8632142857142856</v>
      </c>
      <c r="F459" s="18" cm="1">
        <f t="array" ref="F459">INDEX('New credit'!$A:$O,
MATCH(1,('New credit'!$A:$A=$C459)*('New credit'!$D:$D=F$16), 0),
MATCH(F$17,'New credit'!$1:$1,0))</f>
        <v>0.79658289670302607</v>
      </c>
      <c r="G459" s="18">
        <f>INDEX('New credit'!$A:$O,
MATCH($C459, 'New credit'!$A:$A, 0),
MATCH(G$17, 'New credit'!$1:$1, 0))</f>
        <v>1</v>
      </c>
      <c r="H459" s="18">
        <v>0.15</v>
      </c>
      <c r="I459" s="18" cm="1">
        <f t="array" ref="I459">INDEX('Limit raise'!$A:$O,
MATCH(1,('Limit raise'!$A:$A=$C459)*('Limit raise'!$D:$D=I$16), 0),
MATCH(I$17,'Limit raise'!$1:$1,0))</f>
        <v>0.67213114754098358</v>
      </c>
      <c r="J459" s="18" cm="1">
        <f t="array" ref="J459">INDEX('Limit raise'!$A:$O,
MATCH(1,('Limit raise'!$A:$A=$C459)*('Limit raise'!$D:$D=J$16), 0),
MATCH(J$17,'Limit raise'!$1:$1,0))</f>
        <v>0.92666666666666642</v>
      </c>
      <c r="K459" s="18" cm="1">
        <f t="array" ref="K459">INDEX('Limit raise'!$A:$O,
MATCH(1,('Limit raise'!$A:$A=$C459)*('Limit raise'!$D:$D=K$16), 0),
MATCH(K$17,'Limit raise'!$1:$1,0))</f>
        <v>0.86781084505696693</v>
      </c>
      <c r="L459" s="18">
        <f>INDEX('Limit raise'!$A:$O,
MATCH($C459, 'Limit raise'!$A:$A, 0),
MATCH(L$17,'Limit raise'!$1:$1,0))</f>
        <v>9.3052454997592182E-2</v>
      </c>
      <c r="M459" s="18">
        <v>0.15</v>
      </c>
      <c r="N459" s="18"/>
    </row>
    <row r="460" spans="3:37" s="13" customFormat="1" ht="7.2" customHeight="1" x14ac:dyDescent="0.3">
      <c r="C460" s="17">
        <v>442</v>
      </c>
      <c r="D460" s="18" cm="1">
        <f t="array" ref="D460">INDEX('New credit'!$A:$O,
MATCH(1,('New credit'!$A:$A=$C460)*('New credit'!$D:$D=D$16), 0),
MATCH(D$17,'New credit'!$1:$1,0))</f>
        <v>0.676056338028169</v>
      </c>
      <c r="E460" s="18" cm="1">
        <f t="array" ref="E460">INDEX('New credit'!$A:$O,
MATCH(1,('New credit'!$A:$A=$C460)*('New credit'!$D:$D=E$16), 0),
MATCH(E$17,'New credit'!$1:$1,0))</f>
        <v>0.87000000000000022</v>
      </c>
      <c r="F460" s="18" cm="1">
        <f t="array" ref="F460">INDEX('New credit'!$A:$O,
MATCH(1,('New credit'!$A:$A=$C460)*('New credit'!$D:$D=F$16), 0),
MATCH(F$17,'New credit'!$1:$1,0))</f>
        <v>0.761748790425261</v>
      </c>
      <c r="G460" s="18">
        <f>INDEX('New credit'!$A:$O,
MATCH($C460, 'New credit'!$A:$A, 0),
MATCH(G$17, 'New credit'!$1:$1, 0))</f>
        <v>9.1132630929363689E-2</v>
      </c>
      <c r="H460" s="18">
        <v>0.15</v>
      </c>
      <c r="I460" s="18" cm="1">
        <f t="array" ref="I460">INDEX('Limit raise'!$A:$O,
MATCH(1,('Limit raise'!$A:$A=$C460)*('Limit raise'!$D:$D=I$16), 0),
MATCH(I$17,'Limit raise'!$1:$1,0))</f>
        <v>0.67213114754098358</v>
      </c>
      <c r="J460" s="18" cm="1">
        <f t="array" ref="J460">INDEX('Limit raise'!$A:$O,
MATCH(1,('Limit raise'!$A:$A=$C460)*('Limit raise'!$D:$D=J$16), 0),
MATCH(J$17,'Limit raise'!$1:$1,0))</f>
        <v>0.92949999999999999</v>
      </c>
      <c r="K460" s="18" cm="1">
        <f t="array" ref="K460">INDEX('Limit raise'!$A:$O,
MATCH(1,('Limit raise'!$A:$A=$C460)*('Limit raise'!$D:$D=K$16), 0),
MATCH(K$17,'Limit raise'!$1:$1,0))</f>
        <v>0.90158978952082403</v>
      </c>
      <c r="L460" s="18">
        <f>INDEX('Limit raise'!$A:$O,
MATCH($C460, 'Limit raise'!$A:$A, 0),
MATCH(L$17,'Limit raise'!$1:$1,0))</f>
        <v>9.6082983243983872E-2</v>
      </c>
      <c r="M460" s="18">
        <v>0.15</v>
      </c>
      <c r="N460" s="18"/>
    </row>
    <row r="461" spans="3:37" s="13" customFormat="1" ht="7.2" customHeight="1" x14ac:dyDescent="0.3">
      <c r="C461" s="17">
        <v>443</v>
      </c>
      <c r="D461" s="18" cm="1">
        <f t="array" ref="D461">INDEX('New credit'!$A:$O,
MATCH(1,('New credit'!$A:$A=$C461)*('New credit'!$D:$D=D$16), 0),
MATCH(D$17,'New credit'!$1:$1,0))</f>
        <v>0.73134328358208955</v>
      </c>
      <c r="E461" s="18" cm="1">
        <f t="array" ref="E461">INDEX('New credit'!$A:$O,
MATCH(1,('New credit'!$A:$A=$C461)*('New credit'!$D:$D=E$16), 0),
MATCH(E$17,'New credit'!$1:$1,0))</f>
        <v>0.86727272727272686</v>
      </c>
      <c r="F461" s="18" cm="1">
        <f t="array" ref="F461">INDEX('New credit'!$A:$O,
MATCH(1,('New credit'!$A:$A=$C461)*('New credit'!$D:$D=F$16), 0),
MATCH(F$17,'New credit'!$1:$1,0))</f>
        <v>0.7783786194658624</v>
      </c>
      <c r="G461" s="18">
        <f>INDEX('New credit'!$A:$O,
MATCH($C461, 'New credit'!$A:$A, 0),
MATCH(G$17, 'New credit'!$1:$1, 0))</f>
        <v>0.15438253131854951</v>
      </c>
      <c r="H461" s="18">
        <v>0.15</v>
      </c>
      <c r="I461" s="18" cm="1">
        <f t="array" ref="I461">INDEX('Limit raise'!$A:$O,
MATCH(1,('Limit raise'!$A:$A=$C461)*('Limit raise'!$D:$D=I$16), 0),
MATCH(I$17,'Limit raise'!$1:$1,0))</f>
        <v>0.67213114754098358</v>
      </c>
      <c r="J461" s="18" cm="1">
        <f t="array" ref="J461">INDEX('Limit raise'!$A:$O,
MATCH(1,('Limit raise'!$A:$A=$C461)*('Limit raise'!$D:$D=J$16), 0),
MATCH(J$17,'Limit raise'!$1:$1,0))</f>
        <v>0.92949999999999977</v>
      </c>
      <c r="K461" s="18" cm="1">
        <f t="array" ref="K461">INDEX('Limit raise'!$A:$O,
MATCH(1,('Limit raise'!$A:$A=$C461)*('Limit raise'!$D:$D=K$16), 0),
MATCH(K$17,'Limit raise'!$1:$1,0))</f>
        <v>0.90006069511883458</v>
      </c>
      <c r="L461" s="18">
        <f>INDEX('Limit raise'!$A:$O,
MATCH($C461, 'Limit raise'!$A:$A, 0),
MATCH(L$17,'Limit raise'!$1:$1,0))</f>
        <v>9.8578375193281317E-2</v>
      </c>
      <c r="M461" s="18">
        <v>0.15</v>
      </c>
      <c r="N461" s="18"/>
      <c r="O461"/>
      <c r="P461" s="10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</row>
    <row r="462" spans="3:37" s="13" customFormat="1" ht="7.2" customHeight="1" x14ac:dyDescent="0.3">
      <c r="C462" s="17">
        <v>444</v>
      </c>
      <c r="D462" s="18" cm="1">
        <f t="array" ref="D462">INDEX('New credit'!$A:$O,
MATCH(1,('New credit'!$A:$A=$C462)*('New credit'!$D:$D=D$16), 0),
MATCH(D$17,'New credit'!$1:$1,0))</f>
        <v>0.72580645161290325</v>
      </c>
      <c r="E462" s="18" cm="1">
        <f t="array" ref="E462">INDEX('New credit'!$A:$O,
MATCH(1,('New credit'!$A:$A=$C462)*('New credit'!$D:$D=E$16), 0),
MATCH(E$17,'New credit'!$1:$1,0))</f>
        <v>0.86058823529411732</v>
      </c>
      <c r="F462" s="18" cm="1">
        <f t="array" ref="F462">INDEX('New credit'!$A:$O,
MATCH(1,('New credit'!$A:$A=$C462)*('New credit'!$D:$D=F$16), 0),
MATCH(F$17,'New credit'!$1:$1,0))</f>
        <v>0.7865815183412731</v>
      </c>
      <c r="G462" s="18">
        <f>INDEX('New credit'!$A:$O,
MATCH($C462, 'New credit'!$A:$A, 0),
MATCH(G$17, 'New credit'!$1:$1, 0))</f>
        <v>1</v>
      </c>
      <c r="H462" s="18">
        <v>0.15</v>
      </c>
      <c r="I462" s="18" cm="1">
        <f t="array" ref="I462">INDEX('Limit raise'!$A:$O,
MATCH(1,('Limit raise'!$A:$A=$C462)*('Limit raise'!$D:$D=I$16), 0),
MATCH(I$17,'Limit raise'!$1:$1,0))</f>
        <v>0.68333333333333335</v>
      </c>
      <c r="J462" s="18" cm="1">
        <f t="array" ref="J462">INDEX('Limit raise'!$A:$O,
MATCH(1,('Limit raise'!$A:$A=$C462)*('Limit raise'!$D:$D=J$16), 0),
MATCH(J$17,'Limit raise'!$1:$1,0))</f>
        <v>0.92761904761904745</v>
      </c>
      <c r="K462" s="18" cm="1">
        <f t="array" ref="K462">INDEX('Limit raise'!$A:$O,
MATCH(1,('Limit raise'!$A:$A=$C462)*('Limit raise'!$D:$D=K$16), 0),
MATCH(K$17,'Limit raise'!$1:$1,0))</f>
        <v>0.90139751552795033</v>
      </c>
      <c r="L462" s="18">
        <f>INDEX('Limit raise'!$A:$O,
MATCH($C462, 'Limit raise'!$A:$A, 0),
MATCH(L$17,'Limit raise'!$1:$1,0))</f>
        <v>9.9375909217945396E-2</v>
      </c>
      <c r="M462" s="18">
        <v>0.15</v>
      </c>
      <c r="N462" s="18"/>
      <c r="O462"/>
      <c r="P462" s="10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</row>
    <row r="463" spans="3:37" s="13" customFormat="1" ht="7.2" customHeight="1" x14ac:dyDescent="0.3">
      <c r="C463" s="17">
        <v>445</v>
      </c>
      <c r="D463" s="18" cm="1">
        <f t="array" ref="D463">INDEX('New credit'!$A:$O,
MATCH(1,('New credit'!$A:$A=$C463)*('New credit'!$D:$D=D$16), 0),
MATCH(D$17,'New credit'!$1:$1,0))</f>
        <v>0.78260869565217395</v>
      </c>
      <c r="E463" s="18" cm="1">
        <f t="array" ref="E463">INDEX('New credit'!$A:$O,
MATCH(1,('New credit'!$A:$A=$C463)*('New credit'!$D:$D=E$16), 0),
MATCH(E$17,'New credit'!$1:$1,0))</f>
        <v>0.85709677419354824</v>
      </c>
      <c r="F463" s="18" cm="1">
        <f t="array" ref="F463">INDEX('New credit'!$A:$O,
MATCH(1,('New credit'!$A:$A=$C463)*('New credit'!$D:$D=F$16), 0),
MATCH(F$17,'New credit'!$1:$1,0))</f>
        <v>0.82613047964032393</v>
      </c>
      <c r="G463" s="18">
        <f>INDEX('New credit'!$A:$O,
MATCH($C463, 'New credit'!$A:$A, 0),
MATCH(G$17, 'New credit'!$1:$1, 0))</f>
        <v>1</v>
      </c>
      <c r="H463" s="18">
        <v>0.15</v>
      </c>
      <c r="I463" s="18" cm="1">
        <f t="array" ref="I463">INDEX('Limit raise'!$A:$O,
MATCH(1,('Limit raise'!$A:$A=$C463)*('Limit raise'!$D:$D=I$16), 0),
MATCH(I$17,'Limit raise'!$1:$1,0))</f>
        <v>0.68852459016393441</v>
      </c>
      <c r="J463" s="18" cm="1">
        <f t="array" ref="J463">INDEX('Limit raise'!$A:$O,
MATCH(1,('Limit raise'!$A:$A=$C463)*('Limit raise'!$D:$D=J$16), 0),
MATCH(J$17,'Limit raise'!$1:$1,0))</f>
        <v>0.92809523809523797</v>
      </c>
      <c r="K463" s="18" cm="1">
        <f t="array" ref="K463">INDEX('Limit raise'!$A:$O,
MATCH(1,('Limit raise'!$A:$A=$C463)*('Limit raise'!$D:$D=K$16), 0),
MATCH(K$17,'Limit raise'!$1:$1,0))</f>
        <v>0.90167958103229306</v>
      </c>
      <c r="L463" s="18">
        <f>INDEX('Limit raise'!$A:$O,
MATCH($C463, 'Limit raise'!$A:$A, 0),
MATCH(L$17,'Limit raise'!$1:$1,0))</f>
        <v>9.799957474481262E-2</v>
      </c>
      <c r="M463" s="18">
        <v>0.15</v>
      </c>
      <c r="N463" s="18"/>
      <c r="O463"/>
      <c r="P463" s="10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</row>
    <row r="464" spans="3:37" s="13" customFormat="1" ht="7.2" customHeight="1" x14ac:dyDescent="0.3">
      <c r="C464" s="17">
        <v>446</v>
      </c>
      <c r="D464" s="18" cm="1">
        <f t="array" ref="D464">INDEX('New credit'!$A:$O,
MATCH(1,('New credit'!$A:$A=$C464)*('New credit'!$D:$D=D$16), 0),
MATCH(D$17,'New credit'!$1:$1,0))</f>
        <v>0.74647887323943662</v>
      </c>
      <c r="E464" s="18" cm="1">
        <f t="array" ref="E464">INDEX('New credit'!$A:$O,
MATCH(1,('New credit'!$A:$A=$C464)*('New credit'!$D:$D=E$16), 0),
MATCH(E$17,'New credit'!$1:$1,0))</f>
        <v>0.85363636363636342</v>
      </c>
      <c r="F464" s="18" cm="1">
        <f t="array" ref="F464">INDEX('New credit'!$A:$O,
MATCH(1,('New credit'!$A:$A=$C464)*('New credit'!$D:$D=F$16), 0),
MATCH(F$17,'New credit'!$1:$1,0))</f>
        <v>0.79095277406484599</v>
      </c>
      <c r="G464" s="18">
        <f>INDEX('New credit'!$A:$O,
MATCH($C464, 'New credit'!$A:$A, 0),
MATCH(G$17, 'New credit'!$1:$1, 0))</f>
        <v>9.7822354927621341E-2</v>
      </c>
      <c r="H464" s="18">
        <v>0.15</v>
      </c>
      <c r="I464" s="18" cm="1">
        <f t="array" ref="I464">INDEX('Limit raise'!$A:$O,
MATCH(1,('Limit raise'!$A:$A=$C464)*('Limit raise'!$D:$D=I$16), 0),
MATCH(I$17,'Limit raise'!$1:$1,0))</f>
        <v>0.68852459016393441</v>
      </c>
      <c r="J464" s="18" cm="1">
        <f t="array" ref="J464">INDEX('Limit raise'!$A:$O,
MATCH(1,('Limit raise'!$A:$A=$C464)*('Limit raise'!$D:$D=J$16), 0),
MATCH(J$17,'Limit raise'!$1:$1,0))</f>
        <v>0.92799999999999994</v>
      </c>
      <c r="K464" s="18" cm="1">
        <f t="array" ref="K464">INDEX('Limit raise'!$A:$O,
MATCH(1,('Limit raise'!$A:$A=$C464)*('Limit raise'!$D:$D=K$16), 0),
MATCH(K$17,'Limit raise'!$1:$1,0))</f>
        <v>0.89861553540798822</v>
      </c>
      <c r="L464" s="18">
        <f>INDEX('Limit raise'!$A:$O,
MATCH($C464, 'Limit raise'!$A:$A, 0),
MATCH(L$17,'Limit raise'!$1:$1,0))</f>
        <v>9.5220813786580261E-2</v>
      </c>
      <c r="M464" s="18">
        <v>0.15</v>
      </c>
      <c r="N464" s="18"/>
      <c r="O464"/>
      <c r="P464" s="10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</row>
    <row r="465" spans="3:37" s="13" customFormat="1" ht="7.2" customHeight="1" x14ac:dyDescent="0.3">
      <c r="C465" s="17">
        <v>447</v>
      </c>
      <c r="D465" s="18" cm="1">
        <f t="array" ref="D465">INDEX('New credit'!$A:$O,
MATCH(1,('New credit'!$A:$A=$C465)*('New credit'!$D:$D=D$16), 0),
MATCH(D$17,'New credit'!$1:$1,0))</f>
        <v>0.72222222222222221</v>
      </c>
      <c r="E465" s="18" cm="1">
        <f t="array" ref="E465">INDEX('New credit'!$A:$O,
MATCH(1,('New credit'!$A:$A=$C465)*('New credit'!$D:$D=E$16), 0),
MATCH(E$17,'New credit'!$1:$1,0))</f>
        <v>0.83444444444444421</v>
      </c>
      <c r="F465" s="18" cm="1">
        <f t="array" ref="F465">INDEX('New credit'!$A:$O,
MATCH(1,('New credit'!$A:$A=$C465)*('New credit'!$D:$D=F$16), 0),
MATCH(F$17,'New credit'!$1:$1,0))</f>
        <v>0.76619753733070606</v>
      </c>
      <c r="G465" s="18">
        <f>INDEX('New credit'!$A:$O,
MATCH($C465, 'New credit'!$A:$A, 0),
MATCH(G$17, 'New credit'!$1:$1, 0))</f>
        <v>0.1243350526493172</v>
      </c>
      <c r="H465" s="18">
        <v>0.15</v>
      </c>
      <c r="I465" s="18" cm="1">
        <f t="array" ref="I465">INDEX('Limit raise'!$A:$O,
MATCH(1,('Limit raise'!$A:$A=$C465)*('Limit raise'!$D:$D=I$16), 0),
MATCH(I$17,'Limit raise'!$1:$1,0))</f>
        <v>0.68852459016393441</v>
      </c>
      <c r="J465" s="18" cm="1">
        <f t="array" ref="J465">INDEX('Limit raise'!$A:$O,
MATCH(1,('Limit raise'!$A:$A=$C465)*('Limit raise'!$D:$D=J$16), 0),
MATCH(J$17,'Limit raise'!$1:$1,0))</f>
        <v>0.92949999999999999</v>
      </c>
      <c r="K465" s="18" cm="1">
        <f t="array" ref="K465">INDEX('Limit raise'!$A:$O,
MATCH(1,('Limit raise'!$A:$A=$C465)*('Limit raise'!$D:$D=K$16), 0),
MATCH(K$17,'Limit raise'!$1:$1,0))</f>
        <v>0.9000937420106242</v>
      </c>
      <c r="L465" s="18">
        <f>INDEX('Limit raise'!$A:$O,
MATCH($C465, 'Limit raise'!$A:$A, 0),
MATCH(L$17,'Limit raise'!$1:$1,0))</f>
        <v>9.4120858995267745E-2</v>
      </c>
      <c r="M465" s="18">
        <v>0.15</v>
      </c>
      <c r="N465" s="18"/>
      <c r="O465"/>
      <c r="P465" s="10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</row>
    <row r="466" spans="3:37" s="13" customFormat="1" ht="7.2" customHeight="1" x14ac:dyDescent="0.3">
      <c r="C466" s="17">
        <v>448</v>
      </c>
      <c r="D466" s="18" cm="1">
        <f t="array" ref="D466">INDEX('New credit'!$A:$O,
MATCH(1,('New credit'!$A:$A=$C466)*('New credit'!$D:$D=D$16), 0),
MATCH(D$17,'New credit'!$1:$1,0))</f>
        <v>0.75</v>
      </c>
      <c r="E466" s="18" cm="1">
        <f t="array" ref="E466">INDEX('New credit'!$A:$O,
MATCH(1,('New credit'!$A:$A=$C466)*('New credit'!$D:$D=E$16), 0),
MATCH(E$17,'New credit'!$1:$1,0))</f>
        <v>0.86454545454545451</v>
      </c>
      <c r="F466" s="18" cm="1">
        <f t="array" ref="F466">INDEX('New credit'!$A:$O,
MATCH(1,('New credit'!$A:$A=$C466)*('New credit'!$D:$D=F$16), 0),
MATCH(F$17,'New credit'!$1:$1,0))</f>
        <v>0.77888068882735295</v>
      </c>
      <c r="G466" s="18">
        <f>INDEX('New credit'!$A:$O,
MATCH($C466, 'New credit'!$A:$A, 0),
MATCH(G$17, 'New credit'!$1:$1, 0))</f>
        <v>0.15194391468326129</v>
      </c>
      <c r="H466" s="18">
        <v>0.15</v>
      </c>
      <c r="I466" s="18" cm="1">
        <f t="array" ref="I466">INDEX('Limit raise'!$A:$O,
MATCH(1,('Limit raise'!$A:$A=$C466)*('Limit raise'!$D:$D=I$16), 0),
MATCH(I$17,'Limit raise'!$1:$1,0))</f>
        <v>0.68852459016393441</v>
      </c>
      <c r="J466" s="18" cm="1">
        <f t="array" ref="J466">INDEX('Limit raise'!$A:$O,
MATCH(1,('Limit raise'!$A:$A=$C466)*('Limit raise'!$D:$D=J$16), 0),
MATCH(J$17,'Limit raise'!$1:$1,0))</f>
        <v>0.92799999999999994</v>
      </c>
      <c r="K466" s="18" cm="1">
        <f t="array" ref="K466">INDEX('Limit raise'!$A:$O,
MATCH(1,('Limit raise'!$A:$A=$C466)*('Limit raise'!$D:$D=K$16), 0),
MATCH(K$17,'Limit raise'!$1:$1,0))</f>
        <v>0.89880292139039752</v>
      </c>
      <c r="L466" s="18">
        <f>INDEX('Limit raise'!$A:$O,
MATCH($C466, 'Limit raise'!$A:$A, 0),
MATCH(L$17,'Limit raise'!$1:$1,0))</f>
        <v>9.2424933194746622E-2</v>
      </c>
      <c r="M466" s="18">
        <v>0.15</v>
      </c>
      <c r="N466" s="18"/>
      <c r="O466"/>
      <c r="P466" s="10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</row>
    <row r="467" spans="3:37" s="13" customFormat="1" ht="7.2" customHeight="1" x14ac:dyDescent="0.3">
      <c r="C467" s="17">
        <v>449</v>
      </c>
      <c r="D467" s="18" cm="1">
        <f t="array" ref="D467">INDEX('New credit'!$A:$O,
MATCH(1,('New credit'!$A:$A=$C467)*('New credit'!$D:$D=D$16), 0),
MATCH(D$17,'New credit'!$1:$1,0))</f>
        <v>0.73684210526315785</v>
      </c>
      <c r="E467" s="18" cm="1">
        <f t="array" ref="E467">INDEX('New credit'!$A:$O,
MATCH(1,('New credit'!$A:$A=$C467)*('New credit'!$D:$D=E$16), 0),
MATCH(E$17,'New credit'!$1:$1,0))</f>
        <v>0.86757575757575756</v>
      </c>
      <c r="F467" s="18" cm="1">
        <f t="array" ref="F467">INDEX('New credit'!$A:$O,
MATCH(1,('New credit'!$A:$A=$C467)*('New credit'!$D:$D=F$16), 0),
MATCH(F$17,'New credit'!$1:$1,0))</f>
        <v>0.77965797628881184</v>
      </c>
      <c r="G467" s="18">
        <f>INDEX('New credit'!$A:$O,
MATCH($C467, 'New credit'!$A:$A, 0),
MATCH(G$17, 'New credit'!$1:$1, 0))</f>
        <v>6.7389635686301727E-2</v>
      </c>
      <c r="H467" s="18">
        <v>0.15</v>
      </c>
      <c r="I467" s="18" cm="1">
        <f t="array" ref="I467">INDEX('Limit raise'!$A:$O,
MATCH(1,('Limit raise'!$A:$A=$C467)*('Limit raise'!$D:$D=I$16), 0),
MATCH(I$17,'Limit raise'!$1:$1,0))</f>
        <v>0.67213114754098358</v>
      </c>
      <c r="J467" s="18" cm="1">
        <f t="array" ref="J467">INDEX('Limit raise'!$A:$O,
MATCH(1,('Limit raise'!$A:$A=$C467)*('Limit raise'!$D:$D=J$16), 0),
MATCH(J$17,'Limit raise'!$1:$1,0))</f>
        <v>0.92899999999999994</v>
      </c>
      <c r="K467" s="18" cm="1">
        <f t="array" ref="K467">INDEX('Limit raise'!$A:$O,
MATCH(1,('Limit raise'!$A:$A=$C467)*('Limit raise'!$D:$D=K$16), 0),
MATCH(K$17,'Limit raise'!$1:$1,0))</f>
        <v>0.89998361730013099</v>
      </c>
      <c r="L467" s="18">
        <f>INDEX('Limit raise'!$A:$O,
MATCH($C467, 'Limit raise'!$A:$A, 0),
MATCH(L$17,'Limit raise'!$1:$1,0))</f>
        <v>9.1128865121869407E-2</v>
      </c>
      <c r="M467" s="18">
        <v>0.15</v>
      </c>
      <c r="N467" s="18"/>
      <c r="O467"/>
      <c r="P467" s="10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</row>
    <row r="468" spans="3:37" s="13" customFormat="1" ht="7.2" customHeight="1" x14ac:dyDescent="0.3">
      <c r="C468" s="17">
        <v>450</v>
      </c>
      <c r="D468" s="18" cm="1">
        <f t="array" ref="D468">INDEX('New credit'!$A:$O,
MATCH(1,('New credit'!$A:$A=$C468)*('New credit'!$D:$D=D$16), 0),
MATCH(D$17,'New credit'!$1:$1,0))</f>
        <v>0.75</v>
      </c>
      <c r="E468" s="18" cm="1">
        <f t="array" ref="E468">INDEX('New credit'!$A:$O,
MATCH(1,('New credit'!$A:$A=$C468)*('New credit'!$D:$D=E$16), 0),
MATCH(E$17,'New credit'!$1:$1,0))</f>
        <v>0.86636363636363645</v>
      </c>
      <c r="F468" s="18" cm="1">
        <f t="array" ref="F468">INDEX('New credit'!$A:$O,
MATCH(1,('New credit'!$A:$A=$C468)*('New credit'!$D:$D=F$16), 0),
MATCH(F$17,'New credit'!$1:$1,0))</f>
        <v>0.78426827804112231</v>
      </c>
      <c r="G468" s="18">
        <f>INDEX('New credit'!$A:$O,
MATCH($C468, 'New credit'!$A:$A, 0),
MATCH(G$17, 'New credit'!$1:$1, 0))</f>
        <v>9.908581814494001E-2</v>
      </c>
      <c r="H468" s="18">
        <v>0.15</v>
      </c>
      <c r="I468" s="18" cm="1">
        <f t="array" ref="I468">INDEX('Limit raise'!$A:$O,
MATCH(1,('Limit raise'!$A:$A=$C468)*('Limit raise'!$D:$D=I$16), 0),
MATCH(I$17,'Limit raise'!$1:$1,0))</f>
        <v>0.70491803278688525</v>
      </c>
      <c r="J468" s="18" cm="1">
        <f t="array" ref="J468">INDEX('Limit raise'!$A:$O,
MATCH(1,('Limit raise'!$A:$A=$C468)*('Limit raise'!$D:$D=J$16), 0),
MATCH(J$17,'Limit raise'!$1:$1,0))</f>
        <v>0.92899999999999994</v>
      </c>
      <c r="K468" s="18" cm="1">
        <f t="array" ref="K468">INDEX('Limit raise'!$A:$O,
MATCH(1,('Limit raise'!$A:$A=$C468)*('Limit raise'!$D:$D=K$16), 0),
MATCH(K$17,'Limit raise'!$1:$1,0))</f>
        <v>0.91251014307068135</v>
      </c>
      <c r="L468" s="18">
        <f>INDEX('Limit raise'!$A:$O,
MATCH($C468, 'Limit raise'!$A:$A, 0),
MATCH(L$17,'Limit raise'!$1:$1,0))</f>
        <v>9.1990789187820235E-2</v>
      </c>
      <c r="M468" s="18">
        <v>0.15</v>
      </c>
      <c r="N468" s="18"/>
      <c r="O468"/>
      <c r="P468" s="10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</row>
    <row r="469" spans="3:37" s="13" customFormat="1" ht="7.2" customHeight="1" x14ac:dyDescent="0.3">
      <c r="C469" s="17">
        <v>451</v>
      </c>
      <c r="D469" s="18" cm="1">
        <f t="array" ref="D469">INDEX('New credit'!$A:$O,
MATCH(1,('New credit'!$A:$A=$C469)*('New credit'!$D:$D=D$16), 0),
MATCH(D$17,'New credit'!$1:$1,0))</f>
        <v>0.73134328358208955</v>
      </c>
      <c r="E469" s="18" cm="1">
        <f t="array" ref="E469">INDEX('New credit'!$A:$O,
MATCH(1,('New credit'!$A:$A=$C469)*('New credit'!$D:$D=E$16), 0),
MATCH(E$17,'New credit'!$1:$1,0))</f>
        <v>0.8651428571428571</v>
      </c>
      <c r="F469" s="18" cm="1">
        <f t="array" ref="F469">INDEX('New credit'!$A:$O,
MATCH(1,('New credit'!$A:$A=$C469)*('New credit'!$D:$D=F$16), 0),
MATCH(F$17,'New credit'!$1:$1,0))</f>
        <v>0.78781531173086972</v>
      </c>
      <c r="G469" s="18">
        <f>INDEX('New credit'!$A:$O,
MATCH($C469, 'New credit'!$A:$A, 0),
MATCH(G$17, 'New credit'!$1:$1, 0))</f>
        <v>0.12118143300550629</v>
      </c>
      <c r="H469" s="18">
        <v>0.15</v>
      </c>
      <c r="I469" s="18" cm="1">
        <f t="array" ref="I469">INDEX('Limit raise'!$A:$O,
MATCH(1,('Limit raise'!$A:$A=$C469)*('Limit raise'!$D:$D=I$16), 0),
MATCH(I$17,'Limit raise'!$1:$1,0))</f>
        <v>0.70491803278688525</v>
      </c>
      <c r="J469" s="18" cm="1">
        <f t="array" ref="J469">INDEX('Limit raise'!$A:$O,
MATCH(1,('Limit raise'!$A:$A=$C469)*('Limit raise'!$D:$D=J$16), 0),
MATCH(J$17,'Limit raise'!$1:$1,0))</f>
        <v>0.93</v>
      </c>
      <c r="K469" s="18" cm="1">
        <f t="array" ref="K469">INDEX('Limit raise'!$A:$O,
MATCH(1,('Limit raise'!$A:$A=$C469)*('Limit raise'!$D:$D=K$16), 0),
MATCH(K$17,'Limit raise'!$1:$1,0))</f>
        <v>0.91083399732205794</v>
      </c>
      <c r="L469" s="18">
        <f>INDEX('Limit raise'!$A:$O,
MATCH($C469, 'Limit raise'!$A:$A, 0),
MATCH(L$17,'Limit raise'!$1:$1,0))</f>
        <v>9.0439493573535354E-2</v>
      </c>
      <c r="M469" s="18">
        <v>0.15</v>
      </c>
      <c r="N469" s="18"/>
      <c r="O469"/>
      <c r="P469" s="10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</row>
    <row r="470" spans="3:37" s="13" customFormat="1" ht="7.2" customHeight="1" x14ac:dyDescent="0.3">
      <c r="C470" s="17">
        <v>452</v>
      </c>
      <c r="D470" s="18" cm="1">
        <f t="array" ref="D470">INDEX('New credit'!$A:$O,
MATCH(1,('New credit'!$A:$A=$C470)*('New credit'!$D:$D=D$16), 0),
MATCH(D$17,'New credit'!$1:$1,0))</f>
        <v>0.69841269841269837</v>
      </c>
      <c r="E470" s="18" cm="1">
        <f t="array" ref="E470">INDEX('New credit'!$A:$O,
MATCH(1,('New credit'!$A:$A=$C470)*('New credit'!$D:$D=E$16), 0),
MATCH(E$17,'New credit'!$1:$1,0))</f>
        <v>0.86085714285714288</v>
      </c>
      <c r="F470" s="18" cm="1">
        <f t="array" ref="F470">INDEX('New credit'!$A:$O,
MATCH(1,('New credit'!$A:$A=$C470)*('New credit'!$D:$D=F$16), 0),
MATCH(F$17,'New credit'!$1:$1,0))</f>
        <v>0.72464353906247081</v>
      </c>
      <c r="G470" s="18">
        <f>INDEX('New credit'!$A:$O,
MATCH($C470, 'New credit'!$A:$A, 0),
MATCH(G$17, 'New credit'!$1:$1, 0))</f>
        <v>0.1435021879582096</v>
      </c>
      <c r="H470" s="18">
        <v>0.15</v>
      </c>
      <c r="I470" s="18" cm="1">
        <f t="array" ref="I470">INDEX('Limit raise'!$A:$O,
MATCH(1,('Limit raise'!$A:$A=$C470)*('Limit raise'!$D:$D=I$16), 0),
MATCH(I$17,'Limit raise'!$1:$1,0))</f>
        <v>0.69354838709677424</v>
      </c>
      <c r="J470" s="18" cm="1">
        <f t="array" ref="J470">INDEX('Limit raise'!$A:$O,
MATCH(1,('Limit raise'!$A:$A=$C470)*('Limit raise'!$D:$D=J$16), 0),
MATCH(J$17,'Limit raise'!$1:$1,0))</f>
        <v>0.93</v>
      </c>
      <c r="K470" s="18" cm="1">
        <f t="array" ref="K470">INDEX('Limit raise'!$A:$O,
MATCH(1,('Limit raise'!$A:$A=$C470)*('Limit raise'!$D:$D=K$16), 0),
MATCH(K$17,'Limit raise'!$1:$1,0))</f>
        <v>0.90989104588405689</v>
      </c>
      <c r="L470" s="18">
        <f>INDEX('Limit raise'!$A:$O,
MATCH($C470, 'Limit raise'!$A:$A, 0),
MATCH(L$17,'Limit raise'!$1:$1,0))</f>
        <v>8.9667501399429972E-2</v>
      </c>
      <c r="M470" s="18">
        <v>0.15</v>
      </c>
      <c r="N470" s="18"/>
      <c r="O470"/>
      <c r="P470" s="1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</row>
    <row r="471" spans="3:37" s="13" customFormat="1" ht="7.2" customHeight="1" x14ac:dyDescent="0.3">
      <c r="C471" s="17">
        <v>453</v>
      </c>
      <c r="D471" s="18" cm="1">
        <f t="array" ref="D471">INDEX('New credit'!$A:$O,
MATCH(1,('New credit'!$A:$A=$C471)*('New credit'!$D:$D=D$16), 0),
MATCH(D$17,'New credit'!$1:$1,0))</f>
        <v>0.66176470588235292</v>
      </c>
      <c r="E471" s="18" cm="1">
        <f t="array" ref="E471">INDEX('New credit'!$A:$O,
MATCH(1,('New credit'!$A:$A=$C471)*('New credit'!$D:$D=E$16), 0),
MATCH(E$17,'New credit'!$1:$1,0))</f>
        <v>0.85888888888888859</v>
      </c>
      <c r="F471" s="18" cm="1">
        <f t="array" ref="F471">INDEX('New credit'!$A:$O,
MATCH(1,('New credit'!$A:$A=$C471)*('New credit'!$D:$D=F$16), 0),
MATCH(F$17,'New credit'!$1:$1,0))</f>
        <v>0.72817636127946039</v>
      </c>
      <c r="G471" s="18">
        <f>INDEX('New credit'!$A:$O,
MATCH($C471, 'New credit'!$A:$A, 0),
MATCH(G$17, 'New credit'!$1:$1, 0))</f>
        <v>1</v>
      </c>
      <c r="H471" s="18">
        <v>0.15</v>
      </c>
      <c r="I471" s="18" cm="1">
        <f t="array" ref="I471">INDEX('Limit raise'!$A:$O,
MATCH(1,('Limit raise'!$A:$A=$C471)*('Limit raise'!$D:$D=I$16), 0),
MATCH(I$17,'Limit raise'!$1:$1,0))</f>
        <v>0.66129032258064513</v>
      </c>
      <c r="J471" s="18" cm="1">
        <f t="array" ref="J471">INDEX('Limit raise'!$A:$O,
MATCH(1,('Limit raise'!$A:$A=$C471)*('Limit raise'!$D:$D=J$16), 0),
MATCH(J$17,'Limit raise'!$1:$1,0))</f>
        <v>0.93052631578947365</v>
      </c>
      <c r="K471" s="18" cm="1">
        <f t="array" ref="K471">INDEX('Limit raise'!$A:$O,
MATCH(1,('Limit raise'!$A:$A=$C471)*('Limit raise'!$D:$D=K$16), 0),
MATCH(K$17,'Limit raise'!$1:$1,0))</f>
        <v>0.89222222222222225</v>
      </c>
      <c r="L471" s="18">
        <f>INDEX('Limit raise'!$A:$O,
MATCH($C471, 'Limit raise'!$A:$A, 0),
MATCH(L$17,'Limit raise'!$1:$1,0))</f>
        <v>8.8951136854403187E-2</v>
      </c>
      <c r="M471" s="18">
        <v>0.15</v>
      </c>
      <c r="N471" s="18"/>
      <c r="O471"/>
      <c r="P471" s="10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</row>
    <row r="472" spans="3:37" s="13" customFormat="1" ht="7.2" customHeight="1" x14ac:dyDescent="0.3">
      <c r="C472" s="17">
        <v>454</v>
      </c>
      <c r="D472" s="18" cm="1">
        <f t="array" ref="D472">INDEX('New credit'!$A:$O,
MATCH(1,('New credit'!$A:$A=$C472)*('New credit'!$D:$D=D$16), 0),
MATCH(D$17,'New credit'!$1:$1,0))</f>
        <v>0.68181818181818177</v>
      </c>
      <c r="E472" s="18" cm="1">
        <f t="array" ref="E472">INDEX('New credit'!$A:$O,
MATCH(1,('New credit'!$A:$A=$C472)*('New credit'!$D:$D=E$16), 0),
MATCH(E$17,'New credit'!$1:$1,0))</f>
        <v>0.85545454545454536</v>
      </c>
      <c r="F472" s="18" cm="1">
        <f t="array" ref="F472">INDEX('New credit'!$A:$O,
MATCH(1,('New credit'!$A:$A=$C472)*('New credit'!$D:$D=F$16), 0),
MATCH(F$17,'New credit'!$1:$1,0))</f>
        <v>0.70022139741773504</v>
      </c>
      <c r="G472" s="18">
        <f>INDEX('New credit'!$A:$O,
MATCH($C472, 'New credit'!$A:$A, 0),
MATCH(G$17, 'New credit'!$1:$1, 0))</f>
        <v>1</v>
      </c>
      <c r="H472" s="18">
        <v>0.15</v>
      </c>
      <c r="I472" s="18" cm="1">
        <f t="array" ref="I472">INDEX('Limit raise'!$A:$O,
MATCH(1,('Limit raise'!$A:$A=$C472)*('Limit raise'!$D:$D=I$16), 0),
MATCH(I$17,'Limit raise'!$1:$1,0))</f>
        <v>0.69841269841269837</v>
      </c>
      <c r="J472" s="18" cm="1">
        <f t="array" ref="J472">INDEX('Limit raise'!$A:$O,
MATCH(1,('Limit raise'!$A:$A=$C472)*('Limit raise'!$D:$D=J$16), 0),
MATCH(J$17,'Limit raise'!$1:$1,0))</f>
        <v>0.92888888888888899</v>
      </c>
      <c r="K472" s="18" cm="1">
        <f t="array" ref="K472">INDEX('Limit raise'!$A:$O,
MATCH(1,('Limit raise'!$A:$A=$C472)*('Limit raise'!$D:$D=K$16), 0),
MATCH(K$17,'Limit raise'!$1:$1,0))</f>
        <v>0.91011471532019483</v>
      </c>
      <c r="L472" s="18">
        <f>INDEX('Limit raise'!$A:$O,
MATCH($C472, 'Limit raise'!$A:$A, 0),
MATCH(L$17,'Limit raise'!$1:$1,0))</f>
        <v>8.8475349467133202E-2</v>
      </c>
      <c r="M472" s="18">
        <v>0.15</v>
      </c>
      <c r="N472" s="18"/>
      <c r="O472"/>
      <c r="P472" s="10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</row>
    <row r="473" spans="3:37" s="13" customFormat="1" ht="7.2" customHeight="1" x14ac:dyDescent="0.3">
      <c r="C473" s="17">
        <v>455</v>
      </c>
      <c r="D473" s="18" cm="1">
        <f t="array" ref="D473">INDEX('New credit'!$A:$O,
MATCH(1,('New credit'!$A:$A=$C473)*('New credit'!$D:$D=D$16), 0),
MATCH(D$17,'New credit'!$1:$1,0))</f>
        <v>0.69230769230769229</v>
      </c>
      <c r="E473" s="18" cm="1">
        <f t="array" ref="E473">INDEX('New credit'!$A:$O,
MATCH(1,('New credit'!$A:$A=$C473)*('New credit'!$D:$D=E$16), 0),
MATCH(E$17,'New credit'!$1:$1,0))</f>
        <v>0.85937499999999978</v>
      </c>
      <c r="F473" s="18" cm="1">
        <f t="array" ref="F473">INDEX('New credit'!$A:$O,
MATCH(1,('New credit'!$A:$A=$C473)*('New credit'!$D:$D=F$16), 0),
MATCH(F$17,'New credit'!$1:$1,0))</f>
        <v>0.73978888543735311</v>
      </c>
      <c r="G473" s="18">
        <f>INDEX('New credit'!$A:$O,
MATCH($C473, 'New credit'!$A:$A, 0),
MATCH(G$17, 'New credit'!$1:$1, 0))</f>
        <v>0.121774120427944</v>
      </c>
      <c r="H473" s="18">
        <v>0.15</v>
      </c>
      <c r="I473" s="18" cm="1">
        <f t="array" ref="I473">INDEX('Limit raise'!$A:$O,
MATCH(1,('Limit raise'!$A:$A=$C473)*('Limit raise'!$D:$D=I$16), 0),
MATCH(I$17,'Limit raise'!$1:$1,0))</f>
        <v>0.69841269841269837</v>
      </c>
      <c r="J473" s="18" cm="1">
        <f t="array" ref="J473">INDEX('Limit raise'!$A:$O,
MATCH(1,('Limit raise'!$A:$A=$C473)*('Limit raise'!$D:$D=J$16), 0),
MATCH(J$17,'Limit raise'!$1:$1,0))</f>
        <v>0.93105263157894746</v>
      </c>
      <c r="K473" s="18" cm="1">
        <f t="array" ref="K473">INDEX('Limit raise'!$A:$O,
MATCH(1,('Limit raise'!$A:$A=$C473)*('Limit raise'!$D:$D=K$16), 0),
MATCH(K$17,'Limit raise'!$1:$1,0))</f>
        <v>0.91141916674503898</v>
      </c>
      <c r="L473" s="18">
        <f>INDEX('Limit raise'!$A:$O,
MATCH($C473, 'Limit raise'!$A:$A, 0),
MATCH(L$17,'Limit raise'!$1:$1,0))</f>
        <v>9.0102876863730211E-2</v>
      </c>
      <c r="M473" s="18">
        <v>0.15</v>
      </c>
      <c r="N473" s="18"/>
      <c r="O473"/>
      <c r="P473" s="10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</row>
    <row r="474" spans="3:37" s="13" customFormat="1" ht="7.2" customHeight="1" x14ac:dyDescent="0.3">
      <c r="C474" s="17">
        <v>456</v>
      </c>
      <c r="D474" s="18" cm="1">
        <f t="array" ref="D474">INDEX('New credit'!$A:$O,
MATCH(1,('New credit'!$A:$A=$C474)*('New credit'!$D:$D=D$16), 0),
MATCH(D$17,'New credit'!$1:$1,0))</f>
        <v>0.70769230769230773</v>
      </c>
      <c r="E474" s="18" cm="1">
        <f t="array" ref="E474">INDEX('New credit'!$A:$O,
MATCH(1,('New credit'!$A:$A=$C474)*('New credit'!$D:$D=E$16), 0),
MATCH(E$17,'New credit'!$1:$1,0))</f>
        <v>0.86225806451612885</v>
      </c>
      <c r="F474" s="18" cm="1">
        <f t="array" ref="F474">INDEX('New credit'!$A:$O,
MATCH(1,('New credit'!$A:$A=$C474)*('New credit'!$D:$D=F$16), 0),
MATCH(F$17,'New credit'!$1:$1,0))</f>
        <v>0.74435825945924816</v>
      </c>
      <c r="G474" s="18">
        <f>INDEX('New credit'!$A:$O,
MATCH($C474, 'New credit'!$A:$A, 0),
MATCH(G$17, 'New credit'!$1:$1, 0))</f>
        <v>0.12876690269706209</v>
      </c>
      <c r="H474" s="18">
        <v>0.15</v>
      </c>
      <c r="I474" s="18" cm="1">
        <f t="array" ref="I474">INDEX('Limit raise'!$A:$O,
MATCH(1,('Limit raise'!$A:$A=$C474)*('Limit raise'!$D:$D=I$16), 0),
MATCH(I$17,'Limit raise'!$1:$1,0))</f>
        <v>0.67692307692307696</v>
      </c>
      <c r="J474" s="18" cm="1">
        <f t="array" ref="J474">INDEX('Limit raise'!$A:$O,
MATCH(1,('Limit raise'!$A:$A=$C474)*('Limit raise'!$D:$D=J$16), 0),
MATCH(J$17,'Limit raise'!$1:$1,0))</f>
        <v>0.93105263157894746</v>
      </c>
      <c r="K474" s="18" cm="1">
        <f t="array" ref="K474">INDEX('Limit raise'!$A:$O,
MATCH(1,('Limit raise'!$A:$A=$C474)*('Limit raise'!$D:$D=K$16), 0),
MATCH(K$17,'Limit raise'!$1:$1,0))</f>
        <v>0.90609063184136251</v>
      </c>
      <c r="L474" s="18">
        <f>INDEX('Limit raise'!$A:$O,
MATCH($C474, 'Limit raise'!$A:$A, 0),
MATCH(L$17,'Limit raise'!$1:$1,0))</f>
        <v>1</v>
      </c>
      <c r="M474" s="18">
        <v>0.15</v>
      </c>
      <c r="N474" s="18"/>
      <c r="O474"/>
      <c r="P474" s="10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</row>
    <row r="475" spans="3:37" s="13" customFormat="1" ht="7.2" customHeight="1" x14ac:dyDescent="0.3">
      <c r="C475" s="17">
        <v>457</v>
      </c>
      <c r="D475" s="18" cm="1">
        <f t="array" ref="D475">INDEX('New credit'!$A:$O,
MATCH(1,('New credit'!$A:$A=$C475)*('New credit'!$D:$D=D$16), 0),
MATCH(D$17,'New credit'!$1:$1,0))</f>
        <v>0.72307692307692306</v>
      </c>
      <c r="E475" s="18" cm="1">
        <f t="array" ref="E475">INDEX('New credit'!$A:$O,
MATCH(1,('New credit'!$A:$A=$C475)*('New credit'!$D:$D=E$16), 0),
MATCH(E$17,'New credit'!$1:$1,0))</f>
        <v>0.86413793103448266</v>
      </c>
      <c r="F475" s="18" cm="1">
        <f t="array" ref="F475">INDEX('New credit'!$A:$O,
MATCH(1,('New credit'!$A:$A=$C475)*('New credit'!$D:$D=F$16), 0),
MATCH(F$17,'New credit'!$1:$1,0))</f>
        <v>0.79453116626240816</v>
      </c>
      <c r="G475" s="18">
        <f>INDEX('New credit'!$A:$O,
MATCH($C475, 'New credit'!$A:$A, 0),
MATCH(G$17, 'New credit'!$1:$1, 0))</f>
        <v>0.22839316989205399</v>
      </c>
      <c r="H475" s="18">
        <v>0.15</v>
      </c>
      <c r="I475" s="18" cm="1">
        <f t="array" ref="I475">INDEX('Limit raise'!$A:$O,
MATCH(1,('Limit raise'!$A:$A=$C475)*('Limit raise'!$D:$D=I$16), 0),
MATCH(I$17,'Limit raise'!$1:$1,0))</f>
        <v>0.67692307692307696</v>
      </c>
      <c r="J475" s="18" cm="1">
        <f t="array" ref="J475">INDEX('Limit raise'!$A:$O,
MATCH(1,('Limit raise'!$A:$A=$C475)*('Limit raise'!$D:$D=J$16), 0),
MATCH(J$17,'Limit raise'!$1:$1,0))</f>
        <v>0.92949999999999977</v>
      </c>
      <c r="K475" s="18" cm="1">
        <f t="array" ref="K475">INDEX('Limit raise'!$A:$O,
MATCH(1,('Limit raise'!$A:$A=$C475)*('Limit raise'!$D:$D=K$16), 0),
MATCH(K$17,'Limit raise'!$1:$1,0))</f>
        <v>0.87367303139407526</v>
      </c>
      <c r="L475" s="18">
        <f>INDEX('Limit raise'!$A:$O,
MATCH($C475, 'Limit raise'!$A:$A, 0),
MATCH(L$17,'Limit raise'!$1:$1,0))</f>
        <v>1.5095421751906179E-2</v>
      </c>
      <c r="M475" s="18">
        <v>0.15</v>
      </c>
      <c r="N475" s="18"/>
      <c r="O475"/>
      <c r="P475" s="10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</row>
    <row r="476" spans="3:37" s="13" customFormat="1" ht="7.2" customHeight="1" x14ac:dyDescent="0.3">
      <c r="C476" s="17">
        <v>458</v>
      </c>
      <c r="D476" s="18" cm="1">
        <f t="array" ref="D476">INDEX('New credit'!$A:$O,
MATCH(1,('New credit'!$A:$A=$C476)*('New credit'!$D:$D=D$16), 0),
MATCH(D$17,'New credit'!$1:$1,0))</f>
        <v>0.65714285714285714</v>
      </c>
      <c r="E476" s="18" cm="1">
        <f t="array" ref="E476">INDEX('New credit'!$A:$O,
MATCH(1,('New credit'!$A:$A=$C476)*('New credit'!$D:$D=E$16), 0),
MATCH(E$17,'New credit'!$1:$1,0))</f>
        <v>0.86259259259259247</v>
      </c>
      <c r="F476" s="18" cm="1">
        <f t="array" ref="F476">INDEX('New credit'!$A:$O,
MATCH(1,('New credit'!$A:$A=$C476)*('New credit'!$D:$D=F$16), 0),
MATCH(F$17,'New credit'!$1:$1,0))</f>
        <v>0.77599913506866514</v>
      </c>
      <c r="G476" s="18">
        <f>INDEX('New credit'!$A:$O,
MATCH($C476, 'New credit'!$A:$A, 0),
MATCH(G$17, 'New credit'!$1:$1, 0))</f>
        <v>0.14996568417252421</v>
      </c>
      <c r="H476" s="18">
        <v>0.15</v>
      </c>
      <c r="I476" s="18" cm="1">
        <f t="array" ref="I476">INDEX('Limit raise'!$A:$O,
MATCH(1,('Limit raise'!$A:$A=$C476)*('Limit raise'!$D:$D=I$16), 0),
MATCH(I$17,'Limit raise'!$1:$1,0))</f>
        <v>0.67692307692307696</v>
      </c>
      <c r="J476" s="18" cm="1">
        <f t="array" ref="J476">INDEX('Limit raise'!$A:$O,
MATCH(1,('Limit raise'!$A:$A=$C476)*('Limit raise'!$D:$D=J$16), 0),
MATCH(J$17,'Limit raise'!$1:$1,0))</f>
        <v>0.92899999999999971</v>
      </c>
      <c r="K476" s="18" cm="1">
        <f t="array" ref="K476">INDEX('Limit raise'!$A:$O,
MATCH(1,('Limit raise'!$A:$A=$C476)*('Limit raise'!$D:$D=K$16), 0),
MATCH(K$17,'Limit raise'!$1:$1,0))</f>
        <v>0.87312053026338743</v>
      </c>
      <c r="L476" s="18">
        <f>INDEX('Limit raise'!$A:$O,
MATCH($C476, 'Limit raise'!$A:$A, 0),
MATCH(L$17,'Limit raise'!$1:$1,0))</f>
        <v>2.258470040087527E-2</v>
      </c>
      <c r="M476" s="18">
        <v>0.15</v>
      </c>
      <c r="N476" s="18"/>
      <c r="O476"/>
      <c r="P476" s="10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</row>
    <row r="477" spans="3:37" s="13" customFormat="1" ht="7.2" customHeight="1" x14ac:dyDescent="0.3">
      <c r="C477" s="17">
        <v>459</v>
      </c>
      <c r="D477" s="18" cm="1">
        <f t="array" ref="D477">INDEX('New credit'!$A:$O,
MATCH(1,('New credit'!$A:$A=$C477)*('New credit'!$D:$D=D$16), 0),
MATCH(D$17,'New credit'!$1:$1,0))</f>
        <v>0.66666666666666663</v>
      </c>
      <c r="E477" s="18" cm="1">
        <f t="array" ref="E477">INDEX('New credit'!$A:$O,
MATCH(1,('New credit'!$A:$A=$C477)*('New credit'!$D:$D=E$16), 0),
MATCH(E$17,'New credit'!$1:$1,0))</f>
        <v>0.89793103448275857</v>
      </c>
      <c r="F477" s="18" cm="1">
        <f t="array" ref="F477">INDEX('New credit'!$A:$O,
MATCH(1,('New credit'!$A:$A=$C477)*('New credit'!$D:$D=F$16), 0),
MATCH(F$17,'New credit'!$1:$1,0))</f>
        <v>0.79797935864243363</v>
      </c>
      <c r="G477" s="18">
        <f>INDEX('New credit'!$A:$O,
MATCH($C477, 'New credit'!$A:$A, 0),
MATCH(G$17, 'New credit'!$1:$1, 0))</f>
        <v>0.21060046714165051</v>
      </c>
      <c r="H477" s="18">
        <v>0.15</v>
      </c>
      <c r="I477" s="18" cm="1">
        <f t="array" ref="I477">INDEX('Limit raise'!$A:$O,
MATCH(1,('Limit raise'!$A:$A=$C477)*('Limit raise'!$D:$D=I$16), 0),
MATCH(I$17,'Limit raise'!$1:$1,0))</f>
        <v>0.69230769230769229</v>
      </c>
      <c r="J477" s="18" cm="1">
        <f t="array" ref="J477">INDEX('Limit raise'!$A:$O,
MATCH(1,('Limit raise'!$A:$A=$C477)*('Limit raise'!$D:$D=J$16), 0),
MATCH(J$17,'Limit raise'!$1:$1,0))</f>
        <v>0.93049999999999977</v>
      </c>
      <c r="K477" s="18" cm="1">
        <f t="array" ref="K477">INDEX('Limit raise'!$A:$O,
MATCH(1,('Limit raise'!$A:$A=$C477)*('Limit raise'!$D:$D=K$16), 0),
MATCH(K$17,'Limit raise'!$1:$1,0))</f>
        <v>0.88372269881413035</v>
      </c>
      <c r="L477" s="18">
        <f>INDEX('Limit raise'!$A:$O,
MATCH($C477, 'Limit raise'!$A:$A, 0),
MATCH(L$17,'Limit raise'!$1:$1,0))</f>
        <v>2.5507583882849849E-2</v>
      </c>
      <c r="M477" s="18">
        <v>0.15</v>
      </c>
      <c r="N477" s="18"/>
      <c r="O477"/>
      <c r="P477" s="10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</row>
    <row r="478" spans="3:37" s="13" customFormat="1" ht="7.2" customHeight="1" x14ac:dyDescent="0.3">
      <c r="C478" s="17">
        <v>460</v>
      </c>
      <c r="D478" s="18" cm="1">
        <f t="array" ref="D478">INDEX('New credit'!$A:$O,
MATCH(1,('New credit'!$A:$A=$C478)*('New credit'!$D:$D=D$16), 0),
MATCH(D$17,'New credit'!$1:$1,0))</f>
        <v>0.7</v>
      </c>
      <c r="E478" s="18" cm="1">
        <f t="array" ref="E478">INDEX('New credit'!$A:$O,
MATCH(1,('New credit'!$A:$A=$C478)*('New credit'!$D:$D=E$16), 0),
MATCH(E$17,'New credit'!$1:$1,0))</f>
        <v>0.86793103448275843</v>
      </c>
      <c r="F478" s="18" cm="1">
        <f t="array" ref="F478">INDEX('New credit'!$A:$O,
MATCH(1,('New credit'!$A:$A=$C478)*('New credit'!$D:$D=F$16), 0),
MATCH(F$17,'New credit'!$1:$1,0))</f>
        <v>0.75914536626680551</v>
      </c>
      <c r="G478" s="18">
        <f>INDEX('New credit'!$A:$O,
MATCH($C478, 'New credit'!$A:$A, 0),
MATCH(G$17, 'New credit'!$1:$1, 0))</f>
        <v>0.1148565844098518</v>
      </c>
      <c r="H478" s="18">
        <v>0.15</v>
      </c>
      <c r="I478" s="18" cm="1">
        <f t="array" ref="I478">INDEX('Limit raise'!$A:$O,
MATCH(1,('Limit raise'!$A:$A=$C478)*('Limit raise'!$D:$D=I$16), 0),
MATCH(I$17,'Limit raise'!$1:$1,0))</f>
        <v>0.703125</v>
      </c>
      <c r="J478" s="18" cm="1">
        <f t="array" ref="J478">INDEX('Limit raise'!$A:$O,
MATCH(1,('Limit raise'!$A:$A=$C478)*('Limit raise'!$D:$D=J$16), 0),
MATCH(J$17,'Limit raise'!$1:$1,0))</f>
        <v>0.92952380952380931</v>
      </c>
      <c r="K478" s="18" cm="1">
        <f t="array" ref="K478">INDEX('Limit raise'!$A:$O,
MATCH(1,('Limit raise'!$A:$A=$C478)*('Limit raise'!$D:$D=K$16), 0),
MATCH(K$17,'Limit raise'!$1:$1,0))</f>
        <v>0.88418633475632424</v>
      </c>
      <c r="L478" s="18">
        <f>INDEX('Limit raise'!$A:$O,
MATCH($C478, 'Limit raise'!$A:$A, 0),
MATCH(L$17,'Limit raise'!$1:$1,0))</f>
        <v>3.4471062955899183E-2</v>
      </c>
      <c r="M478" s="18">
        <v>0.15</v>
      </c>
      <c r="N478" s="18"/>
      <c r="O478"/>
      <c r="P478" s="10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</row>
    <row r="479" spans="3:37" s="13" customFormat="1" ht="7.2" customHeight="1" x14ac:dyDescent="0.3">
      <c r="C479" s="17">
        <v>461</v>
      </c>
      <c r="D479" s="18" cm="1">
        <f t="array" ref="D479">INDEX('New credit'!$A:$O,
MATCH(1,('New credit'!$A:$A=$C479)*('New credit'!$D:$D=D$16), 0),
MATCH(D$17,'New credit'!$1:$1,0))</f>
        <v>0.71641791044776115</v>
      </c>
      <c r="E479" s="18" cm="1">
        <f t="array" ref="E479">INDEX('New credit'!$A:$O,
MATCH(1,('New credit'!$A:$A=$C479)*('New credit'!$D:$D=E$16), 0),
MATCH(E$17,'New credit'!$1:$1,0))</f>
        <v>0.8637499999999998</v>
      </c>
      <c r="F479" s="18" cm="1">
        <f t="array" ref="F479">INDEX('New credit'!$A:$O,
MATCH(1,('New credit'!$A:$A=$C479)*('New credit'!$D:$D=F$16), 0),
MATCH(F$17,'New credit'!$1:$1,0))</f>
        <v>0.79146882342810876</v>
      </c>
      <c r="G479" s="18">
        <f>INDEX('New credit'!$A:$O,
MATCH($C479, 'New credit'!$A:$A, 0),
MATCH(G$17, 'New credit'!$1:$1, 0))</f>
        <v>0.26861999367078232</v>
      </c>
      <c r="H479" s="18">
        <v>0.15</v>
      </c>
      <c r="I479" s="18" cm="1">
        <f t="array" ref="I479">INDEX('Limit raise'!$A:$O,
MATCH(1,('Limit raise'!$A:$A=$C479)*('Limit raise'!$D:$D=I$16), 0),
MATCH(I$17,'Limit raise'!$1:$1,0))</f>
        <v>0.6875</v>
      </c>
      <c r="J479" s="18" cm="1">
        <f t="array" ref="J479">INDEX('Limit raise'!$A:$O,
MATCH(1,('Limit raise'!$A:$A=$C479)*('Limit raise'!$D:$D=J$16), 0),
MATCH(J$17,'Limit raise'!$1:$1,0))</f>
        <v>0.92952380952380931</v>
      </c>
      <c r="K479" s="18" cm="1">
        <f t="array" ref="K479">INDEX('Limit raise'!$A:$O,
MATCH(1,('Limit raise'!$A:$A=$C479)*('Limit raise'!$D:$D=K$16), 0),
MATCH(K$17,'Limit raise'!$1:$1,0))</f>
        <v>0.87233024077340748</v>
      </c>
      <c r="L479" s="18">
        <f>INDEX('Limit raise'!$A:$O,
MATCH($C479, 'Limit raise'!$A:$A, 0),
MATCH(L$17,'Limit raise'!$1:$1,0))</f>
        <v>3.369493466607662E-2</v>
      </c>
      <c r="M479" s="18">
        <v>0.15</v>
      </c>
      <c r="N479" s="18"/>
      <c r="O479"/>
      <c r="P479" s="10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</row>
    <row r="480" spans="3:37" s="13" customFormat="1" ht="7.2" customHeight="1" x14ac:dyDescent="0.3">
      <c r="C480" s="17">
        <v>462</v>
      </c>
      <c r="D480" s="18" cm="1">
        <f t="array" ref="D480">INDEX('New credit'!$A:$O,
MATCH(1,('New credit'!$A:$A=$C480)*('New credit'!$D:$D=D$16), 0),
MATCH(D$17,'New credit'!$1:$1,0))</f>
        <v>0.69696969696969702</v>
      </c>
      <c r="E480" s="18" cm="1">
        <f t="array" ref="E480">INDEX('New credit'!$A:$O,
MATCH(1,('New credit'!$A:$A=$C480)*('New credit'!$D:$D=E$16), 0),
MATCH(E$17,'New credit'!$1:$1,0))</f>
        <v>0.83033333333333337</v>
      </c>
      <c r="F480" s="18" cm="1">
        <f t="array" ref="F480">INDEX('New credit'!$A:$O,
MATCH(1,('New credit'!$A:$A=$C480)*('New credit'!$D:$D=F$16), 0),
MATCH(F$17,'New credit'!$1:$1,0))</f>
        <v>0.71509694704647686</v>
      </c>
      <c r="G480" s="18">
        <f>INDEX('New credit'!$A:$O,
MATCH($C480, 'New credit'!$A:$A, 0),
MATCH(G$17, 'New credit'!$1:$1, 0))</f>
        <v>9.1239518556572932E-2</v>
      </c>
      <c r="H480" s="18">
        <v>0.15</v>
      </c>
      <c r="I480" s="18" cm="1">
        <f t="array" ref="I480">INDEX('Limit raise'!$A:$O,
MATCH(1,('Limit raise'!$A:$A=$C480)*('Limit raise'!$D:$D=I$16), 0),
MATCH(I$17,'Limit raise'!$1:$1,0))</f>
        <v>0.70967741935483875</v>
      </c>
      <c r="J480" s="18" cm="1">
        <f t="array" ref="J480">INDEX('Limit raise'!$A:$O,
MATCH(1,('Limit raise'!$A:$A=$C480)*('Limit raise'!$D:$D=J$16), 0),
MATCH(J$17,'Limit raise'!$1:$1,0))</f>
        <v>0.93199999999999983</v>
      </c>
      <c r="K480" s="18" cm="1">
        <f t="array" ref="K480">INDEX('Limit raise'!$A:$O,
MATCH(1,('Limit raise'!$A:$A=$C480)*('Limit raise'!$D:$D=K$16), 0),
MATCH(K$17,'Limit raise'!$1:$1,0))</f>
        <v>0.88256450544204168</v>
      </c>
      <c r="L480" s="18">
        <f>INDEX('Limit raise'!$A:$O,
MATCH($C480, 'Limit raise'!$A:$A, 0),
MATCH(L$17,'Limit raise'!$1:$1,0))</f>
        <v>4.4259785430551347E-2</v>
      </c>
      <c r="M480" s="18">
        <v>0.15</v>
      </c>
      <c r="N480" s="18"/>
      <c r="O480"/>
      <c r="P480" s="1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</row>
    <row r="481" spans="3:37" s="13" customFormat="1" ht="7.2" customHeight="1" x14ac:dyDescent="0.3">
      <c r="C481" s="17">
        <v>463</v>
      </c>
      <c r="D481" s="18" cm="1">
        <f t="array" ref="D481">INDEX('New credit'!$A:$O,
MATCH(1,('New credit'!$A:$A=$C481)*('New credit'!$D:$D=D$16), 0),
MATCH(D$17,'New credit'!$1:$1,0))</f>
        <v>0.72727272727272729</v>
      </c>
      <c r="E481" s="18" cm="1">
        <f t="array" ref="E481">INDEX('New credit'!$A:$O,
MATCH(1,('New credit'!$A:$A=$C481)*('New credit'!$D:$D=E$16), 0),
MATCH(E$17,'New credit'!$1:$1,0))</f>
        <v>0.82933333333333326</v>
      </c>
      <c r="F481" s="18" cm="1">
        <f t="array" ref="F481">INDEX('New credit'!$A:$O,
MATCH(1,('New credit'!$A:$A=$C481)*('New credit'!$D:$D=F$16), 0),
MATCH(F$17,'New credit'!$1:$1,0))</f>
        <v>0.73637995393787747</v>
      </c>
      <c r="G481" s="18">
        <f>INDEX('New credit'!$A:$O,
MATCH($C481, 'New credit'!$A:$A, 0),
MATCH(G$17, 'New credit'!$1:$1, 0))</f>
        <v>0.1360374212895758</v>
      </c>
      <c r="H481" s="18">
        <v>0.15</v>
      </c>
      <c r="I481" s="18" cm="1">
        <f t="array" ref="I481">INDEX('Limit raise'!$A:$O,
MATCH(1,('Limit raise'!$A:$A=$C481)*('Limit raise'!$D:$D=I$16), 0),
MATCH(I$17,'Limit raise'!$1:$1,0))</f>
        <v>0.70967741935483875</v>
      </c>
      <c r="J481" s="18" cm="1">
        <f t="array" ref="J481">INDEX('Limit raise'!$A:$O,
MATCH(1,('Limit raise'!$A:$A=$C481)*('Limit raise'!$D:$D=J$16), 0),
MATCH(J$17,'Limit raise'!$1:$1,0))</f>
        <v>0.93149999999999999</v>
      </c>
      <c r="K481" s="18" cm="1">
        <f t="array" ref="K481">INDEX('Limit raise'!$A:$O,
MATCH(1,('Limit raise'!$A:$A=$C481)*('Limit raise'!$D:$D=K$16), 0),
MATCH(K$17,'Limit raise'!$1:$1,0))</f>
        <v>0.8830089424450327</v>
      </c>
      <c r="L481" s="18">
        <f>INDEX('Limit raise'!$A:$O,
MATCH($C481, 'Limit raise'!$A:$A, 0),
MATCH(L$17,'Limit raise'!$1:$1,0))</f>
        <v>4.3687881170750648E-2</v>
      </c>
      <c r="M481" s="18">
        <v>0.15</v>
      </c>
      <c r="N481" s="18"/>
      <c r="O481"/>
      <c r="P481" s="10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</row>
    <row r="482" spans="3:37" s="13" customFormat="1" ht="7.2" customHeight="1" x14ac:dyDescent="0.3">
      <c r="C482" s="17">
        <v>464</v>
      </c>
      <c r="D482" s="18" cm="1">
        <f t="array" ref="D482">INDEX('New credit'!$A:$O,
MATCH(1,('New credit'!$A:$A=$C482)*('New credit'!$D:$D=D$16), 0),
MATCH(D$17,'New credit'!$1:$1,0))</f>
        <v>0.71014492753623193</v>
      </c>
      <c r="E482" s="18" cm="1">
        <f t="array" ref="E482">INDEX('New credit'!$A:$O,
MATCH(1,('New credit'!$A:$A=$C482)*('New credit'!$D:$D=E$16), 0),
MATCH(E$17,'New credit'!$1:$1,0))</f>
        <v>0.86312499999999981</v>
      </c>
      <c r="F482" s="18" cm="1">
        <f t="array" ref="F482">INDEX('New credit'!$A:$O,
MATCH(1,('New credit'!$A:$A=$C482)*('New credit'!$D:$D=F$16), 0),
MATCH(F$17,'New credit'!$1:$1,0))</f>
        <v>0.78184566917708276</v>
      </c>
      <c r="G482" s="18">
        <f>INDEX('New credit'!$A:$O,
MATCH($C482, 'New credit'!$A:$A, 0),
MATCH(G$17, 'New credit'!$1:$1, 0))</f>
        <v>0.21164462839421111</v>
      </c>
      <c r="H482" s="18">
        <v>0.15</v>
      </c>
      <c r="I482" s="18" cm="1">
        <f t="array" ref="I482">INDEX('Limit raise'!$A:$O,
MATCH(1,('Limit raise'!$A:$A=$C482)*('Limit raise'!$D:$D=I$16), 0),
MATCH(I$17,'Limit raise'!$1:$1,0))</f>
        <v>0.72131147540983609</v>
      </c>
      <c r="J482" s="18" cm="1">
        <f t="array" ref="J482">INDEX('Limit raise'!$A:$O,
MATCH(1,('Limit raise'!$A:$A=$C482)*('Limit raise'!$D:$D=J$16), 0),
MATCH(J$17,'Limit raise'!$1:$1,0))</f>
        <v>0.93149999999999999</v>
      </c>
      <c r="K482" s="18" cm="1">
        <f t="array" ref="K482">INDEX('Limit raise'!$A:$O,
MATCH(1,('Limit raise'!$A:$A=$C482)*('Limit raise'!$D:$D=K$16), 0),
MATCH(K$17,'Limit raise'!$1:$1,0))</f>
        <v>0.88313798788501641</v>
      </c>
      <c r="L482" s="18">
        <f>INDEX('Limit raise'!$A:$O,
MATCH($C482, 'Limit raise'!$A:$A, 0),
MATCH(L$17,'Limit raise'!$1:$1,0))</f>
        <v>4.8060170021057648E-2</v>
      </c>
      <c r="M482" s="18">
        <v>0.15</v>
      </c>
      <c r="N482" s="18"/>
      <c r="O482"/>
      <c r="P482" s="10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</row>
    <row r="483" spans="3:37" s="13" customFormat="1" ht="7.2" customHeight="1" x14ac:dyDescent="0.3">
      <c r="C483" s="17">
        <v>465</v>
      </c>
      <c r="D483" s="18" cm="1">
        <f t="array" ref="D483">INDEX('New credit'!$A:$O,
MATCH(1,('New credit'!$A:$A=$C483)*('New credit'!$D:$D=D$16), 0),
MATCH(D$17,'New credit'!$1:$1,0))</f>
        <v>0.734375</v>
      </c>
      <c r="E483" s="18" cm="1">
        <f t="array" ref="E483">INDEX('New credit'!$A:$O,
MATCH(1,('New credit'!$A:$A=$C483)*('New credit'!$D:$D=E$16), 0),
MATCH(E$17,'New credit'!$1:$1,0))</f>
        <v>0.86909090909090914</v>
      </c>
      <c r="F483" s="18" cm="1">
        <f t="array" ref="F483">INDEX('New credit'!$A:$O,
MATCH(1,('New credit'!$A:$A=$C483)*('New credit'!$D:$D=F$16), 0),
MATCH(F$17,'New credit'!$1:$1,0))</f>
        <v>0.83497739564436735</v>
      </c>
      <c r="G483" s="18">
        <f>INDEX('New credit'!$A:$O,
MATCH($C483, 'New credit'!$A:$A, 0),
MATCH(G$17, 'New credit'!$1:$1, 0))</f>
        <v>0.10029019605429031</v>
      </c>
      <c r="H483" s="18">
        <v>0.15</v>
      </c>
      <c r="I483" s="18" cm="1">
        <f t="array" ref="I483">INDEX('Limit raise'!$A:$O,
MATCH(1,('Limit raise'!$A:$A=$C483)*('Limit raise'!$D:$D=I$16), 0),
MATCH(I$17,'Limit raise'!$1:$1,0))</f>
        <v>0.70967741935483875</v>
      </c>
      <c r="J483" s="18" cm="1">
        <f t="array" ref="J483">INDEX('Limit raise'!$A:$O,
MATCH(1,('Limit raise'!$A:$A=$C483)*('Limit raise'!$D:$D=J$16), 0),
MATCH(J$17,'Limit raise'!$1:$1,0))</f>
        <v>0.92947368421052612</v>
      </c>
      <c r="K483" s="18" cm="1">
        <f t="array" ref="K483">INDEX('Limit raise'!$A:$O,
MATCH(1,('Limit raise'!$A:$A=$C483)*('Limit raise'!$D:$D=K$16), 0),
MATCH(K$17,'Limit raise'!$1:$1,0))</f>
        <v>0.88289086648698645</v>
      </c>
      <c r="L483" s="18">
        <f>INDEX('Limit raise'!$A:$O,
MATCH($C483, 'Limit raise'!$A:$A, 0),
MATCH(L$17,'Limit raise'!$1:$1,0))</f>
        <v>4.78695754232462E-2</v>
      </c>
      <c r="M483" s="18">
        <v>0.15</v>
      </c>
      <c r="N483" s="18"/>
      <c r="O483"/>
      <c r="P483" s="10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</row>
    <row r="484" spans="3:37" s="13" customFormat="1" ht="7.2" customHeight="1" x14ac:dyDescent="0.3">
      <c r="C484" s="17">
        <v>466</v>
      </c>
      <c r="D484" s="18" cm="1">
        <f t="array" ref="D484">INDEX('New credit'!$A:$O,
MATCH(1,('New credit'!$A:$A=$C484)*('New credit'!$D:$D=D$16), 0),
MATCH(D$17,'New credit'!$1:$1,0))</f>
        <v>0.75</v>
      </c>
      <c r="E484" s="18" cm="1">
        <f t="array" ref="E484">INDEX('New credit'!$A:$O,
MATCH(1,('New credit'!$A:$A=$C484)*('New credit'!$D:$D=E$16), 0),
MATCH(E$17,'New credit'!$1:$1,0))</f>
        <v>0.87249999999999994</v>
      </c>
      <c r="F484" s="18" cm="1">
        <f t="array" ref="F484">INDEX('New credit'!$A:$O,
MATCH(1,('New credit'!$A:$A=$C484)*('New credit'!$D:$D=F$16), 0),
MATCH(F$17,'New credit'!$1:$1,0))</f>
        <v>0.82779450758377127</v>
      </c>
      <c r="G484" s="18">
        <f>INDEX('New credit'!$A:$O,
MATCH($C484, 'New credit'!$A:$A, 0),
MATCH(G$17, 'New credit'!$1:$1, 0))</f>
        <v>0.15335856075701579</v>
      </c>
      <c r="H484" s="18">
        <v>0.15</v>
      </c>
      <c r="I484" s="18" cm="1">
        <f t="array" ref="I484">INDEX('Limit raise'!$A:$O,
MATCH(1,('Limit raise'!$A:$A=$C484)*('Limit raise'!$D:$D=I$16), 0),
MATCH(I$17,'Limit raise'!$1:$1,0))</f>
        <v>0.70967741935483875</v>
      </c>
      <c r="J484" s="18" cm="1">
        <f t="array" ref="J484">INDEX('Limit raise'!$A:$O,
MATCH(1,('Limit raise'!$A:$A=$C484)*('Limit raise'!$D:$D=J$16), 0),
MATCH(J$17,'Limit raise'!$1:$1,0))</f>
        <v>0.92999999999999994</v>
      </c>
      <c r="K484" s="18" cm="1">
        <f t="array" ref="K484">INDEX('Limit raise'!$A:$O,
MATCH(1,('Limit raise'!$A:$A=$C484)*('Limit raise'!$D:$D=K$16), 0),
MATCH(K$17,'Limit raise'!$1:$1,0))</f>
        <v>0.88124347122427404</v>
      </c>
      <c r="L484" s="18">
        <f>INDEX('Limit raise'!$A:$O,
MATCH($C484, 'Limit raise'!$A:$A, 0),
MATCH(L$17,'Limit raise'!$1:$1,0))</f>
        <v>5.1994720506439163E-2</v>
      </c>
      <c r="M484" s="18">
        <v>0.15</v>
      </c>
      <c r="N484" s="18"/>
      <c r="O484"/>
      <c r="P484" s="10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</row>
    <row r="485" spans="3:37" s="13" customFormat="1" ht="7.2" customHeight="1" x14ac:dyDescent="0.3">
      <c r="C485" s="17">
        <v>467</v>
      </c>
      <c r="D485" s="18" cm="1">
        <f t="array" ref="D485">INDEX('New credit'!$A:$O,
MATCH(1,('New credit'!$A:$A=$C485)*('New credit'!$D:$D=D$16), 0),
MATCH(D$17,'New credit'!$1:$1,0))</f>
        <v>0.77966101694915257</v>
      </c>
      <c r="E485" s="18" cm="1">
        <f t="array" ref="E485">INDEX('New credit'!$A:$O,
MATCH(1,('New credit'!$A:$A=$C485)*('New credit'!$D:$D=E$16), 0),
MATCH(E$17,'New credit'!$1:$1,0))</f>
        <v>0.87099999999999989</v>
      </c>
      <c r="F485" s="18" cm="1">
        <f t="array" ref="F485">INDEX('New credit'!$A:$O,
MATCH(1,('New credit'!$A:$A=$C485)*('New credit'!$D:$D=F$16), 0),
MATCH(F$17,'New credit'!$1:$1,0))</f>
        <v>0.7871368593216328</v>
      </c>
      <c r="G485" s="18">
        <f>INDEX('New credit'!$A:$O,
MATCH($C485, 'New credit'!$A:$A, 0),
MATCH(G$17, 'New credit'!$1:$1, 0))</f>
        <v>1</v>
      </c>
      <c r="H485" s="18">
        <v>0.15</v>
      </c>
      <c r="I485" s="18" cm="1">
        <f t="array" ref="I485">INDEX('Limit raise'!$A:$O,
MATCH(1,('Limit raise'!$A:$A=$C485)*('Limit raise'!$D:$D=I$16), 0),
MATCH(I$17,'Limit raise'!$1:$1,0))</f>
        <v>0.70967741935483875</v>
      </c>
      <c r="J485" s="18" cm="1">
        <f t="array" ref="J485">INDEX('Limit raise'!$A:$O,
MATCH(1,('Limit raise'!$A:$A=$C485)*('Limit raise'!$D:$D=J$16), 0),
MATCH(J$17,'Limit raise'!$1:$1,0))</f>
        <v>0.92999999999999994</v>
      </c>
      <c r="K485" s="18" cm="1">
        <f t="array" ref="K485">INDEX('Limit raise'!$A:$O,
MATCH(1,('Limit raise'!$A:$A=$C485)*('Limit raise'!$D:$D=K$16), 0),
MATCH(K$17,'Limit raise'!$1:$1,0))</f>
        <v>0.87967094261369039</v>
      </c>
      <c r="L485" s="18">
        <f>INDEX('Limit raise'!$A:$O,
MATCH($C485, 'Limit raise'!$A:$A, 0),
MATCH(L$17,'Limit raise'!$1:$1,0))</f>
        <v>5.2045584421627551E-2</v>
      </c>
      <c r="M485" s="18">
        <v>0.15</v>
      </c>
      <c r="N485" s="18"/>
      <c r="O485"/>
      <c r="P485" s="10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</row>
    <row r="486" spans="3:37" s="13" customFormat="1" ht="7.2" customHeight="1" x14ac:dyDescent="0.3">
      <c r="C486" s="17">
        <v>468</v>
      </c>
      <c r="D486" s="18" cm="1">
        <f t="array" ref="D486">INDEX('New credit'!$A:$O,
MATCH(1,('New credit'!$A:$A=$C486)*('New credit'!$D:$D=D$16), 0),
MATCH(D$17,'New credit'!$1:$1,0))</f>
        <v>0.65079365079365081</v>
      </c>
      <c r="E486" s="18" cm="1">
        <f t="array" ref="E486">INDEX('New credit'!$A:$O,
MATCH(1,('New credit'!$A:$A=$C486)*('New credit'!$D:$D=E$16), 0),
MATCH(E$17,'New credit'!$1:$1,0))</f>
        <v>0.86346153846153817</v>
      </c>
      <c r="F486" s="18" cm="1">
        <f t="array" ref="F486">INDEX('New credit'!$A:$O,
MATCH(1,('New credit'!$A:$A=$C486)*('New credit'!$D:$D=F$16), 0),
MATCH(F$17,'New credit'!$1:$1,0))</f>
        <v>0.73012178897365498</v>
      </c>
      <c r="G486" s="18">
        <f>INDEX('New credit'!$A:$O,
MATCH($C486, 'New credit'!$A:$A, 0),
MATCH(G$17, 'New credit'!$1:$1, 0))</f>
        <v>1</v>
      </c>
      <c r="H486" s="18">
        <v>0.15</v>
      </c>
      <c r="I486" s="18" cm="1">
        <f t="array" ref="I486">INDEX('Limit raise'!$A:$O,
MATCH(1,('Limit raise'!$A:$A=$C486)*('Limit raise'!$D:$D=I$16), 0),
MATCH(I$17,'Limit raise'!$1:$1,0))</f>
        <v>0.70967741935483875</v>
      </c>
      <c r="J486" s="18" cm="1">
        <f t="array" ref="J486">INDEX('Limit raise'!$A:$O,
MATCH(1,('Limit raise'!$A:$A=$C486)*('Limit raise'!$D:$D=J$16), 0),
MATCH(J$17,'Limit raise'!$1:$1,0))</f>
        <v>0.92999999999999994</v>
      </c>
      <c r="K486" s="18" cm="1">
        <f t="array" ref="K486">INDEX('Limit raise'!$A:$O,
MATCH(1,('Limit raise'!$A:$A=$C486)*('Limit raise'!$D:$D=K$16), 0),
MATCH(K$17,'Limit raise'!$1:$1,0))</f>
        <v>0.88037754339572349</v>
      </c>
      <c r="L486" s="18">
        <f>INDEX('Limit raise'!$A:$O,
MATCH($C486, 'Limit raise'!$A:$A, 0),
MATCH(L$17,'Limit raise'!$1:$1,0))</f>
        <v>5.1374086865174418E-2</v>
      </c>
      <c r="M486" s="18">
        <v>0.15</v>
      </c>
      <c r="N486" s="18"/>
      <c r="O486"/>
      <c r="P486" s="10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</row>
    <row r="487" spans="3:37" s="13" customFormat="1" ht="7.2" customHeight="1" x14ac:dyDescent="0.3">
      <c r="C487" s="17">
        <v>469</v>
      </c>
      <c r="D487" s="18" cm="1">
        <f t="array" ref="D487">INDEX('New credit'!$A:$O,
MATCH(1,('New credit'!$A:$A=$C487)*('New credit'!$D:$D=D$16), 0),
MATCH(D$17,'New credit'!$1:$1,0))</f>
        <v>0.6428571428571429</v>
      </c>
      <c r="E487" s="18" cm="1">
        <f t="array" ref="E487">INDEX('New credit'!$A:$O,
MATCH(1,('New credit'!$A:$A=$C487)*('New credit'!$D:$D=E$16), 0),
MATCH(E$17,'New credit'!$1:$1,0))</f>
        <v>0.86303030303030304</v>
      </c>
      <c r="F487" s="18" cm="1">
        <f t="array" ref="F487">INDEX('New credit'!$A:$O,
MATCH(1,('New credit'!$A:$A=$C487)*('New credit'!$D:$D=F$16), 0),
MATCH(F$17,'New credit'!$1:$1,0))</f>
        <v>0.75097095879374476</v>
      </c>
      <c r="G487" s="18">
        <f>INDEX('New credit'!$A:$O,
MATCH($C487, 'New credit'!$A:$A, 0),
MATCH(G$17, 'New credit'!$1:$1, 0))</f>
        <v>1</v>
      </c>
      <c r="H487" s="18">
        <v>0.15</v>
      </c>
      <c r="I487" s="18" cm="1">
        <f t="array" ref="I487">INDEX('Limit raise'!$A:$O,
MATCH(1,('Limit raise'!$A:$A=$C487)*('Limit raise'!$D:$D=I$16), 0),
MATCH(I$17,'Limit raise'!$1:$1,0))</f>
        <v>0.72580645161290325</v>
      </c>
      <c r="J487" s="18" cm="1">
        <f t="array" ref="J487">INDEX('Limit raise'!$A:$O,
MATCH(1,('Limit raise'!$A:$A=$C487)*('Limit raise'!$D:$D=J$16), 0),
MATCH(J$17,'Limit raise'!$1:$1,0))</f>
        <v>0.92947368421052612</v>
      </c>
      <c r="K487" s="18" cm="1">
        <f t="array" ref="K487">INDEX('Limit raise'!$A:$O,
MATCH(1,('Limit raise'!$A:$A=$C487)*('Limit raise'!$D:$D=K$16), 0),
MATCH(K$17,'Limit raise'!$1:$1,0))</f>
        <v>0.84000540801913037</v>
      </c>
      <c r="L487" s="18">
        <f>INDEX('Limit raise'!$A:$O,
MATCH($C487, 'Limit raise'!$A:$A, 0),
MATCH(L$17,'Limit raise'!$1:$1,0))</f>
        <v>6.0329507014090213E-2</v>
      </c>
      <c r="M487" s="18">
        <v>0.15</v>
      </c>
      <c r="N487" s="18"/>
      <c r="O487"/>
      <c r="P487" s="10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</row>
    <row r="488" spans="3:37" s="13" customFormat="1" ht="7.2" customHeight="1" x14ac:dyDescent="0.3">
      <c r="C488" s="17">
        <v>470</v>
      </c>
      <c r="D488" s="18" cm="1">
        <f t="array" ref="D488">INDEX('New credit'!$A:$O,
MATCH(1,('New credit'!$A:$A=$C488)*('New credit'!$D:$D=D$16), 0),
MATCH(D$17,'New credit'!$1:$1,0))</f>
        <v>0.6901408450704225</v>
      </c>
      <c r="E488" s="18" cm="1">
        <f t="array" ref="E488">INDEX('New credit'!$A:$O,
MATCH(1,('New credit'!$A:$A=$C488)*('New credit'!$D:$D=E$16), 0),
MATCH(E$17,'New credit'!$1:$1,0))</f>
        <v>0.86162162162162148</v>
      </c>
      <c r="F488" s="18" cm="1">
        <f t="array" ref="F488">INDEX('New credit'!$A:$O,
MATCH(1,('New credit'!$A:$A=$C488)*('New credit'!$D:$D=F$16), 0),
MATCH(F$17,'New credit'!$1:$1,0))</f>
        <v>0.79526201781659833</v>
      </c>
      <c r="G488" s="18">
        <f>INDEX('New credit'!$A:$O,
MATCH($C488, 'New credit'!$A:$A, 0),
MATCH(G$17, 'New credit'!$1:$1, 0))</f>
        <v>0.15257413590712271</v>
      </c>
      <c r="H488" s="18">
        <v>0.15</v>
      </c>
      <c r="I488" s="18" cm="1">
        <f t="array" ref="I488">INDEX('Limit raise'!$A:$O,
MATCH(1,('Limit raise'!$A:$A=$C488)*('Limit raise'!$D:$D=I$16), 0),
MATCH(I$17,'Limit raise'!$1:$1,0))</f>
        <v>0.72580645161290325</v>
      </c>
      <c r="J488" s="18" cm="1">
        <f t="array" ref="J488">INDEX('Limit raise'!$A:$O,
MATCH(1,('Limit raise'!$A:$A=$C488)*('Limit raise'!$D:$D=J$16), 0),
MATCH(J$17,'Limit raise'!$1:$1,0))</f>
        <v>0.92799999999999994</v>
      </c>
      <c r="K488" s="18" cm="1">
        <f t="array" ref="K488">INDEX('Limit raise'!$A:$O,
MATCH(1,('Limit raise'!$A:$A=$C488)*('Limit raise'!$D:$D=K$16), 0),
MATCH(K$17,'Limit raise'!$1:$1,0))</f>
        <v>0.8374316895096946</v>
      </c>
      <c r="L488" s="18">
        <f>INDEX('Limit raise'!$A:$O,
MATCH($C488, 'Limit raise'!$A:$A, 0),
MATCH(L$17,'Limit raise'!$1:$1,0))</f>
        <v>6.5732057692716311E-2</v>
      </c>
      <c r="M488" s="18">
        <v>0.15</v>
      </c>
      <c r="N488" s="18"/>
      <c r="O488"/>
      <c r="P488" s="10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</row>
    <row r="489" spans="3:37" s="13" customFormat="1" ht="7.2" customHeight="1" x14ac:dyDescent="0.3">
      <c r="C489" s="17">
        <v>471</v>
      </c>
      <c r="D489" s="18" cm="1">
        <f t="array" ref="D489">INDEX('New credit'!$A:$O,
MATCH(1,('New credit'!$A:$A=$C489)*('New credit'!$D:$D=D$16), 0),
MATCH(D$17,'New credit'!$1:$1,0))</f>
        <v>0.68253968253968256</v>
      </c>
      <c r="E489" s="18" cm="1">
        <f t="array" ref="E489">INDEX('New credit'!$A:$O,
MATCH(1,('New credit'!$A:$A=$C489)*('New credit'!$D:$D=E$16), 0),
MATCH(E$17,'New credit'!$1:$1,0))</f>
        <v>0.86212121212121229</v>
      </c>
      <c r="F489" s="18" cm="1">
        <f t="array" ref="F489">INDEX('New credit'!$A:$O,
MATCH(1,('New credit'!$A:$A=$C489)*('New credit'!$D:$D=F$16), 0),
MATCH(F$17,'New credit'!$1:$1,0))</f>
        <v>0.86012375538716979</v>
      </c>
      <c r="G489" s="18">
        <f>INDEX('New credit'!$A:$O,
MATCH($C489, 'New credit'!$A:$A, 0),
MATCH(G$17, 'New credit'!$1:$1, 0))</f>
        <v>1</v>
      </c>
      <c r="H489" s="18">
        <v>0.15</v>
      </c>
      <c r="I489" s="18" cm="1">
        <f t="array" ref="I489">INDEX('Limit raise'!$A:$O,
MATCH(1,('Limit raise'!$A:$A=$C489)*('Limit raise'!$D:$D=I$16), 0),
MATCH(I$17,'Limit raise'!$1:$1,0))</f>
        <v>0.72580645161290325</v>
      </c>
      <c r="J489" s="18" cm="1">
        <f t="array" ref="J489">INDEX('Limit raise'!$A:$O,
MATCH(1,('Limit raise'!$A:$A=$C489)*('Limit raise'!$D:$D=J$16), 0),
MATCH(J$17,'Limit raise'!$1:$1,0))</f>
        <v>0.92699999999999994</v>
      </c>
      <c r="K489" s="18" cm="1">
        <f t="array" ref="K489">INDEX('Limit raise'!$A:$O,
MATCH(1,('Limit raise'!$A:$A=$C489)*('Limit raise'!$D:$D=K$16), 0),
MATCH(K$17,'Limit raise'!$1:$1,0))</f>
        <v>0.8354525196474839</v>
      </c>
      <c r="L489" s="18">
        <f>INDEX('Limit raise'!$A:$O,
MATCH($C489, 'Limit raise'!$A:$A, 0),
MATCH(L$17,'Limit raise'!$1:$1,0))</f>
        <v>7.3786127871299165E-2</v>
      </c>
      <c r="M489" s="18">
        <v>0.15</v>
      </c>
      <c r="N489" s="18"/>
      <c r="O489"/>
      <c r="P489" s="10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</row>
    <row r="490" spans="3:37" s="13" customFormat="1" ht="7.2" customHeight="1" x14ac:dyDescent="0.3">
      <c r="C490" s="17">
        <v>472</v>
      </c>
      <c r="D490" s="18" cm="1">
        <f t="array" ref="D490">INDEX('New credit'!$A:$O,
MATCH(1,('New credit'!$A:$A=$C490)*('New credit'!$D:$D=D$16), 0),
MATCH(D$17,'New credit'!$1:$1,0))</f>
        <v>0.66666666666666663</v>
      </c>
      <c r="E490" s="18" cm="1">
        <f t="array" ref="E490">INDEX('New credit'!$A:$O,
MATCH(1,('New credit'!$A:$A=$C490)*('New credit'!$D:$D=E$16), 0),
MATCH(E$17,'New credit'!$1:$1,0))</f>
        <v>0.88799999999999979</v>
      </c>
      <c r="F490" s="18" cm="1">
        <f t="array" ref="F490">INDEX('New credit'!$A:$O,
MATCH(1,('New credit'!$A:$A=$C490)*('New credit'!$D:$D=F$16), 0),
MATCH(F$17,'New credit'!$1:$1,0))</f>
        <v>0.93314144321567427</v>
      </c>
      <c r="G490" s="18">
        <f>INDEX('New credit'!$A:$O,
MATCH($C490, 'New credit'!$A:$A, 0),
MATCH(G$17, 'New credit'!$1:$1, 0))</f>
        <v>0.158225564982862</v>
      </c>
      <c r="H490" s="18">
        <v>0.15</v>
      </c>
      <c r="I490" s="18" cm="1">
        <f t="array" ref="I490">INDEX('Limit raise'!$A:$O,
MATCH(1,('Limit raise'!$A:$A=$C490)*('Limit raise'!$D:$D=I$16), 0),
MATCH(I$17,'Limit raise'!$1:$1,0))</f>
        <v>0.69841269841269837</v>
      </c>
      <c r="J490" s="18" cm="1">
        <f t="array" ref="J490">INDEX('Limit raise'!$A:$O,
MATCH(1,('Limit raise'!$A:$A=$C490)*('Limit raise'!$D:$D=J$16), 0),
MATCH(J$17,'Limit raise'!$1:$1,0))</f>
        <v>0.92849999999999999</v>
      </c>
      <c r="K490" s="18" cm="1">
        <f t="array" ref="K490">INDEX('Limit raise'!$A:$O,
MATCH(1,('Limit raise'!$A:$A=$C490)*('Limit raise'!$D:$D=K$16), 0),
MATCH(K$17,'Limit raise'!$1:$1,0))</f>
        <v>0.85641642813773955</v>
      </c>
      <c r="L490" s="18">
        <f>INDEX('Limit raise'!$A:$O,
MATCH($C490, 'Limit raise'!$A:$A, 0),
MATCH(L$17,'Limit raise'!$1:$1,0))</f>
        <v>8.7434771522065621E-2</v>
      </c>
      <c r="M490" s="18">
        <v>0.15</v>
      </c>
      <c r="N490" s="18"/>
      <c r="O490"/>
      <c r="P490" s="1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</row>
    <row r="491" spans="3:37" s="13" customFormat="1" ht="7.2" customHeight="1" x14ac:dyDescent="0.3">
      <c r="C491" s="17">
        <v>473</v>
      </c>
      <c r="D491" s="18" cm="1">
        <f t="array" ref="D491">INDEX('New credit'!$A:$O,
MATCH(1,('New credit'!$A:$A=$C491)*('New credit'!$D:$D=D$16), 0),
MATCH(D$17,'New credit'!$1:$1,0))</f>
        <v>0.61428571428571432</v>
      </c>
      <c r="E491" s="18" cm="1">
        <f t="array" ref="E491">INDEX('New credit'!$A:$O,
MATCH(1,('New credit'!$A:$A=$C491)*('New credit'!$D:$D=E$16), 0),
MATCH(E$17,'New credit'!$1:$1,0))</f>
        <v>0.88807692307692321</v>
      </c>
      <c r="F491" s="18" cm="1">
        <f t="array" ref="F491">INDEX('New credit'!$A:$O,
MATCH(1,('New credit'!$A:$A=$C491)*('New credit'!$D:$D=F$16), 0),
MATCH(F$17,'New credit'!$1:$1,0))</f>
        <v>0.91124400794513261</v>
      </c>
      <c r="G491" s="18">
        <f>INDEX('New credit'!$A:$O,
MATCH($C491, 'New credit'!$A:$A, 0),
MATCH(G$17, 'New credit'!$1:$1, 0))</f>
        <v>1</v>
      </c>
      <c r="H491" s="18">
        <v>0.15</v>
      </c>
      <c r="I491" s="18" cm="1">
        <f t="array" ref="I491">INDEX('Limit raise'!$A:$O,
MATCH(1,('Limit raise'!$A:$A=$C491)*('Limit raise'!$D:$D=I$16), 0),
MATCH(I$17,'Limit raise'!$1:$1,0))</f>
        <v>0.7142857142857143</v>
      </c>
      <c r="J491" s="18" cm="1">
        <f t="array" ref="J491">INDEX('Limit raise'!$A:$O,
MATCH(1,('Limit raise'!$A:$A=$C491)*('Limit raise'!$D:$D=J$16), 0),
MATCH(J$17,'Limit raise'!$1:$1,0))</f>
        <v>0.92949999999999999</v>
      </c>
      <c r="K491" s="18" cm="1">
        <f t="array" ref="K491">INDEX('Limit raise'!$A:$O,
MATCH(1,('Limit raise'!$A:$A=$C491)*('Limit raise'!$D:$D=K$16), 0),
MATCH(K$17,'Limit raise'!$1:$1,0))</f>
        <v>0.83264391151715089</v>
      </c>
      <c r="L491" s="18">
        <f>INDEX('Limit raise'!$A:$O,
MATCH($C491, 'Limit raise'!$A:$A, 0),
MATCH(L$17,'Limit raise'!$1:$1,0))</f>
        <v>0.1000605817388838</v>
      </c>
      <c r="M491" s="18">
        <v>0.15</v>
      </c>
      <c r="N491" s="18"/>
      <c r="O491"/>
      <c r="P491" s="10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</row>
    <row r="492" spans="3:37" s="13" customFormat="1" ht="7.2" customHeight="1" x14ac:dyDescent="0.3">
      <c r="C492" s="17">
        <v>474</v>
      </c>
      <c r="D492" s="18" cm="1">
        <f t="array" ref="D492">INDEX('New credit'!$A:$O,
MATCH(1,('New credit'!$A:$A=$C492)*('New credit'!$D:$D=D$16), 0),
MATCH(D$17,'New credit'!$1:$1,0))</f>
        <v>0.6376811594202898</v>
      </c>
      <c r="E492" s="18" cm="1">
        <f t="array" ref="E492">INDEX('New credit'!$A:$O,
MATCH(1,('New credit'!$A:$A=$C492)*('New credit'!$D:$D=E$16), 0),
MATCH(E$17,'New credit'!$1:$1,0))</f>
        <v>0.88400000000000001</v>
      </c>
      <c r="F492" s="18" cm="1">
        <f t="array" ref="F492">INDEX('New credit'!$A:$O,
MATCH(1,('New credit'!$A:$A=$C492)*('New credit'!$D:$D=F$16), 0),
MATCH(F$17,'New credit'!$1:$1,0))</f>
        <v>0.71030316929751547</v>
      </c>
      <c r="G492" s="18">
        <f>INDEX('New credit'!$A:$O,
MATCH($C492, 'New credit'!$A:$A, 0),
MATCH(G$17, 'New credit'!$1:$1, 0))</f>
        <v>9.9647234808597579E-2</v>
      </c>
      <c r="H492" s="18">
        <v>0.15</v>
      </c>
      <c r="I492" s="18" cm="1">
        <f t="array" ref="I492">INDEX('Limit raise'!$A:$O,
MATCH(1,('Limit raise'!$A:$A=$C492)*('Limit raise'!$D:$D=I$16), 0),
MATCH(I$17,'Limit raise'!$1:$1,0))</f>
        <v>0.7142857142857143</v>
      </c>
      <c r="J492" s="18" cm="1">
        <f t="array" ref="J492">INDEX('Limit raise'!$A:$O,
MATCH(1,('Limit raise'!$A:$A=$C492)*('Limit raise'!$D:$D=J$16), 0),
MATCH(J$17,'Limit raise'!$1:$1,0))</f>
        <v>0.9319047619047619</v>
      </c>
      <c r="K492" s="18" cm="1">
        <f t="array" ref="K492">INDEX('Limit raise'!$A:$O,
MATCH(1,('Limit raise'!$A:$A=$C492)*('Limit raise'!$D:$D=K$16), 0),
MATCH(K$17,'Limit raise'!$1:$1,0))</f>
        <v>0.83403988217965142</v>
      </c>
      <c r="L492" s="18">
        <f>INDEX('Limit raise'!$A:$O,
MATCH($C492, 'Limit raise'!$A:$A, 0),
MATCH(L$17,'Limit raise'!$1:$1,0))</f>
        <v>0.11127444825055841</v>
      </c>
      <c r="M492" s="18">
        <v>0.15</v>
      </c>
      <c r="N492" s="18"/>
      <c r="O492"/>
      <c r="P492" s="10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</row>
    <row r="493" spans="3:37" s="13" customFormat="1" ht="7.2" customHeight="1" x14ac:dyDescent="0.3">
      <c r="C493" s="17">
        <v>475</v>
      </c>
      <c r="D493" s="18" cm="1">
        <f t="array" ref="D493">INDEX('New credit'!$A:$O,
MATCH(1,('New credit'!$A:$A=$C493)*('New credit'!$D:$D=D$16), 0),
MATCH(D$17,'New credit'!$1:$1,0))</f>
        <v>0.6875</v>
      </c>
      <c r="E493" s="18" cm="1">
        <f t="array" ref="E493">INDEX('New credit'!$A:$O,
MATCH(1,('New credit'!$A:$A=$C493)*('New credit'!$D:$D=E$16), 0),
MATCH(E$17,'New credit'!$1:$1,0))</f>
        <v>0.8859999999999999</v>
      </c>
      <c r="F493" s="18" cm="1">
        <f t="array" ref="F493">INDEX('New credit'!$A:$O,
MATCH(1,('New credit'!$A:$A=$C493)*('New credit'!$D:$D=F$16), 0),
MATCH(F$17,'New credit'!$1:$1,0))</f>
        <v>1</v>
      </c>
      <c r="G493" s="18">
        <f>INDEX('New credit'!$A:$O,
MATCH($C493, 'New credit'!$A:$A, 0),
MATCH(G$17, 'New credit'!$1:$1, 0))</f>
        <v>1</v>
      </c>
      <c r="H493" s="18">
        <v>0.15</v>
      </c>
      <c r="I493" s="18" cm="1">
        <f t="array" ref="I493">INDEX('Limit raise'!$A:$O,
MATCH(1,('Limit raise'!$A:$A=$C493)*('Limit raise'!$D:$D=I$16), 0),
MATCH(I$17,'Limit raise'!$1:$1,0))</f>
        <v>0.71875</v>
      </c>
      <c r="J493" s="18" cm="1">
        <f t="array" ref="J493">INDEX('Limit raise'!$A:$O,
MATCH(1,('Limit raise'!$A:$A=$C493)*('Limit raise'!$D:$D=J$16), 0),
MATCH(J$17,'Limit raise'!$1:$1,0))</f>
        <v>0.93238095238095242</v>
      </c>
      <c r="K493" s="18" cm="1">
        <f t="array" ref="K493">INDEX('Limit raise'!$A:$O,
MATCH(1,('Limit raise'!$A:$A=$C493)*('Limit raise'!$D:$D=K$16), 0),
MATCH(K$17,'Limit raise'!$1:$1,0))</f>
        <v>0.82955615476801925</v>
      </c>
      <c r="L493" s="18">
        <f>INDEX('Limit raise'!$A:$O,
MATCH($C493, 'Limit raise'!$A:$A, 0),
MATCH(L$17,'Limit raise'!$1:$1,0))</f>
        <v>0.12074718276390629</v>
      </c>
      <c r="M493" s="18">
        <v>0.15</v>
      </c>
      <c r="N493" s="18"/>
      <c r="O493"/>
      <c r="P493" s="10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</row>
    <row r="498" spans="2:2" ht="17.399999999999999" x14ac:dyDescent="0.3">
      <c r="B498" s="9" t="s">
        <v>232</v>
      </c>
    </row>
  </sheetData>
  <autoFilter ref="C17:F493" xr:uid="{B44B78A1-560F-4E87-85E1-B1102A35101F}"/>
  <mergeCells count="12">
    <mergeCell ref="Q139:Q141"/>
    <mergeCell ref="Q142:Q144"/>
    <mergeCell ref="Q145:Q147"/>
    <mergeCell ref="Q130:Q132"/>
    <mergeCell ref="Q133:Q135"/>
    <mergeCell ref="Q136:Q138"/>
    <mergeCell ref="P130:P132"/>
    <mergeCell ref="P133:P135"/>
    <mergeCell ref="P136:P138"/>
    <mergeCell ref="P139:P141"/>
    <mergeCell ref="P142:P144"/>
    <mergeCell ref="P145:P14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DD11-C24B-4923-BB9C-F9584B24937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26"/>
  <sheetViews>
    <sheetView workbookViewId="0">
      <selection activeCell="F7" sqref="F7"/>
    </sheetView>
  </sheetViews>
  <sheetFormatPr defaultRowHeight="12" x14ac:dyDescent="0.3"/>
  <cols>
    <col min="1" max="1" width="11.21875" style="4" bestFit="1" customWidth="1"/>
    <col min="2" max="2" width="12.77734375" style="4" bestFit="1" customWidth="1"/>
    <col min="3" max="3" width="9.33203125" style="4" bestFit="1" customWidth="1"/>
    <col min="4" max="4" width="10.77734375" style="4" bestFit="1" customWidth="1"/>
    <col min="5" max="5" width="8.5546875" style="4" bestFit="1" customWidth="1"/>
    <col min="6" max="6" width="8.21875" style="4" bestFit="1" customWidth="1"/>
    <col min="7" max="7" width="16.109375" style="5" bestFit="1" customWidth="1"/>
    <col min="8" max="8" width="16.6640625" style="5" bestFit="1" customWidth="1"/>
    <col min="9" max="9" width="21.88671875" style="5" bestFit="1" customWidth="1"/>
    <col min="10" max="10" width="14.21875" style="6" bestFit="1" customWidth="1"/>
    <col min="11" max="12" width="16.21875" style="6" bestFit="1" customWidth="1"/>
    <col min="13" max="13" width="14.88671875" style="4" bestFit="1" customWidth="1"/>
    <col min="14" max="14" width="16.33203125" style="4" bestFit="1" customWidth="1"/>
    <col min="15" max="15" width="11.5546875" style="4" bestFit="1" customWidth="1"/>
    <col min="16" max="16384" width="8.88671875" style="4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4">
        <v>1</v>
      </c>
      <c r="B2" s="4">
        <v>1000</v>
      </c>
      <c r="C2" s="4" t="s">
        <v>163</v>
      </c>
      <c r="D2" s="4" t="s">
        <v>16</v>
      </c>
      <c r="E2" s="4" t="s">
        <v>17</v>
      </c>
      <c r="F2" s="4" t="s">
        <v>18</v>
      </c>
      <c r="G2" s="5">
        <v>0.1</v>
      </c>
      <c r="H2" s="5">
        <v>0.4</v>
      </c>
      <c r="I2" s="5">
        <v>0.05</v>
      </c>
      <c r="J2" s="6">
        <v>1</v>
      </c>
      <c r="K2" s="6">
        <v>0.91500000000000004</v>
      </c>
      <c r="L2" s="6">
        <v>0.33333333333333343</v>
      </c>
      <c r="M2" s="4" t="s">
        <v>19</v>
      </c>
      <c r="N2" s="4">
        <v>1</v>
      </c>
      <c r="O2" s="4">
        <v>1</v>
      </c>
    </row>
    <row r="3" spans="1:15" x14ac:dyDescent="0.3">
      <c r="A3" s="4">
        <v>2</v>
      </c>
      <c r="B3" s="4">
        <v>2000</v>
      </c>
      <c r="C3" s="4" t="s">
        <v>163</v>
      </c>
      <c r="D3" s="4" t="s">
        <v>16</v>
      </c>
      <c r="E3" s="4" t="s">
        <v>17</v>
      </c>
      <c r="F3" s="4" t="s">
        <v>18</v>
      </c>
      <c r="G3" s="5">
        <v>0.1</v>
      </c>
      <c r="H3" s="5">
        <v>0.4</v>
      </c>
      <c r="I3" s="5">
        <v>0.05</v>
      </c>
      <c r="J3" s="6">
        <v>0.76923076923076927</v>
      </c>
      <c r="K3" s="6">
        <v>0.876</v>
      </c>
      <c r="L3" s="6">
        <v>0.3</v>
      </c>
      <c r="M3" s="4" t="s">
        <v>19</v>
      </c>
      <c r="N3" s="4">
        <v>1</v>
      </c>
      <c r="O3" s="4">
        <v>1</v>
      </c>
    </row>
    <row r="4" spans="1:15" x14ac:dyDescent="0.3">
      <c r="A4" s="4">
        <v>3</v>
      </c>
      <c r="B4" s="4">
        <v>3000</v>
      </c>
      <c r="C4" s="4" t="s">
        <v>163</v>
      </c>
      <c r="D4" s="4" t="s">
        <v>16</v>
      </c>
      <c r="E4" s="4" t="s">
        <v>17</v>
      </c>
      <c r="F4" s="4" t="s">
        <v>18</v>
      </c>
      <c r="G4" s="5">
        <v>0.1</v>
      </c>
      <c r="H4" s="5">
        <v>0.4</v>
      </c>
      <c r="I4" s="5">
        <v>0.05</v>
      </c>
      <c r="J4" s="6">
        <v>0.8</v>
      </c>
      <c r="K4" s="6">
        <v>0.83666666666666656</v>
      </c>
      <c r="L4" s="6">
        <v>0.6785714285714286</v>
      </c>
      <c r="M4" s="4" t="s">
        <v>24</v>
      </c>
      <c r="N4" s="4">
        <v>7.2796843074874801E-2</v>
      </c>
      <c r="O4" s="4">
        <v>0</v>
      </c>
    </row>
    <row r="5" spans="1:15" x14ac:dyDescent="0.3">
      <c r="A5" s="4">
        <v>4</v>
      </c>
      <c r="B5" s="4">
        <v>4000</v>
      </c>
      <c r="C5" s="4" t="s">
        <v>163</v>
      </c>
      <c r="D5" s="4" t="s">
        <v>16</v>
      </c>
      <c r="E5" s="4" t="s">
        <v>17</v>
      </c>
      <c r="F5" s="4" t="s">
        <v>18</v>
      </c>
      <c r="G5" s="5">
        <v>0.1</v>
      </c>
      <c r="H5" s="5">
        <v>0.4</v>
      </c>
      <c r="I5" s="5">
        <v>0.05</v>
      </c>
      <c r="J5" s="6">
        <v>0.84615384615384615</v>
      </c>
      <c r="K5" s="6">
        <v>0.71636363636363631</v>
      </c>
      <c r="L5" s="6">
        <v>0.8095751231527093</v>
      </c>
      <c r="M5" s="4" t="s">
        <v>19</v>
      </c>
      <c r="N5" s="4">
        <v>1</v>
      </c>
      <c r="O5" s="4">
        <v>1</v>
      </c>
    </row>
    <row r="6" spans="1:15" x14ac:dyDescent="0.3">
      <c r="A6" s="4">
        <v>5</v>
      </c>
      <c r="B6" s="4">
        <v>5000</v>
      </c>
      <c r="C6" s="4" t="s">
        <v>163</v>
      </c>
      <c r="D6" s="4" t="s">
        <v>16</v>
      </c>
      <c r="E6" s="4" t="s">
        <v>17</v>
      </c>
      <c r="F6" s="4" t="s">
        <v>18</v>
      </c>
      <c r="G6" s="5">
        <v>0.1</v>
      </c>
      <c r="H6" s="5">
        <v>0.4</v>
      </c>
      <c r="I6" s="5">
        <v>0.05</v>
      </c>
      <c r="J6" s="6">
        <v>0.8571428571428571</v>
      </c>
      <c r="K6" s="6">
        <v>0.73583333333333345</v>
      </c>
      <c r="L6" s="6">
        <v>0.64534428794992171</v>
      </c>
      <c r="M6" s="4" t="s">
        <v>19</v>
      </c>
      <c r="N6" s="4">
        <v>1</v>
      </c>
      <c r="O6" s="4">
        <v>1</v>
      </c>
    </row>
    <row r="7" spans="1:15" x14ac:dyDescent="0.3">
      <c r="A7" s="4">
        <v>6</v>
      </c>
      <c r="B7" s="4">
        <v>6000</v>
      </c>
      <c r="C7" s="4" t="s">
        <v>163</v>
      </c>
      <c r="D7" s="4" t="s">
        <v>16</v>
      </c>
      <c r="E7" s="4" t="s">
        <v>17</v>
      </c>
      <c r="F7" s="4" t="s">
        <v>18</v>
      </c>
      <c r="G7" s="5">
        <v>0.1</v>
      </c>
      <c r="H7" s="5">
        <v>0.4</v>
      </c>
      <c r="I7" s="5">
        <v>0.05</v>
      </c>
      <c r="J7" s="6">
        <v>0.875</v>
      </c>
      <c r="K7" s="6">
        <v>0.73428571428571432</v>
      </c>
      <c r="L7" s="6">
        <v>0.65448364305071627</v>
      </c>
      <c r="M7" s="4" t="s">
        <v>19</v>
      </c>
      <c r="N7" s="4">
        <v>1</v>
      </c>
      <c r="O7" s="4">
        <v>1</v>
      </c>
    </row>
    <row r="8" spans="1:15" x14ac:dyDescent="0.3">
      <c r="A8" s="4">
        <v>7</v>
      </c>
      <c r="B8" s="4">
        <v>7000</v>
      </c>
      <c r="C8" s="4" t="s">
        <v>163</v>
      </c>
      <c r="D8" s="4" t="s">
        <v>16</v>
      </c>
      <c r="E8" s="4" t="s">
        <v>17</v>
      </c>
      <c r="F8" s="4" t="s">
        <v>18</v>
      </c>
      <c r="G8" s="5">
        <v>0.1</v>
      </c>
      <c r="H8" s="5">
        <v>0.4</v>
      </c>
      <c r="I8" s="5">
        <v>0.05</v>
      </c>
      <c r="J8" s="6">
        <v>0.87878787878787878</v>
      </c>
      <c r="K8" s="6">
        <v>0.73620689655172411</v>
      </c>
      <c r="L8" s="6">
        <v>0.58969520131284836</v>
      </c>
      <c r="M8" s="4" t="s">
        <v>164</v>
      </c>
      <c r="N8" s="4">
        <v>5.2925159318655567E-2</v>
      </c>
      <c r="O8" s="4">
        <v>0</v>
      </c>
    </row>
    <row r="9" spans="1:15" x14ac:dyDescent="0.3">
      <c r="A9" s="4">
        <v>8</v>
      </c>
      <c r="B9" s="4">
        <v>8000</v>
      </c>
      <c r="C9" s="4" t="s">
        <v>163</v>
      </c>
      <c r="D9" s="4" t="s">
        <v>16</v>
      </c>
      <c r="E9" s="4" t="s">
        <v>17</v>
      </c>
      <c r="F9" s="4" t="s">
        <v>18</v>
      </c>
      <c r="G9" s="5">
        <v>0.1</v>
      </c>
      <c r="H9" s="5">
        <v>0.4</v>
      </c>
      <c r="I9" s="5">
        <v>0.05</v>
      </c>
      <c r="J9" s="6">
        <v>0.83333333333333337</v>
      </c>
      <c r="K9" s="6">
        <v>0.75333333333333352</v>
      </c>
      <c r="L9" s="6">
        <v>0.63616975130133024</v>
      </c>
      <c r="M9" s="4" t="s">
        <v>73</v>
      </c>
      <c r="N9" s="4">
        <v>9.193652061042823E-2</v>
      </c>
      <c r="O9" s="4">
        <v>0</v>
      </c>
    </row>
    <row r="10" spans="1:15" x14ac:dyDescent="0.3">
      <c r="A10" s="4">
        <v>9</v>
      </c>
      <c r="B10" s="4">
        <v>9000</v>
      </c>
      <c r="C10" s="4" t="s">
        <v>163</v>
      </c>
      <c r="D10" s="4" t="s">
        <v>16</v>
      </c>
      <c r="E10" s="4" t="s">
        <v>17</v>
      </c>
      <c r="F10" s="4" t="s">
        <v>18</v>
      </c>
      <c r="G10" s="5">
        <v>0.1</v>
      </c>
      <c r="H10" s="5">
        <v>0.4</v>
      </c>
      <c r="I10" s="5">
        <v>0.05</v>
      </c>
      <c r="J10" s="6">
        <v>0.8</v>
      </c>
      <c r="K10" s="6">
        <v>0.76937500000000003</v>
      </c>
      <c r="L10" s="6">
        <v>0.6459061814246877</v>
      </c>
      <c r="M10" s="4" t="s">
        <v>54</v>
      </c>
      <c r="N10" s="4">
        <v>0.13823650851250441</v>
      </c>
      <c r="O10" s="4">
        <v>0</v>
      </c>
    </row>
    <row r="11" spans="1:15" x14ac:dyDescent="0.3">
      <c r="A11" s="4">
        <v>10</v>
      </c>
      <c r="B11" s="4">
        <v>10000</v>
      </c>
      <c r="C11" s="4" t="s">
        <v>163</v>
      </c>
      <c r="D11" s="4" t="s">
        <v>16</v>
      </c>
      <c r="E11" s="4" t="s">
        <v>17</v>
      </c>
      <c r="F11" s="4" t="s">
        <v>18</v>
      </c>
      <c r="G11" s="5">
        <v>0.1</v>
      </c>
      <c r="H11" s="5">
        <v>0.4</v>
      </c>
      <c r="I11" s="5">
        <v>0.05</v>
      </c>
      <c r="J11" s="6">
        <v>0.8</v>
      </c>
      <c r="K11" s="6">
        <v>0.74250000000000016</v>
      </c>
      <c r="L11" s="6">
        <v>0.64659741208215116</v>
      </c>
      <c r="M11" s="4" t="s">
        <v>19</v>
      </c>
      <c r="N11" s="4">
        <v>1</v>
      </c>
      <c r="O11" s="4">
        <v>1</v>
      </c>
    </row>
    <row r="12" spans="1:15" x14ac:dyDescent="0.3">
      <c r="A12" s="4">
        <v>11</v>
      </c>
      <c r="B12" s="4">
        <v>11000</v>
      </c>
      <c r="C12" s="4" t="s">
        <v>163</v>
      </c>
      <c r="D12" s="4" t="s">
        <v>16</v>
      </c>
      <c r="E12" s="4" t="s">
        <v>17</v>
      </c>
      <c r="F12" s="4" t="s">
        <v>18</v>
      </c>
      <c r="G12" s="5">
        <v>0.1</v>
      </c>
      <c r="H12" s="5">
        <v>0.4</v>
      </c>
      <c r="I12" s="5">
        <v>0.05</v>
      </c>
      <c r="J12" s="6">
        <v>0.77777777777777779</v>
      </c>
      <c r="K12" s="6">
        <v>0.76571428571428568</v>
      </c>
      <c r="L12" s="6">
        <v>0.59599440621241662</v>
      </c>
      <c r="M12" s="4" t="s">
        <v>165</v>
      </c>
      <c r="N12" s="4">
        <v>3.3579259577835252E-2</v>
      </c>
      <c r="O12" s="4">
        <v>0</v>
      </c>
    </row>
    <row r="13" spans="1:15" x14ac:dyDescent="0.3">
      <c r="A13" s="4">
        <v>12</v>
      </c>
      <c r="B13" s="4">
        <v>12000</v>
      </c>
      <c r="C13" s="4" t="s">
        <v>163</v>
      </c>
      <c r="D13" s="4" t="s">
        <v>16</v>
      </c>
      <c r="E13" s="4" t="s">
        <v>17</v>
      </c>
      <c r="F13" s="4" t="s">
        <v>18</v>
      </c>
      <c r="G13" s="5">
        <v>0.1</v>
      </c>
      <c r="H13" s="5">
        <v>0.4</v>
      </c>
      <c r="I13" s="5">
        <v>0.05</v>
      </c>
      <c r="J13" s="6">
        <v>0.80851063829787229</v>
      </c>
      <c r="K13" s="6">
        <v>0.74210526315789471</v>
      </c>
      <c r="L13" s="6">
        <v>0.57611859897680862</v>
      </c>
      <c r="M13" s="4" t="s">
        <v>57</v>
      </c>
      <c r="N13" s="4">
        <v>5.3835211445127248E-2</v>
      </c>
      <c r="O13" s="4">
        <v>0</v>
      </c>
    </row>
    <row r="14" spans="1:15" x14ac:dyDescent="0.3">
      <c r="A14" s="4">
        <v>13</v>
      </c>
      <c r="B14" s="4">
        <v>13000</v>
      </c>
      <c r="C14" s="4" t="s">
        <v>163</v>
      </c>
      <c r="D14" s="4" t="s">
        <v>16</v>
      </c>
      <c r="E14" s="4" t="s">
        <v>17</v>
      </c>
      <c r="F14" s="4" t="s">
        <v>18</v>
      </c>
      <c r="G14" s="5">
        <v>0.1</v>
      </c>
      <c r="H14" s="5">
        <v>0.4</v>
      </c>
      <c r="I14" s="5">
        <v>0.05</v>
      </c>
      <c r="J14" s="6">
        <v>0.80851063829787229</v>
      </c>
      <c r="K14" s="6">
        <v>0.74868421052631584</v>
      </c>
      <c r="L14" s="6">
        <v>0.56726729244868868</v>
      </c>
      <c r="M14" s="4" t="s">
        <v>128</v>
      </c>
      <c r="N14" s="4">
        <v>7.1311311464680144E-2</v>
      </c>
      <c r="O14" s="4">
        <v>0</v>
      </c>
    </row>
    <row r="15" spans="1:15" x14ac:dyDescent="0.3">
      <c r="A15" s="4">
        <v>14</v>
      </c>
      <c r="B15" s="4">
        <v>14000</v>
      </c>
      <c r="C15" s="4" t="s">
        <v>163</v>
      </c>
      <c r="D15" s="4" t="s">
        <v>16</v>
      </c>
      <c r="E15" s="4" t="s">
        <v>17</v>
      </c>
      <c r="F15" s="4" t="s">
        <v>18</v>
      </c>
      <c r="G15" s="5">
        <v>0.1</v>
      </c>
      <c r="H15" s="5">
        <v>0.4</v>
      </c>
      <c r="I15" s="5">
        <v>0.05</v>
      </c>
      <c r="J15" s="6">
        <v>0.80851063829787229</v>
      </c>
      <c r="K15" s="6">
        <v>0.755</v>
      </c>
      <c r="L15" s="6">
        <v>0.61140167070251794</v>
      </c>
      <c r="M15" s="4" t="s">
        <v>106</v>
      </c>
      <c r="N15" s="4">
        <v>8.2218596398275848E-2</v>
      </c>
      <c r="O15" s="4">
        <v>0</v>
      </c>
    </row>
    <row r="16" spans="1:15" x14ac:dyDescent="0.3">
      <c r="A16" s="4">
        <v>15</v>
      </c>
      <c r="B16" s="4">
        <v>15000</v>
      </c>
      <c r="C16" s="4" t="s">
        <v>163</v>
      </c>
      <c r="D16" s="4" t="s">
        <v>16</v>
      </c>
      <c r="E16" s="4" t="s">
        <v>17</v>
      </c>
      <c r="F16" s="4" t="s">
        <v>18</v>
      </c>
      <c r="G16" s="5">
        <v>0.1</v>
      </c>
      <c r="H16" s="5">
        <v>0.4</v>
      </c>
      <c r="I16" s="5">
        <v>0.05</v>
      </c>
      <c r="J16" s="6">
        <v>0.78723404255319152</v>
      </c>
      <c r="K16" s="6">
        <v>0.7651351351351352</v>
      </c>
      <c r="L16" s="6">
        <v>0.58642858138698439</v>
      </c>
      <c r="M16" s="4" t="s">
        <v>22</v>
      </c>
      <c r="N16" s="4">
        <v>9.4454159949271144E-2</v>
      </c>
      <c r="O16" s="4">
        <v>0</v>
      </c>
    </row>
    <row r="17" spans="1:15" x14ac:dyDescent="0.3">
      <c r="A17" s="4">
        <v>16</v>
      </c>
      <c r="B17" s="4">
        <v>16000</v>
      </c>
      <c r="C17" s="4" t="s">
        <v>163</v>
      </c>
      <c r="D17" s="4" t="s">
        <v>16</v>
      </c>
      <c r="E17" s="4" t="s">
        <v>17</v>
      </c>
      <c r="F17" s="4" t="s">
        <v>18</v>
      </c>
      <c r="G17" s="5">
        <v>0.1</v>
      </c>
      <c r="H17" s="5">
        <v>0.4</v>
      </c>
      <c r="I17" s="5">
        <v>0.05</v>
      </c>
      <c r="J17" s="6">
        <v>0.82978723404255317</v>
      </c>
      <c r="K17" s="6">
        <v>0.77923076923076917</v>
      </c>
      <c r="L17" s="6">
        <v>0.58646593081954568</v>
      </c>
      <c r="M17" s="4" t="s">
        <v>99</v>
      </c>
      <c r="N17" s="4">
        <v>0.1028607278457052</v>
      </c>
      <c r="O17" s="4">
        <v>0</v>
      </c>
    </row>
    <row r="18" spans="1:15" x14ac:dyDescent="0.3">
      <c r="A18" s="4">
        <v>17</v>
      </c>
      <c r="B18" s="4">
        <v>17000</v>
      </c>
      <c r="C18" s="4" t="s">
        <v>163</v>
      </c>
      <c r="D18" s="4" t="s">
        <v>16</v>
      </c>
      <c r="E18" s="4" t="s">
        <v>17</v>
      </c>
      <c r="F18" s="4" t="s">
        <v>18</v>
      </c>
      <c r="G18" s="5">
        <v>0.1</v>
      </c>
      <c r="H18" s="5">
        <v>0.4</v>
      </c>
      <c r="I18" s="5">
        <v>0.05</v>
      </c>
      <c r="J18" s="6">
        <v>0.78723404255319152</v>
      </c>
      <c r="K18" s="6">
        <v>0.78432432432432431</v>
      </c>
      <c r="L18" s="6">
        <v>0.5877822823541784</v>
      </c>
      <c r="M18" s="4" t="s">
        <v>63</v>
      </c>
      <c r="N18" s="4">
        <v>0.11098516629180161</v>
      </c>
      <c r="O18" s="4">
        <v>0</v>
      </c>
    </row>
    <row r="19" spans="1:15" x14ac:dyDescent="0.3">
      <c r="A19" s="4">
        <v>18</v>
      </c>
      <c r="B19" s="4">
        <v>18000</v>
      </c>
      <c r="C19" s="4" t="s">
        <v>163</v>
      </c>
      <c r="D19" s="4" t="s">
        <v>16</v>
      </c>
      <c r="E19" s="4" t="s">
        <v>17</v>
      </c>
      <c r="F19" s="4" t="s">
        <v>18</v>
      </c>
      <c r="G19" s="5">
        <v>0.1</v>
      </c>
      <c r="H19" s="5">
        <v>0.4</v>
      </c>
      <c r="I19" s="5">
        <v>0.05</v>
      </c>
      <c r="J19" s="6">
        <v>0.78723404255319152</v>
      </c>
      <c r="K19" s="6">
        <v>0.7867567567567566</v>
      </c>
      <c r="L19" s="6">
        <v>0.58685005112615785</v>
      </c>
      <c r="M19" s="4" t="s">
        <v>136</v>
      </c>
      <c r="N19" s="4">
        <v>0.10588907738044839</v>
      </c>
      <c r="O19" s="4">
        <v>0</v>
      </c>
    </row>
    <row r="20" spans="1:15" x14ac:dyDescent="0.3">
      <c r="A20" s="4">
        <v>19</v>
      </c>
      <c r="B20" s="4">
        <v>19000</v>
      </c>
      <c r="C20" s="4" t="s">
        <v>163</v>
      </c>
      <c r="D20" s="4" t="s">
        <v>16</v>
      </c>
      <c r="E20" s="4" t="s">
        <v>17</v>
      </c>
      <c r="F20" s="4" t="s">
        <v>18</v>
      </c>
      <c r="G20" s="5">
        <v>0.1</v>
      </c>
      <c r="H20" s="5">
        <v>0.4</v>
      </c>
      <c r="I20" s="5">
        <v>0.05</v>
      </c>
      <c r="J20" s="6">
        <v>0.78723404255319152</v>
      </c>
      <c r="K20" s="6">
        <v>0.78729729729729725</v>
      </c>
      <c r="L20" s="6">
        <v>0.60274875944304707</v>
      </c>
      <c r="M20" s="4" t="s">
        <v>47</v>
      </c>
      <c r="N20" s="4">
        <v>0.10760280143907409</v>
      </c>
      <c r="O20" s="4">
        <v>0</v>
      </c>
    </row>
    <row r="21" spans="1:15" x14ac:dyDescent="0.3">
      <c r="A21" s="4">
        <v>20</v>
      </c>
      <c r="B21" s="4">
        <v>20000</v>
      </c>
      <c r="C21" s="4" t="s">
        <v>163</v>
      </c>
      <c r="D21" s="4" t="s">
        <v>16</v>
      </c>
      <c r="E21" s="4" t="s">
        <v>17</v>
      </c>
      <c r="F21" s="4" t="s">
        <v>18</v>
      </c>
      <c r="G21" s="5">
        <v>0.1</v>
      </c>
      <c r="H21" s="5">
        <v>0.4</v>
      </c>
      <c r="I21" s="5">
        <v>0.05</v>
      </c>
      <c r="J21" s="6">
        <v>0.77551020408163263</v>
      </c>
      <c r="K21" s="6">
        <v>0.78078947368421048</v>
      </c>
      <c r="L21" s="6">
        <v>0.60066182536133939</v>
      </c>
      <c r="M21" s="4" t="s">
        <v>19</v>
      </c>
      <c r="N21" s="4">
        <v>1</v>
      </c>
      <c r="O21" s="4">
        <v>1</v>
      </c>
    </row>
    <row r="22" spans="1:15" x14ac:dyDescent="0.3">
      <c r="A22" s="4">
        <v>21</v>
      </c>
      <c r="B22" s="4">
        <v>21000</v>
      </c>
      <c r="C22" s="4" t="s">
        <v>163</v>
      </c>
      <c r="D22" s="4" t="s">
        <v>16</v>
      </c>
      <c r="E22" s="4" t="s">
        <v>17</v>
      </c>
      <c r="F22" s="4" t="s">
        <v>18</v>
      </c>
      <c r="G22" s="5">
        <v>0.1</v>
      </c>
      <c r="H22" s="5">
        <v>0.4</v>
      </c>
      <c r="I22" s="5">
        <v>0.05</v>
      </c>
      <c r="J22" s="6">
        <v>0.79591836734693877</v>
      </c>
      <c r="K22" s="6">
        <v>0.79230769230769216</v>
      </c>
      <c r="L22" s="6">
        <v>0.61983117649476871</v>
      </c>
      <c r="M22" s="4" t="s">
        <v>166</v>
      </c>
      <c r="N22" s="4">
        <v>2.0146139964668779E-2</v>
      </c>
      <c r="O22" s="4">
        <v>0</v>
      </c>
    </row>
    <row r="23" spans="1:15" x14ac:dyDescent="0.3">
      <c r="A23" s="4">
        <v>22</v>
      </c>
      <c r="B23" s="4">
        <v>22000</v>
      </c>
      <c r="C23" s="4" t="s">
        <v>163</v>
      </c>
      <c r="D23" s="4" t="s">
        <v>16</v>
      </c>
      <c r="E23" s="4" t="s">
        <v>17</v>
      </c>
      <c r="F23" s="4" t="s">
        <v>18</v>
      </c>
      <c r="G23" s="5">
        <v>0.1</v>
      </c>
      <c r="H23" s="5">
        <v>0.4</v>
      </c>
      <c r="I23" s="5">
        <v>0.05</v>
      </c>
      <c r="J23" s="6">
        <v>0.76</v>
      </c>
      <c r="K23" s="6">
        <v>0.79631578947368409</v>
      </c>
      <c r="L23" s="6">
        <v>0.57916027966524064</v>
      </c>
      <c r="M23" s="4" t="s">
        <v>167</v>
      </c>
      <c r="N23" s="4">
        <v>2.9682552189093971E-2</v>
      </c>
      <c r="O23" s="4">
        <v>0</v>
      </c>
    </row>
    <row r="24" spans="1:15" x14ac:dyDescent="0.3">
      <c r="A24" s="4">
        <v>23</v>
      </c>
      <c r="B24" s="4">
        <v>23000</v>
      </c>
      <c r="C24" s="4" t="s">
        <v>163</v>
      </c>
      <c r="D24" s="4" t="s">
        <v>16</v>
      </c>
      <c r="E24" s="4" t="s">
        <v>17</v>
      </c>
      <c r="F24" s="4" t="s">
        <v>18</v>
      </c>
      <c r="G24" s="5">
        <v>0.1</v>
      </c>
      <c r="H24" s="5">
        <v>0.4</v>
      </c>
      <c r="I24" s="5">
        <v>0.05</v>
      </c>
      <c r="J24" s="6">
        <v>0.78</v>
      </c>
      <c r="K24" s="6">
        <v>0.79897435897435876</v>
      </c>
      <c r="L24" s="6">
        <v>0.56009423843101869</v>
      </c>
      <c r="M24" s="4" t="s">
        <v>165</v>
      </c>
      <c r="N24" s="4">
        <v>3.4003378246744292E-2</v>
      </c>
      <c r="O24" s="4">
        <v>0</v>
      </c>
    </row>
    <row r="25" spans="1:15" x14ac:dyDescent="0.3">
      <c r="A25" s="4">
        <v>24</v>
      </c>
      <c r="B25" s="4">
        <v>24000</v>
      </c>
      <c r="C25" s="4" t="s">
        <v>163</v>
      </c>
      <c r="D25" s="4" t="s">
        <v>16</v>
      </c>
      <c r="E25" s="4" t="s">
        <v>17</v>
      </c>
      <c r="F25" s="4" t="s">
        <v>18</v>
      </c>
      <c r="G25" s="5">
        <v>0.1</v>
      </c>
      <c r="H25" s="5">
        <v>0.4</v>
      </c>
      <c r="I25" s="5">
        <v>0.05</v>
      </c>
      <c r="J25" s="6">
        <v>0.75</v>
      </c>
      <c r="K25" s="6">
        <v>0.79692307692307673</v>
      </c>
      <c r="L25" s="6">
        <v>0.5598995989227169</v>
      </c>
      <c r="M25" s="4" t="s">
        <v>168</v>
      </c>
      <c r="N25" s="4">
        <v>4.3951330867887523E-2</v>
      </c>
      <c r="O25" s="4">
        <v>0</v>
      </c>
    </row>
    <row r="26" spans="1:15" x14ac:dyDescent="0.3">
      <c r="A26" s="4">
        <v>25</v>
      </c>
      <c r="B26" s="4">
        <v>25000</v>
      </c>
      <c r="C26" s="4" t="s">
        <v>163</v>
      </c>
      <c r="D26" s="4" t="s">
        <v>16</v>
      </c>
      <c r="E26" s="4" t="s">
        <v>17</v>
      </c>
      <c r="F26" s="4" t="s">
        <v>18</v>
      </c>
      <c r="G26" s="5">
        <v>0.1</v>
      </c>
      <c r="H26" s="5">
        <v>0.4</v>
      </c>
      <c r="I26" s="5">
        <v>0.05</v>
      </c>
      <c r="J26" s="6">
        <v>0.75</v>
      </c>
      <c r="K26" s="6">
        <v>0.80179487179487174</v>
      </c>
      <c r="L26" s="6">
        <v>0.55884251291913278</v>
      </c>
      <c r="M26" s="4" t="s">
        <v>164</v>
      </c>
      <c r="N26" s="4">
        <v>5.3083788332053718E-2</v>
      </c>
      <c r="O26" s="4">
        <v>0</v>
      </c>
    </row>
    <row r="27" spans="1:15" x14ac:dyDescent="0.3">
      <c r="A27" s="4">
        <v>26</v>
      </c>
      <c r="B27" s="4">
        <v>26000</v>
      </c>
      <c r="C27" s="4" t="s">
        <v>163</v>
      </c>
      <c r="D27" s="4" t="s">
        <v>16</v>
      </c>
      <c r="E27" s="4" t="s">
        <v>17</v>
      </c>
      <c r="F27" s="4" t="s">
        <v>18</v>
      </c>
      <c r="G27" s="5">
        <v>0.1</v>
      </c>
      <c r="H27" s="5">
        <v>0.4</v>
      </c>
      <c r="I27" s="5">
        <v>0.05</v>
      </c>
      <c r="J27" s="6">
        <v>0.74509803921568629</v>
      </c>
      <c r="K27" s="6">
        <v>0.80999999999999983</v>
      </c>
      <c r="L27" s="6">
        <v>0.5649901029723351</v>
      </c>
      <c r="M27" s="4" t="s">
        <v>169</v>
      </c>
      <c r="N27" s="4">
        <v>6.1283315932522758E-2</v>
      </c>
      <c r="O27" s="4">
        <v>0</v>
      </c>
    </row>
    <row r="28" spans="1:15" x14ac:dyDescent="0.3">
      <c r="A28" s="4">
        <v>27</v>
      </c>
      <c r="B28" s="4">
        <v>27000</v>
      </c>
      <c r="C28" s="4" t="s">
        <v>163</v>
      </c>
      <c r="D28" s="4" t="s">
        <v>16</v>
      </c>
      <c r="E28" s="4" t="s">
        <v>17</v>
      </c>
      <c r="F28" s="4" t="s">
        <v>18</v>
      </c>
      <c r="G28" s="5">
        <v>0.1</v>
      </c>
      <c r="H28" s="5">
        <v>0.4</v>
      </c>
      <c r="I28" s="5">
        <v>0.05</v>
      </c>
      <c r="J28" s="6">
        <v>0.73076923076923073</v>
      </c>
      <c r="K28" s="6">
        <v>0.80578947368421039</v>
      </c>
      <c r="L28" s="6">
        <v>0.59135302554897595</v>
      </c>
      <c r="M28" s="4" t="s">
        <v>152</v>
      </c>
      <c r="N28" s="4">
        <v>7.4728944812063672E-2</v>
      </c>
      <c r="O28" s="4">
        <v>0</v>
      </c>
    </row>
    <row r="29" spans="1:15" x14ac:dyDescent="0.3">
      <c r="A29" s="4">
        <v>28</v>
      </c>
      <c r="B29" s="4">
        <v>28000</v>
      </c>
      <c r="C29" s="4" t="s">
        <v>163</v>
      </c>
      <c r="D29" s="4" t="s">
        <v>16</v>
      </c>
      <c r="E29" s="4" t="s">
        <v>17</v>
      </c>
      <c r="F29" s="4" t="s">
        <v>18</v>
      </c>
      <c r="G29" s="5">
        <v>0.1</v>
      </c>
      <c r="H29" s="5">
        <v>0.4</v>
      </c>
      <c r="I29" s="5">
        <v>0.05</v>
      </c>
      <c r="J29" s="6">
        <v>0.69811320754716977</v>
      </c>
      <c r="K29" s="6">
        <v>0.80594594594594571</v>
      </c>
      <c r="L29" s="6">
        <v>0.54799607434122954</v>
      </c>
      <c r="M29" s="4" t="s">
        <v>170</v>
      </c>
      <c r="N29" s="4">
        <v>8.0572111748854841E-2</v>
      </c>
      <c r="O29" s="4">
        <v>0</v>
      </c>
    </row>
    <row r="30" spans="1:15" x14ac:dyDescent="0.3">
      <c r="A30" s="4">
        <v>29</v>
      </c>
      <c r="B30" s="4">
        <v>29000</v>
      </c>
      <c r="C30" s="4" t="s">
        <v>163</v>
      </c>
      <c r="D30" s="4" t="s">
        <v>16</v>
      </c>
      <c r="E30" s="4" t="s">
        <v>17</v>
      </c>
      <c r="F30" s="4" t="s">
        <v>18</v>
      </c>
      <c r="G30" s="5">
        <v>0.1</v>
      </c>
      <c r="H30" s="5">
        <v>0.4</v>
      </c>
      <c r="I30" s="5">
        <v>0.05</v>
      </c>
      <c r="J30" s="6">
        <v>0.67924528301886788</v>
      </c>
      <c r="K30" s="6">
        <v>0.80138888888888893</v>
      </c>
      <c r="L30" s="6">
        <v>0.56639943885201061</v>
      </c>
      <c r="M30" s="4" t="s">
        <v>39</v>
      </c>
      <c r="N30" s="4">
        <v>9.3247358320082088E-2</v>
      </c>
      <c r="O30" s="4">
        <v>0</v>
      </c>
    </row>
    <row r="31" spans="1:15" x14ac:dyDescent="0.3">
      <c r="A31" s="4">
        <v>30</v>
      </c>
      <c r="B31" s="4">
        <v>30000</v>
      </c>
      <c r="C31" s="4" t="s">
        <v>163</v>
      </c>
      <c r="D31" s="4" t="s">
        <v>16</v>
      </c>
      <c r="E31" s="4" t="s">
        <v>17</v>
      </c>
      <c r="F31" s="4" t="s">
        <v>18</v>
      </c>
      <c r="G31" s="5">
        <v>0.1</v>
      </c>
      <c r="H31" s="5">
        <v>0.4</v>
      </c>
      <c r="I31" s="5">
        <v>0.05</v>
      </c>
      <c r="J31" s="6">
        <v>0.67924528301886788</v>
      </c>
      <c r="K31" s="6">
        <v>0.8058333333333334</v>
      </c>
      <c r="L31" s="6">
        <v>0.55968531310121017</v>
      </c>
      <c r="M31" s="4" t="s">
        <v>160</v>
      </c>
      <c r="N31" s="4">
        <v>9.9623214392308257E-2</v>
      </c>
      <c r="O31" s="4">
        <v>0</v>
      </c>
    </row>
    <row r="32" spans="1:15" x14ac:dyDescent="0.3">
      <c r="A32" s="4">
        <v>31</v>
      </c>
      <c r="B32" s="4">
        <v>31000</v>
      </c>
      <c r="C32" s="4" t="s">
        <v>163</v>
      </c>
      <c r="D32" s="4" t="s">
        <v>16</v>
      </c>
      <c r="E32" s="4" t="s">
        <v>17</v>
      </c>
      <c r="F32" s="4" t="s">
        <v>18</v>
      </c>
      <c r="G32" s="5">
        <v>0.1</v>
      </c>
      <c r="H32" s="5">
        <v>0.4</v>
      </c>
      <c r="I32" s="5">
        <v>0.05</v>
      </c>
      <c r="J32" s="6">
        <v>0.68518518518518523</v>
      </c>
      <c r="K32" s="6">
        <v>0.79918918918918924</v>
      </c>
      <c r="L32" s="6">
        <v>0.56028025233598022</v>
      </c>
      <c r="M32" s="4" t="s">
        <v>108</v>
      </c>
      <c r="N32" s="4">
        <v>0.1147392350153508</v>
      </c>
      <c r="O32" s="4">
        <v>0</v>
      </c>
    </row>
    <row r="33" spans="1:15" x14ac:dyDescent="0.3">
      <c r="A33" s="4">
        <v>32</v>
      </c>
      <c r="B33" s="4">
        <v>32000</v>
      </c>
      <c r="C33" s="4" t="s">
        <v>163</v>
      </c>
      <c r="D33" s="4" t="s">
        <v>16</v>
      </c>
      <c r="E33" s="4" t="s">
        <v>17</v>
      </c>
      <c r="F33" s="4" t="s">
        <v>18</v>
      </c>
      <c r="G33" s="5">
        <v>0.1</v>
      </c>
      <c r="H33" s="5">
        <v>0.4</v>
      </c>
      <c r="I33" s="5">
        <v>0.05</v>
      </c>
      <c r="J33" s="6">
        <v>0.70175438596491224</v>
      </c>
      <c r="K33" s="6">
        <v>0.79600000000000004</v>
      </c>
      <c r="L33" s="6">
        <v>0.62415867810479997</v>
      </c>
      <c r="M33" s="4" t="s">
        <v>100</v>
      </c>
      <c r="N33" s="4">
        <v>0.13136803576968059</v>
      </c>
      <c r="O33" s="4">
        <v>0</v>
      </c>
    </row>
    <row r="34" spans="1:15" x14ac:dyDescent="0.3">
      <c r="A34" s="4">
        <v>33</v>
      </c>
      <c r="B34" s="4">
        <v>33000</v>
      </c>
      <c r="C34" s="4" t="s">
        <v>163</v>
      </c>
      <c r="D34" s="4" t="s">
        <v>16</v>
      </c>
      <c r="E34" s="4" t="s">
        <v>17</v>
      </c>
      <c r="F34" s="4" t="s">
        <v>18</v>
      </c>
      <c r="G34" s="5">
        <v>0.1</v>
      </c>
      <c r="H34" s="5">
        <v>0.4</v>
      </c>
      <c r="I34" s="5">
        <v>0.05</v>
      </c>
      <c r="J34" s="6">
        <v>0.68421052631578949</v>
      </c>
      <c r="K34" s="6">
        <v>0.79076923076923078</v>
      </c>
      <c r="L34" s="6">
        <v>0.58170261063254536</v>
      </c>
      <c r="M34" s="4" t="s">
        <v>139</v>
      </c>
      <c r="N34" s="4">
        <v>0.1327144611414981</v>
      </c>
      <c r="O34" s="4">
        <v>0</v>
      </c>
    </row>
    <row r="35" spans="1:15" x14ac:dyDescent="0.3">
      <c r="A35" s="4">
        <v>34</v>
      </c>
      <c r="B35" s="4">
        <v>34000</v>
      </c>
      <c r="C35" s="4" t="s">
        <v>163</v>
      </c>
      <c r="D35" s="4" t="s">
        <v>16</v>
      </c>
      <c r="E35" s="4" t="s">
        <v>17</v>
      </c>
      <c r="F35" s="4" t="s">
        <v>18</v>
      </c>
      <c r="G35" s="5">
        <v>0.1</v>
      </c>
      <c r="H35" s="5">
        <v>0.4</v>
      </c>
      <c r="I35" s="5">
        <v>0.05</v>
      </c>
      <c r="J35" s="6">
        <v>0.66666666666666663</v>
      </c>
      <c r="K35" s="6">
        <v>0.81026315789473669</v>
      </c>
      <c r="L35" s="6">
        <v>0.62646926186031016</v>
      </c>
      <c r="M35" s="4" t="s">
        <v>100</v>
      </c>
      <c r="N35" s="4">
        <v>0.1313439977458484</v>
      </c>
      <c r="O35" s="4">
        <v>0</v>
      </c>
    </row>
    <row r="36" spans="1:15" x14ac:dyDescent="0.3">
      <c r="A36" s="4">
        <v>35</v>
      </c>
      <c r="B36" s="4">
        <v>35000</v>
      </c>
      <c r="C36" s="4" t="s">
        <v>163</v>
      </c>
      <c r="D36" s="4" t="s">
        <v>16</v>
      </c>
      <c r="E36" s="4" t="s">
        <v>17</v>
      </c>
      <c r="F36" s="4" t="s">
        <v>18</v>
      </c>
      <c r="G36" s="5">
        <v>0.1</v>
      </c>
      <c r="H36" s="5">
        <v>0.4</v>
      </c>
      <c r="I36" s="5">
        <v>0.05</v>
      </c>
      <c r="J36" s="6">
        <v>0.66666666666666663</v>
      </c>
      <c r="K36" s="6">
        <v>0.80947368421052623</v>
      </c>
      <c r="L36" s="6">
        <v>0.6302196490590859</v>
      </c>
      <c r="M36" s="4" t="s">
        <v>94</v>
      </c>
      <c r="N36" s="4">
        <v>0.13467890658896431</v>
      </c>
      <c r="O36" s="4">
        <v>0</v>
      </c>
    </row>
    <row r="37" spans="1:15" x14ac:dyDescent="0.3">
      <c r="A37" s="4">
        <v>36</v>
      </c>
      <c r="B37" s="4">
        <v>36000</v>
      </c>
      <c r="C37" s="4" t="s">
        <v>163</v>
      </c>
      <c r="D37" s="4" t="s">
        <v>16</v>
      </c>
      <c r="E37" s="4" t="s">
        <v>17</v>
      </c>
      <c r="F37" s="4" t="s">
        <v>18</v>
      </c>
      <c r="G37" s="5">
        <v>0.1</v>
      </c>
      <c r="H37" s="5">
        <v>0.4</v>
      </c>
      <c r="I37" s="5">
        <v>0.05</v>
      </c>
      <c r="J37" s="6">
        <v>0.68421052631578949</v>
      </c>
      <c r="K37" s="6">
        <v>0.81333333333333335</v>
      </c>
      <c r="L37" s="6">
        <v>0.66982739558586923</v>
      </c>
      <c r="M37" s="4" t="s">
        <v>54</v>
      </c>
      <c r="N37" s="4">
        <v>0.13793508726275511</v>
      </c>
      <c r="O37" s="4">
        <v>0</v>
      </c>
    </row>
    <row r="38" spans="1:15" x14ac:dyDescent="0.3">
      <c r="A38" s="4">
        <v>37</v>
      </c>
      <c r="B38" s="4">
        <v>37000</v>
      </c>
      <c r="C38" s="4" t="s">
        <v>163</v>
      </c>
      <c r="D38" s="4" t="s">
        <v>16</v>
      </c>
      <c r="E38" s="4" t="s">
        <v>17</v>
      </c>
      <c r="F38" s="4" t="s">
        <v>18</v>
      </c>
      <c r="G38" s="5">
        <v>0.1</v>
      </c>
      <c r="H38" s="5">
        <v>0.4</v>
      </c>
      <c r="I38" s="5">
        <v>0.05</v>
      </c>
      <c r="J38" s="6">
        <v>0.68421052631578949</v>
      </c>
      <c r="K38" s="6">
        <v>0.81230769230769229</v>
      </c>
      <c r="L38" s="6">
        <v>0.66964454520203054</v>
      </c>
      <c r="M38" s="4" t="s">
        <v>34</v>
      </c>
      <c r="N38" s="4">
        <v>0.14311757416519361</v>
      </c>
      <c r="O38" s="4">
        <v>0</v>
      </c>
    </row>
    <row r="39" spans="1:15" x14ac:dyDescent="0.3">
      <c r="A39" s="4">
        <v>38</v>
      </c>
      <c r="B39" s="4">
        <v>38000</v>
      </c>
      <c r="C39" s="4" t="s">
        <v>163</v>
      </c>
      <c r="D39" s="4" t="s">
        <v>16</v>
      </c>
      <c r="E39" s="4" t="s">
        <v>17</v>
      </c>
      <c r="F39" s="4" t="s">
        <v>18</v>
      </c>
      <c r="G39" s="5">
        <v>0.1</v>
      </c>
      <c r="H39" s="5">
        <v>0.4</v>
      </c>
      <c r="I39" s="5">
        <v>0.05</v>
      </c>
      <c r="J39" s="6">
        <v>0.6785714285714286</v>
      </c>
      <c r="K39" s="6">
        <v>0.83499999999999996</v>
      </c>
      <c r="L39" s="6">
        <v>0.705624156247871</v>
      </c>
      <c r="M39" s="4" t="s">
        <v>80</v>
      </c>
      <c r="N39" s="4">
        <v>0.14984152028656941</v>
      </c>
      <c r="O39" s="4">
        <v>0</v>
      </c>
    </row>
    <row r="40" spans="1:15" x14ac:dyDescent="0.3">
      <c r="A40" s="4">
        <v>39</v>
      </c>
      <c r="B40" s="4">
        <v>39000</v>
      </c>
      <c r="C40" s="4" t="s">
        <v>163</v>
      </c>
      <c r="D40" s="4" t="s">
        <v>16</v>
      </c>
      <c r="E40" s="4" t="s">
        <v>17</v>
      </c>
      <c r="F40" s="4" t="s">
        <v>18</v>
      </c>
      <c r="G40" s="5">
        <v>0.1</v>
      </c>
      <c r="H40" s="5">
        <v>0.4</v>
      </c>
      <c r="I40" s="5">
        <v>0.05</v>
      </c>
      <c r="J40" s="6">
        <v>0.6785714285714286</v>
      </c>
      <c r="K40" s="6">
        <v>0.83578947368421053</v>
      </c>
      <c r="L40" s="6">
        <v>0.70742486916446501</v>
      </c>
      <c r="M40" s="4" t="s">
        <v>34</v>
      </c>
      <c r="N40" s="4">
        <v>0.14252493129254451</v>
      </c>
      <c r="O40" s="4">
        <v>0</v>
      </c>
    </row>
    <row r="41" spans="1:15" x14ac:dyDescent="0.3">
      <c r="A41" s="4">
        <v>40</v>
      </c>
      <c r="B41" s="4">
        <v>40000</v>
      </c>
      <c r="C41" s="4" t="s">
        <v>163</v>
      </c>
      <c r="D41" s="4" t="s">
        <v>16</v>
      </c>
      <c r="E41" s="4" t="s">
        <v>17</v>
      </c>
      <c r="F41" s="4" t="s">
        <v>18</v>
      </c>
      <c r="G41" s="5">
        <v>0.1</v>
      </c>
      <c r="H41" s="5">
        <v>0.4</v>
      </c>
      <c r="I41" s="5">
        <v>0.05</v>
      </c>
      <c r="J41" s="6">
        <v>0.68421052631578949</v>
      </c>
      <c r="K41" s="6">
        <v>0.83487179487179475</v>
      </c>
      <c r="L41" s="6">
        <v>0.70663428028123809</v>
      </c>
      <c r="M41" s="4" t="s">
        <v>96</v>
      </c>
      <c r="N41" s="4">
        <v>0.1504594106374276</v>
      </c>
      <c r="O41" s="4">
        <v>1</v>
      </c>
    </row>
    <row r="42" spans="1:15" x14ac:dyDescent="0.3">
      <c r="A42" s="4">
        <v>41</v>
      </c>
      <c r="B42" s="4">
        <v>41000</v>
      </c>
      <c r="C42" s="4" t="s">
        <v>163</v>
      </c>
      <c r="D42" s="4" t="s">
        <v>16</v>
      </c>
      <c r="E42" s="4" t="s">
        <v>17</v>
      </c>
      <c r="F42" s="4" t="s">
        <v>18</v>
      </c>
      <c r="G42" s="5">
        <v>0.1</v>
      </c>
      <c r="H42" s="5">
        <v>0.4</v>
      </c>
      <c r="I42" s="5">
        <v>0.05</v>
      </c>
      <c r="J42" s="6">
        <v>0.66666666666666663</v>
      </c>
      <c r="K42" s="6">
        <v>0.83605263157894727</v>
      </c>
      <c r="L42" s="6">
        <v>0.70380607637960668</v>
      </c>
      <c r="M42" s="4" t="s">
        <v>171</v>
      </c>
      <c r="N42" s="4">
        <v>2.073230731598107E-2</v>
      </c>
      <c r="O42" s="4">
        <v>0</v>
      </c>
    </row>
    <row r="43" spans="1:15" x14ac:dyDescent="0.3">
      <c r="A43" s="4">
        <v>42</v>
      </c>
      <c r="B43" s="4">
        <v>42000</v>
      </c>
      <c r="C43" s="4" t="s">
        <v>163</v>
      </c>
      <c r="D43" s="4" t="s">
        <v>16</v>
      </c>
      <c r="E43" s="4" t="s">
        <v>17</v>
      </c>
      <c r="F43" s="4" t="s">
        <v>18</v>
      </c>
      <c r="G43" s="5">
        <v>0.1</v>
      </c>
      <c r="H43" s="5">
        <v>0.4</v>
      </c>
      <c r="I43" s="5">
        <v>0.05</v>
      </c>
      <c r="J43" s="6">
        <v>0.68421052631578949</v>
      </c>
      <c r="K43" s="6">
        <v>0.83333333333333337</v>
      </c>
      <c r="L43" s="6">
        <v>0.70370540427660666</v>
      </c>
      <c r="M43" s="4" t="s">
        <v>172</v>
      </c>
      <c r="N43" s="4">
        <v>2.4677556845728161E-2</v>
      </c>
      <c r="O43" s="4">
        <v>0</v>
      </c>
    </row>
    <row r="44" spans="1:15" x14ac:dyDescent="0.3">
      <c r="A44" s="4">
        <v>43</v>
      </c>
      <c r="B44" s="4">
        <v>43000</v>
      </c>
      <c r="C44" s="4" t="s">
        <v>163</v>
      </c>
      <c r="D44" s="4" t="s">
        <v>16</v>
      </c>
      <c r="E44" s="4" t="s">
        <v>17</v>
      </c>
      <c r="F44" s="4" t="s">
        <v>18</v>
      </c>
      <c r="G44" s="5">
        <v>0.1</v>
      </c>
      <c r="H44" s="5">
        <v>0.4</v>
      </c>
      <c r="I44" s="5">
        <v>0.05</v>
      </c>
      <c r="J44" s="6">
        <v>0.66666666666666663</v>
      </c>
      <c r="K44" s="6">
        <v>0.82868421052631569</v>
      </c>
      <c r="L44" s="6">
        <v>0.70470347732704353</v>
      </c>
      <c r="M44" s="4" t="s">
        <v>173</v>
      </c>
      <c r="N44" s="4">
        <v>2.7478489874993382E-2</v>
      </c>
      <c r="O44" s="4">
        <v>0</v>
      </c>
    </row>
    <row r="45" spans="1:15" x14ac:dyDescent="0.3">
      <c r="A45" s="4">
        <v>44</v>
      </c>
      <c r="B45" s="4">
        <v>44000</v>
      </c>
      <c r="C45" s="4" t="s">
        <v>163</v>
      </c>
      <c r="D45" s="4" t="s">
        <v>16</v>
      </c>
      <c r="E45" s="4" t="s">
        <v>17</v>
      </c>
      <c r="F45" s="4" t="s">
        <v>18</v>
      </c>
      <c r="G45" s="5">
        <v>0.1</v>
      </c>
      <c r="H45" s="5">
        <v>0.4</v>
      </c>
      <c r="I45" s="5">
        <v>0.05</v>
      </c>
      <c r="J45" s="6">
        <v>0.68965517241379315</v>
      </c>
      <c r="K45" s="6">
        <v>0.8244999999999999</v>
      </c>
      <c r="L45" s="6">
        <v>0.70791102762782931</v>
      </c>
      <c r="M45" s="4" t="s">
        <v>174</v>
      </c>
      <c r="N45" s="4">
        <v>4.0178189410054722E-2</v>
      </c>
      <c r="O45" s="4">
        <v>0</v>
      </c>
    </row>
    <row r="46" spans="1:15" x14ac:dyDescent="0.3">
      <c r="A46" s="4">
        <v>45</v>
      </c>
      <c r="B46" s="4">
        <v>45000</v>
      </c>
      <c r="C46" s="4" t="s">
        <v>163</v>
      </c>
      <c r="D46" s="4" t="s">
        <v>16</v>
      </c>
      <c r="E46" s="4" t="s">
        <v>17</v>
      </c>
      <c r="F46" s="4" t="s">
        <v>18</v>
      </c>
      <c r="G46" s="5">
        <v>0.1</v>
      </c>
      <c r="H46" s="5">
        <v>0.4</v>
      </c>
      <c r="I46" s="5">
        <v>0.05</v>
      </c>
      <c r="J46" s="6">
        <v>0.64516129032258063</v>
      </c>
      <c r="K46" s="6">
        <v>0.82524999999999993</v>
      </c>
      <c r="L46" s="6">
        <v>0.70509521646382189</v>
      </c>
      <c r="M46" s="4" t="s">
        <v>164</v>
      </c>
      <c r="N46" s="4">
        <v>5.2665393625959983E-2</v>
      </c>
      <c r="O46" s="4">
        <v>0</v>
      </c>
    </row>
    <row r="47" spans="1:15" x14ac:dyDescent="0.3">
      <c r="A47" s="4">
        <v>46</v>
      </c>
      <c r="B47" s="4">
        <v>46000</v>
      </c>
      <c r="C47" s="4" t="s">
        <v>163</v>
      </c>
      <c r="D47" s="4" t="s">
        <v>16</v>
      </c>
      <c r="E47" s="4" t="s">
        <v>17</v>
      </c>
      <c r="F47" s="4" t="s">
        <v>18</v>
      </c>
      <c r="G47" s="5">
        <v>0.1</v>
      </c>
      <c r="H47" s="5">
        <v>0.4</v>
      </c>
      <c r="I47" s="5">
        <v>0.05</v>
      </c>
      <c r="J47" s="6">
        <v>0.66666666666666663</v>
      </c>
      <c r="K47" s="6">
        <v>0.82476190476190481</v>
      </c>
      <c r="L47" s="6">
        <v>0.71181145294236514</v>
      </c>
      <c r="M47" s="4" t="s">
        <v>175</v>
      </c>
      <c r="N47" s="4">
        <v>5.8345146083284137E-2</v>
      </c>
      <c r="O47" s="4">
        <v>0</v>
      </c>
    </row>
    <row r="48" spans="1:15" x14ac:dyDescent="0.3">
      <c r="A48" s="4">
        <v>47</v>
      </c>
      <c r="B48" s="4">
        <v>47000</v>
      </c>
      <c r="C48" s="4" t="s">
        <v>163</v>
      </c>
      <c r="D48" s="4" t="s">
        <v>16</v>
      </c>
      <c r="E48" s="4" t="s">
        <v>17</v>
      </c>
      <c r="F48" s="4" t="s">
        <v>18</v>
      </c>
      <c r="G48" s="5">
        <v>0.1</v>
      </c>
      <c r="H48" s="5">
        <v>0.4</v>
      </c>
      <c r="I48" s="5">
        <v>0.05</v>
      </c>
      <c r="J48" s="6">
        <v>0.66153846153846152</v>
      </c>
      <c r="K48" s="6">
        <v>0.82418604651162797</v>
      </c>
      <c r="L48" s="6">
        <v>0.700737213159214</v>
      </c>
      <c r="M48" s="4" t="s">
        <v>67</v>
      </c>
      <c r="N48" s="4">
        <v>7.2115233419588656E-2</v>
      </c>
      <c r="O48" s="4">
        <v>0</v>
      </c>
    </row>
    <row r="49" spans="1:15" x14ac:dyDescent="0.3">
      <c r="A49" s="4">
        <v>48</v>
      </c>
      <c r="B49" s="4">
        <v>48000</v>
      </c>
      <c r="C49" s="4" t="s">
        <v>163</v>
      </c>
      <c r="D49" s="4" t="s">
        <v>16</v>
      </c>
      <c r="E49" s="4" t="s">
        <v>17</v>
      </c>
      <c r="F49" s="4" t="s">
        <v>18</v>
      </c>
      <c r="G49" s="5">
        <v>0.1</v>
      </c>
      <c r="H49" s="5">
        <v>0.4</v>
      </c>
      <c r="I49" s="5">
        <v>0.05</v>
      </c>
      <c r="J49" s="6">
        <v>0.66153846153846152</v>
      </c>
      <c r="K49" s="6">
        <v>0.82418604651162797</v>
      </c>
      <c r="L49" s="6">
        <v>0.69801290795461401</v>
      </c>
      <c r="M49" s="4" t="s">
        <v>24</v>
      </c>
      <c r="N49" s="4">
        <v>7.2833770730686739E-2</v>
      </c>
      <c r="O49" s="4">
        <v>0</v>
      </c>
    </row>
    <row r="50" spans="1:15" x14ac:dyDescent="0.3">
      <c r="A50" s="4">
        <v>49</v>
      </c>
      <c r="B50" s="4">
        <v>49000</v>
      </c>
      <c r="C50" s="4" t="s">
        <v>163</v>
      </c>
      <c r="D50" s="4" t="s">
        <v>16</v>
      </c>
      <c r="E50" s="4" t="s">
        <v>17</v>
      </c>
      <c r="F50" s="4" t="s">
        <v>18</v>
      </c>
      <c r="G50" s="5">
        <v>0.1</v>
      </c>
      <c r="H50" s="5">
        <v>0.4</v>
      </c>
      <c r="I50" s="5">
        <v>0.05</v>
      </c>
      <c r="J50" s="6">
        <v>0.64615384615384619</v>
      </c>
      <c r="K50" s="6">
        <v>0.82452380952380955</v>
      </c>
      <c r="L50" s="6">
        <v>0.70784200335462044</v>
      </c>
      <c r="M50" s="4" t="s">
        <v>24</v>
      </c>
      <c r="N50" s="4">
        <v>7.3233892799309114E-2</v>
      </c>
      <c r="O50" s="4">
        <v>0</v>
      </c>
    </row>
    <row r="51" spans="1:15" x14ac:dyDescent="0.3">
      <c r="A51" s="4">
        <v>50</v>
      </c>
      <c r="B51" s="4">
        <v>50000</v>
      </c>
      <c r="C51" s="4" t="s">
        <v>163</v>
      </c>
      <c r="D51" s="4" t="s">
        <v>16</v>
      </c>
      <c r="E51" s="4" t="s">
        <v>17</v>
      </c>
      <c r="F51" s="4" t="s">
        <v>18</v>
      </c>
      <c r="G51" s="5">
        <v>0.1</v>
      </c>
      <c r="H51" s="5">
        <v>0.4</v>
      </c>
      <c r="I51" s="5">
        <v>0.05</v>
      </c>
      <c r="J51" s="6">
        <v>0.64615384615384619</v>
      </c>
      <c r="K51" s="6">
        <v>0.82428571428571418</v>
      </c>
      <c r="L51" s="6">
        <v>0.7090758683086793</v>
      </c>
      <c r="M51" s="4" t="s">
        <v>176</v>
      </c>
      <c r="N51" s="4">
        <v>7.381217389934544E-2</v>
      </c>
      <c r="O51" s="4">
        <v>0</v>
      </c>
    </row>
    <row r="52" spans="1:15" x14ac:dyDescent="0.3">
      <c r="A52" s="4">
        <v>51</v>
      </c>
      <c r="B52" s="4">
        <v>51000</v>
      </c>
      <c r="C52" s="4" t="s">
        <v>163</v>
      </c>
      <c r="D52" s="4" t="s">
        <v>16</v>
      </c>
      <c r="E52" s="4" t="s">
        <v>17</v>
      </c>
      <c r="F52" s="4" t="s">
        <v>18</v>
      </c>
      <c r="G52" s="5">
        <v>0.1</v>
      </c>
      <c r="H52" s="5">
        <v>0.4</v>
      </c>
      <c r="I52" s="5">
        <v>0.05</v>
      </c>
      <c r="J52" s="6">
        <v>0.61538461538461542</v>
      </c>
      <c r="K52" s="6">
        <v>0.83424999999999994</v>
      </c>
      <c r="L52" s="6">
        <v>0.69593104429013986</v>
      </c>
      <c r="M52" s="4" t="s">
        <v>67</v>
      </c>
      <c r="N52" s="4">
        <v>7.2324588355994132E-2</v>
      </c>
      <c r="O52" s="4">
        <v>0</v>
      </c>
    </row>
    <row r="53" spans="1:15" x14ac:dyDescent="0.3">
      <c r="A53" s="4">
        <v>52</v>
      </c>
      <c r="B53" s="4">
        <v>52000</v>
      </c>
      <c r="C53" s="4" t="s">
        <v>163</v>
      </c>
      <c r="D53" s="4" t="s">
        <v>16</v>
      </c>
      <c r="E53" s="4" t="s">
        <v>17</v>
      </c>
      <c r="F53" s="4" t="s">
        <v>18</v>
      </c>
      <c r="G53" s="5">
        <v>0.1</v>
      </c>
      <c r="H53" s="5">
        <v>0.4</v>
      </c>
      <c r="I53" s="5">
        <v>0.05</v>
      </c>
      <c r="J53" s="6">
        <v>0.58461538461538465</v>
      </c>
      <c r="K53" s="6">
        <v>0.83157894736842086</v>
      </c>
      <c r="L53" s="6">
        <v>0.68669548857323359</v>
      </c>
      <c r="M53" s="4" t="s">
        <v>128</v>
      </c>
      <c r="N53" s="4">
        <v>7.1249425808108183E-2</v>
      </c>
      <c r="O53" s="4">
        <v>0</v>
      </c>
    </row>
    <row r="54" spans="1:15" x14ac:dyDescent="0.3">
      <c r="A54" s="4">
        <v>53</v>
      </c>
      <c r="B54" s="4">
        <v>53000</v>
      </c>
      <c r="C54" s="4" t="s">
        <v>163</v>
      </c>
      <c r="D54" s="4" t="s">
        <v>16</v>
      </c>
      <c r="E54" s="4" t="s">
        <v>17</v>
      </c>
      <c r="F54" s="4" t="s">
        <v>18</v>
      </c>
      <c r="G54" s="5">
        <v>0.1</v>
      </c>
      <c r="H54" s="5">
        <v>0.4</v>
      </c>
      <c r="I54" s="5">
        <v>0.05</v>
      </c>
      <c r="J54" s="6">
        <v>0.58461538461538465</v>
      </c>
      <c r="K54" s="6">
        <v>0.82157894736842085</v>
      </c>
      <c r="L54" s="6">
        <v>0.68900150519680969</v>
      </c>
      <c r="M54" s="4" t="s">
        <v>152</v>
      </c>
      <c r="N54" s="4">
        <v>7.5482436257884561E-2</v>
      </c>
      <c r="O54" s="4">
        <v>0</v>
      </c>
    </row>
    <row r="55" spans="1:15" x14ac:dyDescent="0.3">
      <c r="A55" s="4">
        <v>54</v>
      </c>
      <c r="B55" s="4">
        <v>54000</v>
      </c>
      <c r="C55" s="4" t="s">
        <v>163</v>
      </c>
      <c r="D55" s="4" t="s">
        <v>16</v>
      </c>
      <c r="E55" s="4" t="s">
        <v>17</v>
      </c>
      <c r="F55" s="4" t="s">
        <v>18</v>
      </c>
      <c r="G55" s="5">
        <v>0.1</v>
      </c>
      <c r="H55" s="5">
        <v>0.4</v>
      </c>
      <c r="I55" s="5">
        <v>0.05</v>
      </c>
      <c r="J55" s="6">
        <v>0.58461538461538465</v>
      </c>
      <c r="K55" s="6">
        <v>0.82263157894736816</v>
      </c>
      <c r="L55" s="6">
        <v>0.69008399715846735</v>
      </c>
      <c r="M55" s="4" t="s">
        <v>140</v>
      </c>
      <c r="N55" s="4">
        <v>7.8129358858470915E-2</v>
      </c>
      <c r="O55" s="4">
        <v>0</v>
      </c>
    </row>
    <row r="56" spans="1:15" x14ac:dyDescent="0.3">
      <c r="A56" s="4">
        <v>55</v>
      </c>
      <c r="B56" s="4">
        <v>55000</v>
      </c>
      <c r="C56" s="4" t="s">
        <v>163</v>
      </c>
      <c r="D56" s="4" t="s">
        <v>16</v>
      </c>
      <c r="E56" s="4" t="s">
        <v>17</v>
      </c>
      <c r="F56" s="4" t="s">
        <v>18</v>
      </c>
      <c r="G56" s="5">
        <v>0.1</v>
      </c>
      <c r="H56" s="5">
        <v>0.4</v>
      </c>
      <c r="I56" s="5">
        <v>0.05</v>
      </c>
      <c r="J56" s="6">
        <v>0.61538461538461542</v>
      </c>
      <c r="K56" s="6">
        <v>0.82699999999999996</v>
      </c>
      <c r="L56" s="6">
        <v>0.7033811649036138</v>
      </c>
      <c r="M56" s="4" t="s">
        <v>101</v>
      </c>
      <c r="N56" s="4">
        <v>7.748480871382174E-2</v>
      </c>
      <c r="O56" s="4">
        <v>0</v>
      </c>
    </row>
    <row r="57" spans="1:15" x14ac:dyDescent="0.3">
      <c r="A57" s="4">
        <v>56</v>
      </c>
      <c r="B57" s="4">
        <v>56000</v>
      </c>
      <c r="C57" s="4" t="s">
        <v>163</v>
      </c>
      <c r="D57" s="4" t="s">
        <v>16</v>
      </c>
      <c r="E57" s="4" t="s">
        <v>17</v>
      </c>
      <c r="F57" s="4" t="s">
        <v>18</v>
      </c>
      <c r="G57" s="5">
        <v>0.1</v>
      </c>
      <c r="H57" s="5">
        <v>0.4</v>
      </c>
      <c r="I57" s="5">
        <v>0.05</v>
      </c>
      <c r="J57" s="6">
        <v>0.63492063492063489</v>
      </c>
      <c r="K57" s="6">
        <v>0.83149999999999979</v>
      </c>
      <c r="L57" s="6">
        <v>0.69897517589882907</v>
      </c>
      <c r="M57" s="4" t="s">
        <v>97</v>
      </c>
      <c r="N57" s="4">
        <v>8.6256822304721079E-2</v>
      </c>
      <c r="O57" s="4">
        <v>0</v>
      </c>
    </row>
    <row r="58" spans="1:15" x14ac:dyDescent="0.3">
      <c r="A58" s="4">
        <v>57</v>
      </c>
      <c r="B58" s="4">
        <v>57000</v>
      </c>
      <c r="C58" s="4" t="s">
        <v>163</v>
      </c>
      <c r="D58" s="4" t="s">
        <v>16</v>
      </c>
      <c r="E58" s="4" t="s">
        <v>17</v>
      </c>
      <c r="F58" s="4" t="s">
        <v>18</v>
      </c>
      <c r="G58" s="5">
        <v>0.1</v>
      </c>
      <c r="H58" s="5">
        <v>0.4</v>
      </c>
      <c r="I58" s="5">
        <v>0.05</v>
      </c>
      <c r="J58" s="6">
        <v>0.63492063492063489</v>
      </c>
      <c r="K58" s="6">
        <v>0.83474999999999966</v>
      </c>
      <c r="L58" s="6">
        <v>0.69913927459409519</v>
      </c>
      <c r="M58" s="4" t="s">
        <v>52</v>
      </c>
      <c r="N58" s="4">
        <v>8.8264428637118517E-2</v>
      </c>
      <c r="O58" s="4">
        <v>0</v>
      </c>
    </row>
    <row r="59" spans="1:15" x14ac:dyDescent="0.3">
      <c r="A59" s="4">
        <v>58</v>
      </c>
      <c r="B59" s="4">
        <v>58000</v>
      </c>
      <c r="C59" s="4" t="s">
        <v>163</v>
      </c>
      <c r="D59" s="4" t="s">
        <v>16</v>
      </c>
      <c r="E59" s="4" t="s">
        <v>17</v>
      </c>
      <c r="F59" s="4" t="s">
        <v>18</v>
      </c>
      <c r="G59" s="5">
        <v>0.1</v>
      </c>
      <c r="H59" s="5">
        <v>0.4</v>
      </c>
      <c r="I59" s="5">
        <v>0.05</v>
      </c>
      <c r="J59" s="6">
        <v>0.609375</v>
      </c>
      <c r="K59" s="6">
        <v>0.84384615384615358</v>
      </c>
      <c r="L59" s="6">
        <v>0.72043064833457471</v>
      </c>
      <c r="M59" s="4" t="s">
        <v>59</v>
      </c>
      <c r="N59" s="4">
        <v>9.0608236949357046E-2</v>
      </c>
      <c r="O59" s="4">
        <v>0</v>
      </c>
    </row>
    <row r="60" spans="1:15" x14ac:dyDescent="0.3">
      <c r="A60" s="4">
        <v>59</v>
      </c>
      <c r="B60" s="4">
        <v>59000</v>
      </c>
      <c r="C60" s="4" t="s">
        <v>163</v>
      </c>
      <c r="D60" s="4" t="s">
        <v>16</v>
      </c>
      <c r="E60" s="4" t="s">
        <v>17</v>
      </c>
      <c r="F60" s="4" t="s">
        <v>18</v>
      </c>
      <c r="G60" s="5">
        <v>0.1</v>
      </c>
      <c r="H60" s="5">
        <v>0.4</v>
      </c>
      <c r="I60" s="5">
        <v>0.05</v>
      </c>
      <c r="J60" s="6">
        <v>0.609375</v>
      </c>
      <c r="K60" s="6">
        <v>0.84435897435897422</v>
      </c>
      <c r="L60" s="6">
        <v>0.72116052696551292</v>
      </c>
      <c r="M60" s="4" t="s">
        <v>22</v>
      </c>
      <c r="N60" s="4">
        <v>9.3637029560730153E-2</v>
      </c>
      <c r="O60" s="4">
        <v>0</v>
      </c>
    </row>
    <row r="61" spans="1:15" x14ac:dyDescent="0.3">
      <c r="A61" s="4">
        <v>60</v>
      </c>
      <c r="B61" s="4">
        <v>60000</v>
      </c>
      <c r="C61" s="4" t="s">
        <v>163</v>
      </c>
      <c r="D61" s="4" t="s">
        <v>16</v>
      </c>
      <c r="E61" s="4" t="s">
        <v>17</v>
      </c>
      <c r="F61" s="4" t="s">
        <v>18</v>
      </c>
      <c r="G61" s="5">
        <v>0.1</v>
      </c>
      <c r="H61" s="5">
        <v>0.4</v>
      </c>
      <c r="I61" s="5">
        <v>0.05</v>
      </c>
      <c r="J61" s="6">
        <v>0.625</v>
      </c>
      <c r="K61" s="6">
        <v>0.84599999999999975</v>
      </c>
      <c r="L61" s="6">
        <v>0.73827368390949055</v>
      </c>
      <c r="M61" s="4" t="s">
        <v>59</v>
      </c>
      <c r="N61" s="4">
        <v>9.1169684700867754E-2</v>
      </c>
      <c r="O61" s="4">
        <v>0</v>
      </c>
    </row>
    <row r="62" spans="1:15" x14ac:dyDescent="0.3">
      <c r="A62" s="4">
        <v>61</v>
      </c>
      <c r="B62" s="4">
        <v>61000</v>
      </c>
      <c r="C62" s="4" t="s">
        <v>163</v>
      </c>
      <c r="D62" s="4" t="s">
        <v>16</v>
      </c>
      <c r="E62" s="4" t="s">
        <v>17</v>
      </c>
      <c r="F62" s="4" t="s">
        <v>18</v>
      </c>
      <c r="G62" s="5">
        <v>0.1</v>
      </c>
      <c r="H62" s="5">
        <v>0.4</v>
      </c>
      <c r="I62" s="5">
        <v>0.05</v>
      </c>
      <c r="J62" s="6">
        <v>0.640625</v>
      </c>
      <c r="K62" s="6">
        <v>0.84073170731707292</v>
      </c>
      <c r="L62" s="6">
        <v>0.71801426871796425</v>
      </c>
      <c r="M62" s="4" t="s">
        <v>59</v>
      </c>
      <c r="N62" s="4">
        <v>9.1141126764502589E-2</v>
      </c>
      <c r="O62" s="4">
        <v>0</v>
      </c>
    </row>
    <row r="63" spans="1:15" x14ac:dyDescent="0.3">
      <c r="A63" s="4">
        <v>62</v>
      </c>
      <c r="B63" s="4">
        <v>62000</v>
      </c>
      <c r="C63" s="4" t="s">
        <v>163</v>
      </c>
      <c r="D63" s="4" t="s">
        <v>16</v>
      </c>
      <c r="E63" s="4" t="s">
        <v>17</v>
      </c>
      <c r="F63" s="4" t="s">
        <v>18</v>
      </c>
      <c r="G63" s="5">
        <v>0.1</v>
      </c>
      <c r="H63" s="5">
        <v>0.4</v>
      </c>
      <c r="I63" s="5">
        <v>0.05</v>
      </c>
      <c r="J63" s="6">
        <v>0.65079365079365081</v>
      </c>
      <c r="K63" s="6">
        <v>0.83390243902438999</v>
      </c>
      <c r="L63" s="6">
        <v>0.71601421590740666</v>
      </c>
      <c r="M63" s="4" t="s">
        <v>59</v>
      </c>
      <c r="N63" s="4">
        <v>9.0696995720942905E-2</v>
      </c>
      <c r="O63" s="4">
        <v>0</v>
      </c>
    </row>
    <row r="64" spans="1:15" x14ac:dyDescent="0.3">
      <c r="A64" s="4">
        <v>63</v>
      </c>
      <c r="B64" s="4">
        <v>63000</v>
      </c>
      <c r="C64" s="4" t="s">
        <v>163</v>
      </c>
      <c r="D64" s="4" t="s">
        <v>16</v>
      </c>
      <c r="E64" s="4" t="s">
        <v>17</v>
      </c>
      <c r="F64" s="4" t="s">
        <v>18</v>
      </c>
      <c r="G64" s="5">
        <v>0.1</v>
      </c>
      <c r="H64" s="5">
        <v>0.4</v>
      </c>
      <c r="I64" s="5">
        <v>0.05</v>
      </c>
      <c r="J64" s="6">
        <v>0.65079365079365081</v>
      </c>
      <c r="K64" s="6">
        <v>0.83170731707317047</v>
      </c>
      <c r="L64" s="6">
        <v>0.68881911233519721</v>
      </c>
      <c r="M64" s="4" t="s">
        <v>22</v>
      </c>
      <c r="N64" s="4">
        <v>9.3898509422412207E-2</v>
      </c>
      <c r="O64" s="4">
        <v>0</v>
      </c>
    </row>
    <row r="65" spans="1:15" x14ac:dyDescent="0.3">
      <c r="A65" s="4">
        <v>64</v>
      </c>
      <c r="B65" s="4">
        <v>64000</v>
      </c>
      <c r="C65" s="4" t="s">
        <v>163</v>
      </c>
      <c r="D65" s="4" t="s">
        <v>16</v>
      </c>
      <c r="E65" s="4" t="s">
        <v>17</v>
      </c>
      <c r="F65" s="4" t="s">
        <v>18</v>
      </c>
      <c r="G65" s="5">
        <v>0.1</v>
      </c>
      <c r="H65" s="5">
        <v>0.4</v>
      </c>
      <c r="I65" s="5">
        <v>0.05</v>
      </c>
      <c r="J65" s="6">
        <v>0.66129032258064513</v>
      </c>
      <c r="K65" s="6">
        <v>0.82439024390243876</v>
      </c>
      <c r="L65" s="6">
        <v>0.69740748287153453</v>
      </c>
      <c r="M65" s="4" t="s">
        <v>39</v>
      </c>
      <c r="N65" s="4">
        <v>9.3145447674661486E-2</v>
      </c>
      <c r="O65" s="4">
        <v>0</v>
      </c>
    </row>
    <row r="66" spans="1:15" x14ac:dyDescent="0.3">
      <c r="A66" s="4">
        <v>65</v>
      </c>
      <c r="B66" s="4">
        <v>65000</v>
      </c>
      <c r="C66" s="4" t="s">
        <v>163</v>
      </c>
      <c r="D66" s="4" t="s">
        <v>16</v>
      </c>
      <c r="E66" s="4" t="s">
        <v>17</v>
      </c>
      <c r="F66" s="4" t="s">
        <v>18</v>
      </c>
      <c r="G66" s="5">
        <v>0.1</v>
      </c>
      <c r="H66" s="5">
        <v>0.4</v>
      </c>
      <c r="I66" s="5">
        <v>0.05</v>
      </c>
      <c r="J66" s="6">
        <v>0.62295081967213117</v>
      </c>
      <c r="K66" s="6">
        <v>0.83815789473684199</v>
      </c>
      <c r="L66" s="6">
        <v>0.66431042299144338</v>
      </c>
      <c r="M66" s="4" t="s">
        <v>154</v>
      </c>
      <c r="N66" s="4">
        <v>9.805464851572071E-2</v>
      </c>
      <c r="O66" s="4">
        <v>0</v>
      </c>
    </row>
    <row r="67" spans="1:15" x14ac:dyDescent="0.3">
      <c r="A67" s="4">
        <v>66</v>
      </c>
      <c r="B67" s="4">
        <v>66000</v>
      </c>
      <c r="C67" s="4" t="s">
        <v>163</v>
      </c>
      <c r="D67" s="4" t="s">
        <v>16</v>
      </c>
      <c r="E67" s="4" t="s">
        <v>17</v>
      </c>
      <c r="F67" s="4" t="s">
        <v>18</v>
      </c>
      <c r="G67" s="5">
        <v>0.1</v>
      </c>
      <c r="H67" s="5">
        <v>0.4</v>
      </c>
      <c r="I67" s="5">
        <v>0.05</v>
      </c>
      <c r="J67" s="6">
        <v>0.65573770491803274</v>
      </c>
      <c r="K67" s="6">
        <v>0.83999999999999986</v>
      </c>
      <c r="L67" s="6">
        <v>0.69030340422117265</v>
      </c>
      <c r="M67" s="4" t="s">
        <v>160</v>
      </c>
      <c r="N67" s="4">
        <v>0.1000415189796045</v>
      </c>
      <c r="O67" s="4">
        <v>0</v>
      </c>
    </row>
    <row r="68" spans="1:15" x14ac:dyDescent="0.3">
      <c r="A68" s="4">
        <v>67</v>
      </c>
      <c r="B68" s="4">
        <v>67000</v>
      </c>
      <c r="C68" s="4" t="s">
        <v>163</v>
      </c>
      <c r="D68" s="4" t="s">
        <v>16</v>
      </c>
      <c r="E68" s="4" t="s">
        <v>17</v>
      </c>
      <c r="F68" s="4" t="s">
        <v>18</v>
      </c>
      <c r="G68" s="5">
        <v>0.1</v>
      </c>
      <c r="H68" s="5">
        <v>0.4</v>
      </c>
      <c r="I68" s="5">
        <v>0.05</v>
      </c>
      <c r="J68" s="6">
        <v>0.65573770491803274</v>
      </c>
      <c r="K68" s="6">
        <v>0.84149999999999969</v>
      </c>
      <c r="L68" s="6">
        <v>0.68953244690524307</v>
      </c>
      <c r="M68" s="4" t="s">
        <v>156</v>
      </c>
      <c r="N68" s="4">
        <v>9.8734496340869018E-2</v>
      </c>
      <c r="O68" s="4">
        <v>0</v>
      </c>
    </row>
    <row r="69" spans="1:15" x14ac:dyDescent="0.3">
      <c r="A69" s="4">
        <v>68</v>
      </c>
      <c r="B69" s="4">
        <v>68000</v>
      </c>
      <c r="C69" s="4" t="s">
        <v>163</v>
      </c>
      <c r="D69" s="4" t="s">
        <v>16</v>
      </c>
      <c r="E69" s="4" t="s">
        <v>17</v>
      </c>
      <c r="F69" s="4" t="s">
        <v>18</v>
      </c>
      <c r="G69" s="5">
        <v>0.1</v>
      </c>
      <c r="H69" s="5">
        <v>0.4</v>
      </c>
      <c r="I69" s="5">
        <v>0.05</v>
      </c>
      <c r="J69" s="6">
        <v>0.68333333333333335</v>
      </c>
      <c r="K69" s="6">
        <v>0.83268292682926814</v>
      </c>
      <c r="L69" s="6">
        <v>0.70356957195942826</v>
      </c>
      <c r="M69" s="4" t="s">
        <v>99</v>
      </c>
      <c r="N69" s="4">
        <v>0.1029167690923139</v>
      </c>
      <c r="O69" s="4">
        <v>0</v>
      </c>
    </row>
    <row r="70" spans="1:15" x14ac:dyDescent="0.3">
      <c r="A70" s="4">
        <v>69</v>
      </c>
      <c r="B70" s="4">
        <v>69000</v>
      </c>
      <c r="C70" s="4" t="s">
        <v>163</v>
      </c>
      <c r="D70" s="4" t="s">
        <v>16</v>
      </c>
      <c r="E70" s="4" t="s">
        <v>17</v>
      </c>
      <c r="F70" s="4" t="s">
        <v>18</v>
      </c>
      <c r="G70" s="5">
        <v>0.1</v>
      </c>
      <c r="H70" s="5">
        <v>0.4</v>
      </c>
      <c r="I70" s="5">
        <v>0.05</v>
      </c>
      <c r="J70" s="6">
        <v>0.68852459016393441</v>
      </c>
      <c r="K70" s="6">
        <v>0.82666666666666644</v>
      </c>
      <c r="L70" s="6">
        <v>0.69990268446340764</v>
      </c>
      <c r="M70" s="4" t="s">
        <v>82</v>
      </c>
      <c r="N70" s="4">
        <v>0.1021365650131873</v>
      </c>
      <c r="O70" s="4">
        <v>0</v>
      </c>
    </row>
    <row r="71" spans="1:15" x14ac:dyDescent="0.3">
      <c r="A71" s="4">
        <v>70</v>
      </c>
      <c r="B71" s="4">
        <v>70000</v>
      </c>
      <c r="C71" s="4" t="s">
        <v>163</v>
      </c>
      <c r="D71" s="4" t="s">
        <v>16</v>
      </c>
      <c r="E71" s="4" t="s">
        <v>17</v>
      </c>
      <c r="F71" s="4" t="s">
        <v>18</v>
      </c>
      <c r="G71" s="5">
        <v>0.1</v>
      </c>
      <c r="H71" s="5">
        <v>0.4</v>
      </c>
      <c r="I71" s="5">
        <v>0.05</v>
      </c>
      <c r="J71" s="6">
        <v>0.7</v>
      </c>
      <c r="K71" s="6">
        <v>0.82214285714285695</v>
      </c>
      <c r="L71" s="6">
        <v>0.69494939025297287</v>
      </c>
      <c r="M71" s="4" t="s">
        <v>28</v>
      </c>
      <c r="N71" s="4">
        <v>0.1010587620626523</v>
      </c>
      <c r="O71" s="4">
        <v>0</v>
      </c>
    </row>
    <row r="72" spans="1:15" x14ac:dyDescent="0.3">
      <c r="A72" s="4">
        <v>71</v>
      </c>
      <c r="B72" s="4">
        <v>71000</v>
      </c>
      <c r="C72" s="4" t="s">
        <v>163</v>
      </c>
      <c r="D72" s="4" t="s">
        <v>16</v>
      </c>
      <c r="E72" s="4" t="s">
        <v>17</v>
      </c>
      <c r="F72" s="4" t="s">
        <v>18</v>
      </c>
      <c r="G72" s="5">
        <v>0.1</v>
      </c>
      <c r="H72" s="5">
        <v>0.4</v>
      </c>
      <c r="I72" s="5">
        <v>0.05</v>
      </c>
      <c r="J72" s="6">
        <v>0.68333333333333335</v>
      </c>
      <c r="K72" s="6">
        <v>0.81170731707317056</v>
      </c>
      <c r="L72" s="6">
        <v>0.70070883061491407</v>
      </c>
      <c r="M72" s="4" t="s">
        <v>28</v>
      </c>
      <c r="N72" s="4">
        <v>0.1012207068837407</v>
      </c>
      <c r="O72" s="4">
        <v>0</v>
      </c>
    </row>
    <row r="73" spans="1:15" x14ac:dyDescent="0.3">
      <c r="A73" s="4">
        <v>72</v>
      </c>
      <c r="B73" s="4">
        <v>72000</v>
      </c>
      <c r="C73" s="4" t="s">
        <v>163</v>
      </c>
      <c r="D73" s="4" t="s">
        <v>16</v>
      </c>
      <c r="E73" s="4" t="s">
        <v>17</v>
      </c>
      <c r="F73" s="4" t="s">
        <v>18</v>
      </c>
      <c r="G73" s="5">
        <v>0.1</v>
      </c>
      <c r="H73" s="5">
        <v>0.4</v>
      </c>
      <c r="I73" s="5">
        <v>0.05</v>
      </c>
      <c r="J73" s="6">
        <v>0.7</v>
      </c>
      <c r="K73" s="6">
        <v>0.81428571428571417</v>
      </c>
      <c r="L73" s="6">
        <v>0.70049902049128654</v>
      </c>
      <c r="M73" s="4" t="s">
        <v>78</v>
      </c>
      <c r="N73" s="4">
        <v>9.6075074416086564E-2</v>
      </c>
      <c r="O73" s="4">
        <v>0</v>
      </c>
    </row>
    <row r="74" spans="1:15" x14ac:dyDescent="0.3">
      <c r="A74" s="4">
        <v>73</v>
      </c>
      <c r="B74" s="4">
        <v>73000</v>
      </c>
      <c r="C74" s="4" t="s">
        <v>163</v>
      </c>
      <c r="D74" s="4" t="s">
        <v>16</v>
      </c>
      <c r="E74" s="4" t="s">
        <v>17</v>
      </c>
      <c r="F74" s="4" t="s">
        <v>18</v>
      </c>
      <c r="G74" s="5">
        <v>0.1</v>
      </c>
      <c r="H74" s="5">
        <v>0.4</v>
      </c>
      <c r="I74" s="5">
        <v>0.05</v>
      </c>
      <c r="J74" s="6">
        <v>0.71666666666666667</v>
      </c>
      <c r="K74" s="6">
        <v>0.82558139534883701</v>
      </c>
      <c r="L74" s="6">
        <v>0.72388931980659432</v>
      </c>
      <c r="M74" s="4" t="s">
        <v>22</v>
      </c>
      <c r="N74" s="4">
        <v>9.4248552870295557E-2</v>
      </c>
      <c r="O74" s="4">
        <v>0</v>
      </c>
    </row>
    <row r="75" spans="1:15" x14ac:dyDescent="0.3">
      <c r="A75" s="4">
        <v>74</v>
      </c>
      <c r="B75" s="4">
        <v>74000</v>
      </c>
      <c r="C75" s="4" t="s">
        <v>163</v>
      </c>
      <c r="D75" s="4" t="s">
        <v>16</v>
      </c>
      <c r="E75" s="4" t="s">
        <v>17</v>
      </c>
      <c r="F75" s="4" t="s">
        <v>18</v>
      </c>
      <c r="G75" s="5">
        <v>0.1</v>
      </c>
      <c r="H75" s="5">
        <v>0.4</v>
      </c>
      <c r="I75" s="5">
        <v>0.05</v>
      </c>
      <c r="J75" s="6">
        <v>0.71186440677966101</v>
      </c>
      <c r="K75" s="6">
        <v>0.81952380952380943</v>
      </c>
      <c r="L75" s="6">
        <v>0.71588929996067219</v>
      </c>
      <c r="M75" s="4" t="s">
        <v>73</v>
      </c>
      <c r="N75" s="4">
        <v>9.2272098900126998E-2</v>
      </c>
      <c r="O75" s="4">
        <v>0</v>
      </c>
    </row>
    <row r="76" spans="1:15" x14ac:dyDescent="0.3">
      <c r="A76" s="4">
        <v>75</v>
      </c>
      <c r="B76" s="4">
        <v>75000</v>
      </c>
      <c r="C76" s="4" t="s">
        <v>163</v>
      </c>
      <c r="D76" s="4" t="s">
        <v>16</v>
      </c>
      <c r="E76" s="4" t="s">
        <v>17</v>
      </c>
      <c r="F76" s="4" t="s">
        <v>18</v>
      </c>
      <c r="G76" s="5">
        <v>0.1</v>
      </c>
      <c r="H76" s="5">
        <v>0.4</v>
      </c>
      <c r="I76" s="5">
        <v>0.05</v>
      </c>
      <c r="J76" s="6">
        <v>0.75438596491228072</v>
      </c>
      <c r="K76" s="6">
        <v>0.81279069767441847</v>
      </c>
      <c r="L76" s="6">
        <v>0.71204047767794643</v>
      </c>
      <c r="M76" s="4" t="s">
        <v>73</v>
      </c>
      <c r="N76" s="4">
        <v>9.2126462699924208E-2</v>
      </c>
      <c r="O76" s="4">
        <v>0</v>
      </c>
    </row>
    <row r="77" spans="1:15" x14ac:dyDescent="0.3">
      <c r="A77" s="4">
        <v>76</v>
      </c>
      <c r="B77" s="4">
        <v>76000</v>
      </c>
      <c r="C77" s="4" t="s">
        <v>163</v>
      </c>
      <c r="D77" s="4" t="s">
        <v>16</v>
      </c>
      <c r="E77" s="4" t="s">
        <v>17</v>
      </c>
      <c r="F77" s="4" t="s">
        <v>18</v>
      </c>
      <c r="G77" s="5">
        <v>0.1</v>
      </c>
      <c r="H77" s="5">
        <v>0.4</v>
      </c>
      <c r="I77" s="5">
        <v>0.05</v>
      </c>
      <c r="J77" s="6">
        <v>0.7068965517241379</v>
      </c>
      <c r="K77" s="6">
        <v>0.81878048780487789</v>
      </c>
      <c r="L77" s="6">
        <v>0.68254956630280739</v>
      </c>
      <c r="M77" s="4" t="s">
        <v>78</v>
      </c>
      <c r="N77" s="4">
        <v>9.6285785449277628E-2</v>
      </c>
      <c r="O77" s="4">
        <v>0</v>
      </c>
    </row>
    <row r="78" spans="1:15" x14ac:dyDescent="0.3">
      <c r="A78" s="4">
        <v>77</v>
      </c>
      <c r="B78" s="4">
        <v>77000</v>
      </c>
      <c r="C78" s="4" t="s">
        <v>163</v>
      </c>
      <c r="D78" s="4" t="s">
        <v>16</v>
      </c>
      <c r="E78" s="4" t="s">
        <v>17</v>
      </c>
      <c r="F78" s="4" t="s">
        <v>18</v>
      </c>
      <c r="G78" s="5">
        <v>0.1</v>
      </c>
      <c r="H78" s="5">
        <v>0.4</v>
      </c>
      <c r="I78" s="5">
        <v>0.05</v>
      </c>
      <c r="J78" s="6">
        <v>0.73684210526315785</v>
      </c>
      <c r="K78" s="6">
        <v>0.82047619047619036</v>
      </c>
      <c r="L78" s="6">
        <v>0.67617755738571439</v>
      </c>
      <c r="M78" s="4" t="s">
        <v>154</v>
      </c>
      <c r="N78" s="4">
        <v>9.8038501687038829E-2</v>
      </c>
      <c r="O78" s="4">
        <v>0</v>
      </c>
    </row>
    <row r="79" spans="1:15" x14ac:dyDescent="0.3">
      <c r="A79" s="4">
        <v>78</v>
      </c>
      <c r="B79" s="4">
        <v>78000</v>
      </c>
      <c r="C79" s="4" t="s">
        <v>163</v>
      </c>
      <c r="D79" s="4" t="s">
        <v>16</v>
      </c>
      <c r="E79" s="4" t="s">
        <v>17</v>
      </c>
      <c r="F79" s="4" t="s">
        <v>18</v>
      </c>
      <c r="G79" s="5">
        <v>0.1</v>
      </c>
      <c r="H79" s="5">
        <v>0.4</v>
      </c>
      <c r="I79" s="5">
        <v>0.05</v>
      </c>
      <c r="J79" s="6">
        <v>0.7321428571428571</v>
      </c>
      <c r="K79" s="6">
        <v>0.82</v>
      </c>
      <c r="L79" s="6">
        <v>0.6782009357026616</v>
      </c>
      <c r="M79" s="4" t="s">
        <v>160</v>
      </c>
      <c r="N79" s="4">
        <v>9.9685377435356479E-2</v>
      </c>
      <c r="O79" s="4">
        <v>0</v>
      </c>
    </row>
    <row r="80" spans="1:15" x14ac:dyDescent="0.3">
      <c r="A80" s="4">
        <v>79</v>
      </c>
      <c r="B80" s="4">
        <v>79000</v>
      </c>
      <c r="C80" s="4" t="s">
        <v>163</v>
      </c>
      <c r="D80" s="4" t="s">
        <v>16</v>
      </c>
      <c r="E80" s="4" t="s">
        <v>17</v>
      </c>
      <c r="F80" s="4" t="s">
        <v>18</v>
      </c>
      <c r="G80" s="5">
        <v>0.1</v>
      </c>
      <c r="H80" s="5">
        <v>0.4</v>
      </c>
      <c r="I80" s="5">
        <v>0.05</v>
      </c>
      <c r="J80" s="6">
        <v>0.7192982456140351</v>
      </c>
      <c r="K80" s="6">
        <v>0.82048780487804862</v>
      </c>
      <c r="L80" s="6">
        <v>0.67284102303095195</v>
      </c>
      <c r="M80" s="4" t="s">
        <v>156</v>
      </c>
      <c r="N80" s="4">
        <v>9.9227466373369239E-2</v>
      </c>
      <c r="O80" s="4">
        <v>0</v>
      </c>
    </row>
    <row r="81" spans="1:15" x14ac:dyDescent="0.3">
      <c r="A81" s="4">
        <v>80</v>
      </c>
      <c r="B81" s="4">
        <v>80000</v>
      </c>
      <c r="C81" s="4" t="s">
        <v>163</v>
      </c>
      <c r="D81" s="4" t="s">
        <v>16</v>
      </c>
      <c r="E81" s="4" t="s">
        <v>17</v>
      </c>
      <c r="F81" s="4" t="s">
        <v>18</v>
      </c>
      <c r="G81" s="5">
        <v>0.1</v>
      </c>
      <c r="H81" s="5">
        <v>0.4</v>
      </c>
      <c r="I81" s="5">
        <v>0.05</v>
      </c>
      <c r="J81" s="6">
        <v>0.7321428571428571</v>
      </c>
      <c r="K81" s="6">
        <v>0.82414634146341448</v>
      </c>
      <c r="L81" s="6">
        <v>0.71952837202583653</v>
      </c>
      <c r="M81" s="4" t="s">
        <v>79</v>
      </c>
      <c r="N81" s="4">
        <v>0.1040099908037084</v>
      </c>
      <c r="O81" s="4">
        <v>0</v>
      </c>
    </row>
    <row r="82" spans="1:15" x14ac:dyDescent="0.3">
      <c r="A82" s="4">
        <v>81</v>
      </c>
      <c r="B82" s="4">
        <v>81000</v>
      </c>
      <c r="C82" s="4" t="s">
        <v>163</v>
      </c>
      <c r="D82" s="4" t="s">
        <v>16</v>
      </c>
      <c r="E82" s="4" t="s">
        <v>17</v>
      </c>
      <c r="F82" s="4" t="s">
        <v>18</v>
      </c>
      <c r="G82" s="5">
        <v>0.1</v>
      </c>
      <c r="H82" s="5">
        <v>0.4</v>
      </c>
      <c r="I82" s="5">
        <v>0.05</v>
      </c>
      <c r="J82" s="6">
        <v>0.75</v>
      </c>
      <c r="K82" s="6">
        <v>0.82619047619047614</v>
      </c>
      <c r="L82" s="6">
        <v>0.74844116230788538</v>
      </c>
      <c r="M82" s="4" t="s">
        <v>60</v>
      </c>
      <c r="N82" s="4">
        <v>0.1067894550568154</v>
      </c>
      <c r="O82" s="4">
        <v>0</v>
      </c>
    </row>
    <row r="83" spans="1:15" x14ac:dyDescent="0.3">
      <c r="A83" s="4">
        <v>82</v>
      </c>
      <c r="B83" s="4">
        <v>82000</v>
      </c>
      <c r="C83" s="4" t="s">
        <v>163</v>
      </c>
      <c r="D83" s="4" t="s">
        <v>16</v>
      </c>
      <c r="E83" s="4" t="s">
        <v>17</v>
      </c>
      <c r="F83" s="4" t="s">
        <v>18</v>
      </c>
      <c r="G83" s="5">
        <v>0.1</v>
      </c>
      <c r="H83" s="5">
        <v>0.4</v>
      </c>
      <c r="I83" s="5">
        <v>0.05</v>
      </c>
      <c r="J83" s="6">
        <v>0.75</v>
      </c>
      <c r="K83" s="6">
        <v>0.82619047619047614</v>
      </c>
      <c r="L83" s="6">
        <v>0.74819752399990125</v>
      </c>
      <c r="M83" s="4" t="s">
        <v>136</v>
      </c>
      <c r="N83" s="4">
        <v>0.1060437299754896</v>
      </c>
      <c r="O83" s="4">
        <v>0</v>
      </c>
    </row>
    <row r="84" spans="1:15" x14ac:dyDescent="0.3">
      <c r="A84" s="4">
        <v>83</v>
      </c>
      <c r="B84" s="4">
        <v>83000</v>
      </c>
      <c r="C84" s="4" t="s">
        <v>163</v>
      </c>
      <c r="D84" s="4" t="s">
        <v>16</v>
      </c>
      <c r="E84" s="4" t="s">
        <v>17</v>
      </c>
      <c r="F84" s="4" t="s">
        <v>18</v>
      </c>
      <c r="G84" s="5">
        <v>0.1</v>
      </c>
      <c r="H84" s="5">
        <v>0.4</v>
      </c>
      <c r="I84" s="5">
        <v>0.05</v>
      </c>
      <c r="J84" s="6">
        <v>0.72727272727272729</v>
      </c>
      <c r="K84" s="6">
        <v>0.8234999999999999</v>
      </c>
      <c r="L84" s="6">
        <v>0.68391452759183913</v>
      </c>
      <c r="M84" s="4" t="s">
        <v>136</v>
      </c>
      <c r="N84" s="4">
        <v>0.1058119088629032</v>
      </c>
      <c r="O84" s="4">
        <v>0</v>
      </c>
    </row>
    <row r="85" spans="1:15" x14ac:dyDescent="0.3">
      <c r="A85" s="4">
        <v>84</v>
      </c>
      <c r="B85" s="4">
        <v>84000</v>
      </c>
      <c r="C85" s="4" t="s">
        <v>163</v>
      </c>
      <c r="D85" s="4" t="s">
        <v>16</v>
      </c>
      <c r="E85" s="4" t="s">
        <v>17</v>
      </c>
      <c r="F85" s="4" t="s">
        <v>18</v>
      </c>
      <c r="G85" s="5">
        <v>0.1</v>
      </c>
      <c r="H85" s="5">
        <v>0.4</v>
      </c>
      <c r="I85" s="5">
        <v>0.05</v>
      </c>
      <c r="J85" s="6">
        <v>0.7142857142857143</v>
      </c>
      <c r="K85" s="6">
        <v>0.82524999999999993</v>
      </c>
      <c r="L85" s="6">
        <v>0.70336459282173602</v>
      </c>
      <c r="M85" s="4" t="s">
        <v>160</v>
      </c>
      <c r="N85" s="4">
        <v>9.9824725500557127E-2</v>
      </c>
      <c r="O85" s="4">
        <v>0</v>
      </c>
    </row>
    <row r="86" spans="1:15" x14ac:dyDescent="0.3">
      <c r="A86" s="4">
        <v>85</v>
      </c>
      <c r="B86" s="4">
        <v>85000</v>
      </c>
      <c r="C86" s="4" t="s">
        <v>163</v>
      </c>
      <c r="D86" s="4" t="s">
        <v>16</v>
      </c>
      <c r="E86" s="4" t="s">
        <v>17</v>
      </c>
      <c r="F86" s="4" t="s">
        <v>18</v>
      </c>
      <c r="G86" s="5">
        <v>0.1</v>
      </c>
      <c r="H86" s="5">
        <v>0.4</v>
      </c>
      <c r="I86" s="5">
        <v>0.05</v>
      </c>
      <c r="J86" s="6">
        <v>0.7321428571428571</v>
      </c>
      <c r="K86" s="6">
        <v>0.82585365853658521</v>
      </c>
      <c r="L86" s="6">
        <v>0.72338806376866804</v>
      </c>
      <c r="M86" s="4" t="s">
        <v>154</v>
      </c>
      <c r="N86" s="4">
        <v>9.7776869871088107E-2</v>
      </c>
      <c r="O86" s="4">
        <v>0</v>
      </c>
    </row>
    <row r="87" spans="1:15" x14ac:dyDescent="0.3">
      <c r="A87" s="4">
        <v>86</v>
      </c>
      <c r="B87" s="4">
        <v>86000</v>
      </c>
      <c r="C87" s="4" t="s">
        <v>163</v>
      </c>
      <c r="D87" s="4" t="s">
        <v>16</v>
      </c>
      <c r="E87" s="4" t="s">
        <v>17</v>
      </c>
      <c r="F87" s="4" t="s">
        <v>18</v>
      </c>
      <c r="G87" s="5">
        <v>0.1</v>
      </c>
      <c r="H87" s="5">
        <v>0.4</v>
      </c>
      <c r="I87" s="5">
        <v>0.05</v>
      </c>
      <c r="J87" s="6">
        <v>0.72413793103448276</v>
      </c>
      <c r="K87" s="6">
        <v>0.8259523809523811</v>
      </c>
      <c r="L87" s="6">
        <v>0.75248954970800919</v>
      </c>
      <c r="M87" s="4" t="s">
        <v>154</v>
      </c>
      <c r="N87" s="4">
        <v>9.842287037827506E-2</v>
      </c>
      <c r="O87" s="4">
        <v>0</v>
      </c>
    </row>
    <row r="88" spans="1:15" x14ac:dyDescent="0.3">
      <c r="A88" s="4">
        <v>87</v>
      </c>
      <c r="B88" s="4">
        <v>87000</v>
      </c>
      <c r="C88" s="4" t="s">
        <v>163</v>
      </c>
      <c r="D88" s="4" t="s">
        <v>16</v>
      </c>
      <c r="E88" s="4" t="s">
        <v>17</v>
      </c>
      <c r="F88" s="4" t="s">
        <v>18</v>
      </c>
      <c r="G88" s="5">
        <v>0.1</v>
      </c>
      <c r="H88" s="5">
        <v>0.4</v>
      </c>
      <c r="I88" s="5">
        <v>0.05</v>
      </c>
      <c r="J88" s="6">
        <v>0.72413793103448276</v>
      </c>
      <c r="K88" s="6">
        <v>0.82666666666666666</v>
      </c>
      <c r="L88" s="6">
        <v>0.75181611709809537</v>
      </c>
      <c r="M88" s="4" t="s">
        <v>78</v>
      </c>
      <c r="N88" s="4">
        <v>9.6057204891160139E-2</v>
      </c>
      <c r="O88" s="4">
        <v>0</v>
      </c>
    </row>
    <row r="89" spans="1:15" x14ac:dyDescent="0.3">
      <c r="A89" s="4">
        <v>88</v>
      </c>
      <c r="B89" s="4">
        <v>88000</v>
      </c>
      <c r="C89" s="4" t="s">
        <v>163</v>
      </c>
      <c r="D89" s="4" t="s">
        <v>16</v>
      </c>
      <c r="E89" s="4" t="s">
        <v>17</v>
      </c>
      <c r="F89" s="4" t="s">
        <v>18</v>
      </c>
      <c r="G89" s="5">
        <v>0.1</v>
      </c>
      <c r="H89" s="5">
        <v>0.4</v>
      </c>
      <c r="I89" s="5">
        <v>0.05</v>
      </c>
      <c r="J89" s="6">
        <v>0.72413793103448276</v>
      </c>
      <c r="K89" s="6">
        <v>0.83071428571428574</v>
      </c>
      <c r="L89" s="6">
        <v>0.75528168544800733</v>
      </c>
      <c r="M89" s="4" t="s">
        <v>150</v>
      </c>
      <c r="N89" s="4">
        <v>9.4993537887319429E-2</v>
      </c>
      <c r="O89" s="4">
        <v>0</v>
      </c>
    </row>
    <row r="90" spans="1:15" x14ac:dyDescent="0.3">
      <c r="A90" s="4">
        <v>89</v>
      </c>
      <c r="B90" s="4">
        <v>89000</v>
      </c>
      <c r="C90" s="4" t="s">
        <v>163</v>
      </c>
      <c r="D90" s="4" t="s">
        <v>16</v>
      </c>
      <c r="E90" s="4" t="s">
        <v>17</v>
      </c>
      <c r="F90" s="4" t="s">
        <v>18</v>
      </c>
      <c r="G90" s="5">
        <v>0.1</v>
      </c>
      <c r="H90" s="5">
        <v>0.4</v>
      </c>
      <c r="I90" s="5">
        <v>0.05</v>
      </c>
      <c r="J90" s="6">
        <v>0.6964285714285714</v>
      </c>
      <c r="K90" s="6">
        <v>0.84307692307692295</v>
      </c>
      <c r="L90" s="6">
        <v>0.7250279540039295</v>
      </c>
      <c r="M90" s="4" t="s">
        <v>154</v>
      </c>
      <c r="N90" s="4">
        <v>9.8429772594542539E-2</v>
      </c>
      <c r="O90" s="4">
        <v>0</v>
      </c>
    </row>
    <row r="91" spans="1:15" x14ac:dyDescent="0.3">
      <c r="A91" s="4">
        <v>90</v>
      </c>
      <c r="B91" s="4">
        <v>90000</v>
      </c>
      <c r="C91" s="4" t="s">
        <v>163</v>
      </c>
      <c r="D91" s="4" t="s">
        <v>16</v>
      </c>
      <c r="E91" s="4" t="s">
        <v>17</v>
      </c>
      <c r="F91" s="4" t="s">
        <v>18</v>
      </c>
      <c r="G91" s="5">
        <v>0.1</v>
      </c>
      <c r="H91" s="5">
        <v>0.4</v>
      </c>
      <c r="I91" s="5">
        <v>0.05</v>
      </c>
      <c r="J91" s="6">
        <v>0.6964285714285714</v>
      </c>
      <c r="K91" s="6">
        <v>0.84794871794871796</v>
      </c>
      <c r="L91" s="6">
        <v>0.74063394143047301</v>
      </c>
      <c r="M91" s="4" t="s">
        <v>82</v>
      </c>
      <c r="N91" s="4">
        <v>0.10226997542982</v>
      </c>
      <c r="O91" s="4">
        <v>0</v>
      </c>
    </row>
    <row r="92" spans="1:15" x14ac:dyDescent="0.3">
      <c r="A92" s="4">
        <v>91</v>
      </c>
      <c r="B92" s="4">
        <v>91000</v>
      </c>
      <c r="C92" s="4" t="s">
        <v>163</v>
      </c>
      <c r="D92" s="4" t="s">
        <v>16</v>
      </c>
      <c r="E92" s="4" t="s">
        <v>17</v>
      </c>
      <c r="F92" s="4" t="s">
        <v>18</v>
      </c>
      <c r="G92" s="5">
        <v>0.1</v>
      </c>
      <c r="H92" s="5">
        <v>0.4</v>
      </c>
      <c r="I92" s="5">
        <v>0.05</v>
      </c>
      <c r="J92" s="6">
        <v>0.6964285714285714</v>
      </c>
      <c r="K92" s="6">
        <v>0.85025641025641019</v>
      </c>
      <c r="L92" s="6">
        <v>0.74009604469376988</v>
      </c>
      <c r="M92" s="4" t="s">
        <v>142</v>
      </c>
      <c r="N92" s="4">
        <v>0.1096287163132067</v>
      </c>
      <c r="O92" s="4">
        <v>0</v>
      </c>
    </row>
    <row r="93" spans="1:15" x14ac:dyDescent="0.3">
      <c r="A93" s="4">
        <v>92</v>
      </c>
      <c r="B93" s="4">
        <v>92000</v>
      </c>
      <c r="C93" s="4" t="s">
        <v>163</v>
      </c>
      <c r="D93" s="4" t="s">
        <v>16</v>
      </c>
      <c r="E93" s="4" t="s">
        <v>17</v>
      </c>
      <c r="F93" s="4" t="s">
        <v>18</v>
      </c>
      <c r="G93" s="5">
        <v>0.1</v>
      </c>
      <c r="H93" s="5">
        <v>0.4</v>
      </c>
      <c r="I93" s="5">
        <v>0.05</v>
      </c>
      <c r="J93" s="6">
        <v>0.6785714285714286</v>
      </c>
      <c r="K93" s="6">
        <v>0.84973684210526312</v>
      </c>
      <c r="L93" s="6">
        <v>0.71002234343312665</v>
      </c>
      <c r="M93" s="4" t="s">
        <v>142</v>
      </c>
      <c r="N93" s="4">
        <v>0.11019760839596331</v>
      </c>
      <c r="O93" s="4">
        <v>0</v>
      </c>
    </row>
    <row r="94" spans="1:15" x14ac:dyDescent="0.3">
      <c r="A94" s="4">
        <v>93</v>
      </c>
      <c r="B94" s="4">
        <v>93000</v>
      </c>
      <c r="C94" s="4" t="s">
        <v>163</v>
      </c>
      <c r="D94" s="4" t="s">
        <v>16</v>
      </c>
      <c r="E94" s="4" t="s">
        <v>17</v>
      </c>
      <c r="F94" s="4" t="s">
        <v>18</v>
      </c>
      <c r="G94" s="5">
        <v>0.1</v>
      </c>
      <c r="H94" s="5">
        <v>0.4</v>
      </c>
      <c r="I94" s="5">
        <v>0.05</v>
      </c>
      <c r="J94" s="6">
        <v>0.6607142857142857</v>
      </c>
      <c r="K94" s="6">
        <v>0.85054054054054062</v>
      </c>
      <c r="L94" s="6">
        <v>0.68611884558717462</v>
      </c>
      <c r="M94" s="4" t="s">
        <v>103</v>
      </c>
      <c r="N94" s="4">
        <v>0.1088604438797037</v>
      </c>
      <c r="O94" s="4">
        <v>0</v>
      </c>
    </row>
    <row r="95" spans="1:15" x14ac:dyDescent="0.3">
      <c r="A95" s="4">
        <v>94</v>
      </c>
      <c r="B95" s="4">
        <v>94000</v>
      </c>
      <c r="C95" s="4" t="s">
        <v>163</v>
      </c>
      <c r="D95" s="4" t="s">
        <v>16</v>
      </c>
      <c r="E95" s="4" t="s">
        <v>17</v>
      </c>
      <c r="F95" s="4" t="s">
        <v>18</v>
      </c>
      <c r="G95" s="5">
        <v>0.1</v>
      </c>
      <c r="H95" s="5">
        <v>0.4</v>
      </c>
      <c r="I95" s="5">
        <v>0.05</v>
      </c>
      <c r="J95" s="6">
        <v>0.6271186440677966</v>
      </c>
      <c r="K95" s="6">
        <v>0.85378378378378383</v>
      </c>
      <c r="L95" s="6">
        <v>0.69897050936247895</v>
      </c>
      <c r="M95" s="4" t="s">
        <v>142</v>
      </c>
      <c r="N95" s="4">
        <v>0.1097910681172871</v>
      </c>
      <c r="O95" s="4">
        <v>0</v>
      </c>
    </row>
    <row r="96" spans="1:15" x14ac:dyDescent="0.3">
      <c r="A96" s="4">
        <v>95</v>
      </c>
      <c r="B96" s="4">
        <v>95000</v>
      </c>
      <c r="C96" s="4" t="s">
        <v>163</v>
      </c>
      <c r="D96" s="4" t="s">
        <v>16</v>
      </c>
      <c r="E96" s="4" t="s">
        <v>17</v>
      </c>
      <c r="F96" s="4" t="s">
        <v>18</v>
      </c>
      <c r="G96" s="5">
        <v>0.1</v>
      </c>
      <c r="H96" s="5">
        <v>0.4</v>
      </c>
      <c r="I96" s="5">
        <v>0.05</v>
      </c>
      <c r="J96" s="6">
        <v>0.62903225806451613</v>
      </c>
      <c r="K96" s="6">
        <v>0.82102564102564091</v>
      </c>
      <c r="L96" s="6">
        <v>0.66450811562043877</v>
      </c>
      <c r="M96" s="4" t="s">
        <v>60</v>
      </c>
      <c r="N96" s="4">
        <v>0.10699599353617791</v>
      </c>
      <c r="O96" s="4">
        <v>0</v>
      </c>
    </row>
    <row r="97" spans="1:15" x14ac:dyDescent="0.3">
      <c r="A97" s="4">
        <v>96</v>
      </c>
      <c r="B97" s="4">
        <v>96000</v>
      </c>
      <c r="C97" s="4" t="s">
        <v>163</v>
      </c>
      <c r="D97" s="4" t="s">
        <v>16</v>
      </c>
      <c r="E97" s="4" t="s">
        <v>17</v>
      </c>
      <c r="F97" s="4" t="s">
        <v>18</v>
      </c>
      <c r="G97" s="5">
        <v>0.1</v>
      </c>
      <c r="H97" s="5">
        <v>0.4</v>
      </c>
      <c r="I97" s="5">
        <v>0.05</v>
      </c>
      <c r="J97" s="6">
        <v>0.62295081967213117</v>
      </c>
      <c r="K97" s="6">
        <v>0.82894736842105243</v>
      </c>
      <c r="L97" s="6">
        <v>0.66565731133636352</v>
      </c>
      <c r="M97" s="4" t="s">
        <v>99</v>
      </c>
      <c r="N97" s="4">
        <v>0.1026087861689246</v>
      </c>
      <c r="O97" s="4">
        <v>0</v>
      </c>
    </row>
    <row r="98" spans="1:15" x14ac:dyDescent="0.3">
      <c r="A98" s="4">
        <v>97</v>
      </c>
      <c r="B98" s="4">
        <v>97000</v>
      </c>
      <c r="C98" s="4" t="s">
        <v>163</v>
      </c>
      <c r="D98" s="4" t="s">
        <v>16</v>
      </c>
      <c r="E98" s="4" t="s">
        <v>17</v>
      </c>
      <c r="F98" s="4" t="s">
        <v>18</v>
      </c>
      <c r="G98" s="5">
        <v>0.1</v>
      </c>
      <c r="H98" s="5">
        <v>0.4</v>
      </c>
      <c r="I98" s="5">
        <v>0.05</v>
      </c>
      <c r="J98" s="6">
        <v>0.66666666666666663</v>
      </c>
      <c r="K98" s="6">
        <v>0.81499999999999984</v>
      </c>
      <c r="L98" s="6">
        <v>0.6669316135908947</v>
      </c>
      <c r="M98" s="4" t="s">
        <v>79</v>
      </c>
      <c r="N98" s="4">
        <v>0.10376415019364819</v>
      </c>
      <c r="O98" s="4">
        <v>0</v>
      </c>
    </row>
    <row r="99" spans="1:15" x14ac:dyDescent="0.3">
      <c r="A99" s="4">
        <v>98</v>
      </c>
      <c r="B99" s="4">
        <v>98000</v>
      </c>
      <c r="C99" s="4" t="s">
        <v>163</v>
      </c>
      <c r="D99" s="4" t="s">
        <v>16</v>
      </c>
      <c r="E99" s="4" t="s">
        <v>17</v>
      </c>
      <c r="F99" s="4" t="s">
        <v>18</v>
      </c>
      <c r="G99" s="5">
        <v>0.1</v>
      </c>
      <c r="H99" s="5">
        <v>0.4</v>
      </c>
      <c r="I99" s="5">
        <v>0.05</v>
      </c>
      <c r="J99" s="6">
        <v>0.65</v>
      </c>
      <c r="K99" s="6">
        <v>0.81615384615384612</v>
      </c>
      <c r="L99" s="6">
        <v>0.66277183011718177</v>
      </c>
      <c r="M99" s="4" t="s">
        <v>93</v>
      </c>
      <c r="N99" s="4">
        <v>0.1048279638679646</v>
      </c>
      <c r="O99" s="4">
        <v>0</v>
      </c>
    </row>
    <row r="100" spans="1:15" x14ac:dyDescent="0.3">
      <c r="A100" s="4">
        <v>99</v>
      </c>
      <c r="B100" s="4">
        <v>99000</v>
      </c>
      <c r="C100" s="4" t="s">
        <v>163</v>
      </c>
      <c r="D100" s="4" t="s">
        <v>16</v>
      </c>
      <c r="E100" s="4" t="s">
        <v>17</v>
      </c>
      <c r="F100" s="4" t="s">
        <v>18</v>
      </c>
      <c r="G100" s="5">
        <v>0.1</v>
      </c>
      <c r="H100" s="5">
        <v>0.4</v>
      </c>
      <c r="I100" s="5">
        <v>0.05</v>
      </c>
      <c r="J100" s="6">
        <v>0.64516129032258063</v>
      </c>
      <c r="K100" s="6">
        <v>0.81074999999999986</v>
      </c>
      <c r="L100" s="6">
        <v>0.68897153605492345</v>
      </c>
      <c r="M100" s="4" t="s">
        <v>79</v>
      </c>
      <c r="N100" s="4">
        <v>0.1043719103840049</v>
      </c>
      <c r="O100" s="4">
        <v>0</v>
      </c>
    </row>
    <row r="101" spans="1:15" x14ac:dyDescent="0.3">
      <c r="A101" s="4">
        <v>100</v>
      </c>
      <c r="B101" s="4">
        <v>100000</v>
      </c>
      <c r="C101" s="4" t="s">
        <v>163</v>
      </c>
      <c r="D101" s="4" t="s">
        <v>16</v>
      </c>
      <c r="E101" s="4" t="s">
        <v>17</v>
      </c>
      <c r="F101" s="4" t="s">
        <v>18</v>
      </c>
      <c r="G101" s="5">
        <v>0.1</v>
      </c>
      <c r="H101" s="5">
        <v>0.4</v>
      </c>
      <c r="I101" s="5">
        <v>0.05</v>
      </c>
      <c r="J101" s="6">
        <v>0.65079365079365081</v>
      </c>
      <c r="K101" s="6">
        <v>0.80219512195121923</v>
      </c>
      <c r="L101" s="6">
        <v>0.68942291507959363</v>
      </c>
      <c r="M101" s="4" t="s">
        <v>82</v>
      </c>
      <c r="N101" s="4">
        <v>0.1018952740625268</v>
      </c>
      <c r="O101" s="4">
        <v>0</v>
      </c>
    </row>
    <row r="102" spans="1:15" x14ac:dyDescent="0.3">
      <c r="A102" s="4">
        <v>101</v>
      </c>
      <c r="B102" s="4">
        <v>101000</v>
      </c>
      <c r="C102" s="4" t="s">
        <v>163</v>
      </c>
      <c r="D102" s="4" t="s">
        <v>16</v>
      </c>
      <c r="E102" s="4" t="s">
        <v>17</v>
      </c>
      <c r="F102" s="4" t="s">
        <v>18</v>
      </c>
      <c r="G102" s="5">
        <v>0.1</v>
      </c>
      <c r="H102" s="5">
        <v>0.4</v>
      </c>
      <c r="I102" s="5">
        <v>0.05</v>
      </c>
      <c r="J102" s="6">
        <v>0.67213114754098358</v>
      </c>
      <c r="K102" s="6">
        <v>0.8004878048780486</v>
      </c>
      <c r="L102" s="6">
        <v>0.68894579534229361</v>
      </c>
      <c r="M102" s="4" t="s">
        <v>82</v>
      </c>
      <c r="N102" s="4">
        <v>0.1019345131973773</v>
      </c>
      <c r="O102" s="4">
        <v>0</v>
      </c>
    </row>
    <row r="103" spans="1:15" x14ac:dyDescent="0.3">
      <c r="A103" s="4">
        <v>102</v>
      </c>
      <c r="B103" s="4">
        <v>102000</v>
      </c>
      <c r="C103" s="4" t="s">
        <v>163</v>
      </c>
      <c r="D103" s="4" t="s">
        <v>16</v>
      </c>
      <c r="E103" s="4" t="s">
        <v>17</v>
      </c>
      <c r="F103" s="4" t="s">
        <v>18</v>
      </c>
      <c r="G103" s="5">
        <v>0.1</v>
      </c>
      <c r="H103" s="5">
        <v>0.4</v>
      </c>
      <c r="I103" s="5">
        <v>0.05</v>
      </c>
      <c r="J103" s="6">
        <v>0.65573770491803274</v>
      </c>
      <c r="K103" s="6">
        <v>0.8012499999999998</v>
      </c>
      <c r="L103" s="6">
        <v>0.66548849387367248</v>
      </c>
      <c r="M103" s="4" t="s">
        <v>156</v>
      </c>
      <c r="N103" s="4">
        <v>9.9292049993025502E-2</v>
      </c>
      <c r="O103" s="4">
        <v>0</v>
      </c>
    </row>
    <row r="104" spans="1:15" x14ac:dyDescent="0.3">
      <c r="A104" s="4">
        <v>103</v>
      </c>
      <c r="B104" s="4">
        <v>103000</v>
      </c>
      <c r="C104" s="4" t="s">
        <v>163</v>
      </c>
      <c r="D104" s="4" t="s">
        <v>16</v>
      </c>
      <c r="E104" s="4" t="s">
        <v>17</v>
      </c>
      <c r="F104" s="4" t="s">
        <v>18</v>
      </c>
      <c r="G104" s="5">
        <v>0.1</v>
      </c>
      <c r="H104" s="5">
        <v>0.4</v>
      </c>
      <c r="I104" s="5">
        <v>0.05</v>
      </c>
      <c r="J104" s="6">
        <v>0.66666666666666663</v>
      </c>
      <c r="K104" s="6">
        <v>0.79428571428571415</v>
      </c>
      <c r="L104" s="6">
        <v>0.73501690533323483</v>
      </c>
      <c r="M104" s="4" t="s">
        <v>19</v>
      </c>
      <c r="N104" s="4">
        <v>1</v>
      </c>
      <c r="O104" s="4">
        <v>1</v>
      </c>
    </row>
    <row r="105" spans="1:15" x14ac:dyDescent="0.3">
      <c r="A105" s="4">
        <v>104</v>
      </c>
      <c r="B105" s="4">
        <v>104000</v>
      </c>
      <c r="C105" s="4" t="s">
        <v>163</v>
      </c>
      <c r="D105" s="4" t="s">
        <v>16</v>
      </c>
      <c r="E105" s="4" t="s">
        <v>17</v>
      </c>
      <c r="F105" s="4" t="s">
        <v>18</v>
      </c>
      <c r="G105" s="5">
        <v>0.1</v>
      </c>
      <c r="H105" s="5">
        <v>0.4</v>
      </c>
      <c r="I105" s="5">
        <v>0.05</v>
      </c>
      <c r="J105" s="6">
        <v>0.66666666666666663</v>
      </c>
      <c r="K105" s="6">
        <v>0.79023809523809496</v>
      </c>
      <c r="L105" s="6">
        <v>0.74095692860666318</v>
      </c>
      <c r="M105" s="4" t="s">
        <v>177</v>
      </c>
      <c r="N105" s="4">
        <v>1.7443944065613878E-2</v>
      </c>
      <c r="O105" s="4">
        <v>0</v>
      </c>
    </row>
    <row r="106" spans="1:15" x14ac:dyDescent="0.3">
      <c r="A106" s="4">
        <v>105</v>
      </c>
      <c r="B106" s="4">
        <v>105000</v>
      </c>
      <c r="C106" s="4" t="s">
        <v>163</v>
      </c>
      <c r="D106" s="4" t="s">
        <v>16</v>
      </c>
      <c r="E106" s="4" t="s">
        <v>17</v>
      </c>
      <c r="F106" s="4" t="s">
        <v>18</v>
      </c>
      <c r="G106" s="5">
        <v>0.1</v>
      </c>
      <c r="H106" s="5">
        <v>0.4</v>
      </c>
      <c r="I106" s="5">
        <v>0.05</v>
      </c>
      <c r="J106" s="6">
        <v>0.66666666666666663</v>
      </c>
      <c r="K106" s="6">
        <v>0.79095238095238074</v>
      </c>
      <c r="L106" s="6">
        <v>0.74086861477434596</v>
      </c>
      <c r="M106" s="4" t="s">
        <v>171</v>
      </c>
      <c r="N106" s="4">
        <v>2.109085668297753E-2</v>
      </c>
      <c r="O106" s="4">
        <v>0</v>
      </c>
    </row>
    <row r="107" spans="1:15" x14ac:dyDescent="0.3">
      <c r="A107" s="4">
        <v>106</v>
      </c>
      <c r="B107" s="4">
        <v>106000</v>
      </c>
      <c r="C107" s="4" t="s">
        <v>163</v>
      </c>
      <c r="D107" s="4" t="s">
        <v>16</v>
      </c>
      <c r="E107" s="4" t="s">
        <v>17</v>
      </c>
      <c r="F107" s="4" t="s">
        <v>18</v>
      </c>
      <c r="G107" s="5">
        <v>0.1</v>
      </c>
      <c r="H107" s="5">
        <v>0.4</v>
      </c>
      <c r="I107" s="5">
        <v>0.05</v>
      </c>
      <c r="J107" s="6">
        <v>0.671875</v>
      </c>
      <c r="K107" s="6">
        <v>0.7832558139534882</v>
      </c>
      <c r="L107" s="6">
        <v>0.74130520316168258</v>
      </c>
      <c r="M107" s="4" t="s">
        <v>178</v>
      </c>
      <c r="N107" s="4">
        <v>3.2460589086845848E-2</v>
      </c>
      <c r="O107" s="4">
        <v>0</v>
      </c>
    </row>
    <row r="108" spans="1:15" x14ac:dyDescent="0.3">
      <c r="A108" s="4">
        <v>107</v>
      </c>
      <c r="B108" s="4">
        <v>107000</v>
      </c>
      <c r="C108" s="4" t="s">
        <v>163</v>
      </c>
      <c r="D108" s="4" t="s">
        <v>16</v>
      </c>
      <c r="E108" s="4" t="s">
        <v>17</v>
      </c>
      <c r="F108" s="4" t="s">
        <v>18</v>
      </c>
      <c r="G108" s="5">
        <v>0.1</v>
      </c>
      <c r="H108" s="5">
        <v>0.4</v>
      </c>
      <c r="I108" s="5">
        <v>0.05</v>
      </c>
      <c r="J108" s="6">
        <v>0.671875</v>
      </c>
      <c r="K108" s="6">
        <v>0.7832558139534882</v>
      </c>
      <c r="L108" s="6">
        <v>0.74375716605661679</v>
      </c>
      <c r="M108" s="4" t="s">
        <v>179</v>
      </c>
      <c r="N108" s="4">
        <v>3.7037765803252971E-2</v>
      </c>
      <c r="O108" s="4">
        <v>0</v>
      </c>
    </row>
    <row r="109" spans="1:15" x14ac:dyDescent="0.3">
      <c r="A109" s="4">
        <v>108</v>
      </c>
      <c r="B109" s="4">
        <v>108000</v>
      </c>
      <c r="C109" s="4" t="s">
        <v>163</v>
      </c>
      <c r="D109" s="4" t="s">
        <v>16</v>
      </c>
      <c r="E109" s="4" t="s">
        <v>17</v>
      </c>
      <c r="F109" s="4" t="s">
        <v>18</v>
      </c>
      <c r="G109" s="5">
        <v>0.1</v>
      </c>
      <c r="H109" s="5">
        <v>0.4</v>
      </c>
      <c r="I109" s="5">
        <v>0.05</v>
      </c>
      <c r="J109" s="6">
        <v>0.671875</v>
      </c>
      <c r="K109" s="6">
        <v>0.7848837209302324</v>
      </c>
      <c r="L109" s="6">
        <v>0.74363985883856853</v>
      </c>
      <c r="M109" s="4" t="s">
        <v>180</v>
      </c>
      <c r="N109" s="4">
        <v>3.7804117236357911E-2</v>
      </c>
      <c r="O109" s="4">
        <v>0</v>
      </c>
    </row>
    <row r="110" spans="1:15" x14ac:dyDescent="0.3">
      <c r="A110" s="4">
        <v>109</v>
      </c>
      <c r="B110" s="4">
        <v>109000</v>
      </c>
      <c r="C110" s="4" t="s">
        <v>163</v>
      </c>
      <c r="D110" s="4" t="s">
        <v>16</v>
      </c>
      <c r="E110" s="4" t="s">
        <v>17</v>
      </c>
      <c r="F110" s="4" t="s">
        <v>18</v>
      </c>
      <c r="G110" s="5">
        <v>0.1</v>
      </c>
      <c r="H110" s="5">
        <v>0.4</v>
      </c>
      <c r="I110" s="5">
        <v>0.05</v>
      </c>
      <c r="J110" s="6">
        <v>0.66666666666666663</v>
      </c>
      <c r="K110" s="6">
        <v>0.7783333333333331</v>
      </c>
      <c r="L110" s="6">
        <v>0.72969406194258479</v>
      </c>
      <c r="M110" s="4" t="s">
        <v>168</v>
      </c>
      <c r="N110" s="4">
        <v>4.3752387804804713E-2</v>
      </c>
      <c r="O110" s="4">
        <v>0</v>
      </c>
    </row>
    <row r="111" spans="1:15" x14ac:dyDescent="0.3">
      <c r="A111" s="4">
        <v>110</v>
      </c>
      <c r="B111" s="4">
        <v>110000</v>
      </c>
      <c r="C111" s="4" t="s">
        <v>163</v>
      </c>
      <c r="D111" s="4" t="s">
        <v>16</v>
      </c>
      <c r="E111" s="4" t="s">
        <v>17</v>
      </c>
      <c r="F111" s="4" t="s">
        <v>18</v>
      </c>
      <c r="G111" s="5">
        <v>0.1</v>
      </c>
      <c r="H111" s="5">
        <v>0.4</v>
      </c>
      <c r="I111" s="5">
        <v>0.05</v>
      </c>
      <c r="J111" s="6">
        <v>0.69354838709677424</v>
      </c>
      <c r="K111" s="6">
        <v>0.79325581395348821</v>
      </c>
      <c r="L111" s="6">
        <v>0.75519140009067798</v>
      </c>
      <c r="M111" s="4" t="s">
        <v>181</v>
      </c>
      <c r="N111" s="4">
        <v>4.568828836000903E-2</v>
      </c>
      <c r="O111" s="4">
        <v>0</v>
      </c>
    </row>
    <row r="112" spans="1:15" x14ac:dyDescent="0.3">
      <c r="A112" s="4">
        <v>111</v>
      </c>
      <c r="B112" s="4">
        <v>111000</v>
      </c>
      <c r="C112" s="4" t="s">
        <v>163</v>
      </c>
      <c r="D112" s="4" t="s">
        <v>16</v>
      </c>
      <c r="E112" s="4" t="s">
        <v>17</v>
      </c>
      <c r="F112" s="4" t="s">
        <v>18</v>
      </c>
      <c r="G112" s="5">
        <v>0.1</v>
      </c>
      <c r="H112" s="5">
        <v>0.4</v>
      </c>
      <c r="I112" s="5">
        <v>0.05</v>
      </c>
      <c r="J112" s="6">
        <v>0.67213114754098358</v>
      </c>
      <c r="K112" s="6">
        <v>0.78999999999999981</v>
      </c>
      <c r="L112" s="6">
        <v>0.75026786513007504</v>
      </c>
      <c r="M112" s="4" t="s">
        <v>182</v>
      </c>
      <c r="N112" s="4">
        <v>5.2493996901601801E-2</v>
      </c>
      <c r="O112" s="4">
        <v>0</v>
      </c>
    </row>
    <row r="113" spans="1:15" x14ac:dyDescent="0.3">
      <c r="A113" s="4">
        <v>112</v>
      </c>
      <c r="B113" s="4">
        <v>112000</v>
      </c>
      <c r="C113" s="4" t="s">
        <v>163</v>
      </c>
      <c r="D113" s="4" t="s">
        <v>16</v>
      </c>
      <c r="E113" s="4" t="s">
        <v>17</v>
      </c>
      <c r="F113" s="4" t="s">
        <v>18</v>
      </c>
      <c r="G113" s="5">
        <v>0.1</v>
      </c>
      <c r="H113" s="5">
        <v>0.4</v>
      </c>
      <c r="I113" s="5">
        <v>0.05</v>
      </c>
      <c r="J113" s="6">
        <v>0.66129032258064513</v>
      </c>
      <c r="K113" s="6">
        <v>0.77951219512195102</v>
      </c>
      <c r="L113" s="6">
        <v>0.68059897115177759</v>
      </c>
      <c r="M113" s="4" t="s">
        <v>183</v>
      </c>
      <c r="N113" s="4">
        <v>5.5157564846599949E-2</v>
      </c>
      <c r="O113" s="4">
        <v>0</v>
      </c>
    </row>
    <row r="114" spans="1:15" x14ac:dyDescent="0.3">
      <c r="A114" s="4">
        <v>113</v>
      </c>
      <c r="B114" s="4">
        <v>113000</v>
      </c>
      <c r="C114" s="4" t="s">
        <v>163</v>
      </c>
      <c r="D114" s="4" t="s">
        <v>16</v>
      </c>
      <c r="E114" s="4" t="s">
        <v>17</v>
      </c>
      <c r="F114" s="4" t="s">
        <v>18</v>
      </c>
      <c r="G114" s="5">
        <v>0.1</v>
      </c>
      <c r="H114" s="5">
        <v>0.4</v>
      </c>
      <c r="I114" s="5">
        <v>0.05</v>
      </c>
      <c r="J114" s="6">
        <v>0.66129032258064513</v>
      </c>
      <c r="K114" s="6">
        <v>0.78146341463414615</v>
      </c>
      <c r="L114" s="6">
        <v>0.6742961255383908</v>
      </c>
      <c r="M114" s="4" t="s">
        <v>175</v>
      </c>
      <c r="N114" s="4">
        <v>5.7602305760636643E-2</v>
      </c>
      <c r="O114" s="4">
        <v>0</v>
      </c>
    </row>
    <row r="115" spans="1:15" x14ac:dyDescent="0.3">
      <c r="A115" s="4">
        <v>114</v>
      </c>
      <c r="B115" s="4">
        <v>114000</v>
      </c>
      <c r="C115" s="4" t="s">
        <v>163</v>
      </c>
      <c r="D115" s="4" t="s">
        <v>16</v>
      </c>
      <c r="E115" s="4" t="s">
        <v>17</v>
      </c>
      <c r="F115" s="4" t="s">
        <v>18</v>
      </c>
      <c r="G115" s="5">
        <v>0.1</v>
      </c>
      <c r="H115" s="5">
        <v>0.4</v>
      </c>
      <c r="I115" s="5">
        <v>0.05</v>
      </c>
      <c r="J115" s="6">
        <v>0.66129032258064513</v>
      </c>
      <c r="K115" s="6">
        <v>0.78585365853658529</v>
      </c>
      <c r="L115" s="6">
        <v>0.67636244300411685</v>
      </c>
      <c r="M115" s="4" t="s">
        <v>184</v>
      </c>
      <c r="N115" s="4">
        <v>5.9326326624321017E-2</v>
      </c>
      <c r="O115" s="4">
        <v>0</v>
      </c>
    </row>
    <row r="116" spans="1:15" x14ac:dyDescent="0.3">
      <c r="A116" s="4">
        <v>115</v>
      </c>
      <c r="B116" s="4">
        <v>115000</v>
      </c>
      <c r="C116" s="4" t="s">
        <v>163</v>
      </c>
      <c r="D116" s="4" t="s">
        <v>16</v>
      </c>
      <c r="E116" s="4" t="s">
        <v>17</v>
      </c>
      <c r="F116" s="4" t="s">
        <v>18</v>
      </c>
      <c r="G116" s="5">
        <v>0.1</v>
      </c>
      <c r="H116" s="5">
        <v>0.4</v>
      </c>
      <c r="I116" s="5">
        <v>0.05</v>
      </c>
      <c r="J116" s="6">
        <v>0.68852459016393441</v>
      </c>
      <c r="K116" s="6">
        <v>0.79238095238095219</v>
      </c>
      <c r="L116" s="6">
        <v>0.69437975109844796</v>
      </c>
      <c r="M116" s="4" t="s">
        <v>185</v>
      </c>
      <c r="N116" s="4">
        <v>5.9646716851600577E-2</v>
      </c>
      <c r="O116" s="4">
        <v>0</v>
      </c>
    </row>
    <row r="117" spans="1:15" x14ac:dyDescent="0.3">
      <c r="A117" s="4">
        <v>116</v>
      </c>
      <c r="B117" s="4">
        <v>116000</v>
      </c>
      <c r="C117" s="4" t="s">
        <v>163</v>
      </c>
      <c r="D117" s="4" t="s">
        <v>16</v>
      </c>
      <c r="E117" s="4" t="s">
        <v>17</v>
      </c>
      <c r="F117" s="4" t="s">
        <v>18</v>
      </c>
      <c r="G117" s="5">
        <v>0.1</v>
      </c>
      <c r="H117" s="5">
        <v>0.4</v>
      </c>
      <c r="I117" s="5">
        <v>0.05</v>
      </c>
      <c r="J117" s="6">
        <v>0.66666666666666663</v>
      </c>
      <c r="K117" s="6">
        <v>0.80024999999999979</v>
      </c>
      <c r="L117" s="6">
        <v>0.67834264413903145</v>
      </c>
      <c r="M117" s="4" t="s">
        <v>186</v>
      </c>
      <c r="N117" s="4">
        <v>6.4760299330279922E-2</v>
      </c>
      <c r="O117" s="4">
        <v>0</v>
      </c>
    </row>
    <row r="118" spans="1:15" x14ac:dyDescent="0.3">
      <c r="A118" s="4">
        <v>117</v>
      </c>
      <c r="B118" s="4">
        <v>117000</v>
      </c>
      <c r="C118" s="4" t="s">
        <v>163</v>
      </c>
      <c r="D118" s="4" t="s">
        <v>16</v>
      </c>
      <c r="E118" s="4" t="s">
        <v>17</v>
      </c>
      <c r="F118" s="4" t="s">
        <v>18</v>
      </c>
      <c r="G118" s="5">
        <v>0.1</v>
      </c>
      <c r="H118" s="5">
        <v>0.4</v>
      </c>
      <c r="I118" s="5">
        <v>0.05</v>
      </c>
      <c r="J118" s="6">
        <v>0.68333333333333335</v>
      </c>
      <c r="K118" s="6">
        <v>0.7980487804878047</v>
      </c>
      <c r="L118" s="6">
        <v>0.71117797840873453</v>
      </c>
      <c r="M118" s="4" t="s">
        <v>104</v>
      </c>
      <c r="N118" s="4">
        <v>7.0025753394860529E-2</v>
      </c>
      <c r="O118" s="4">
        <v>0</v>
      </c>
    </row>
    <row r="119" spans="1:15" x14ac:dyDescent="0.3">
      <c r="A119" s="4">
        <v>118</v>
      </c>
      <c r="B119" s="4">
        <v>118000</v>
      </c>
      <c r="C119" s="4" t="s">
        <v>163</v>
      </c>
      <c r="D119" s="4" t="s">
        <v>16</v>
      </c>
      <c r="E119" s="4" t="s">
        <v>17</v>
      </c>
      <c r="F119" s="4" t="s">
        <v>18</v>
      </c>
      <c r="G119" s="5">
        <v>0.1</v>
      </c>
      <c r="H119" s="5">
        <v>0.4</v>
      </c>
      <c r="I119" s="5">
        <v>0.05</v>
      </c>
      <c r="J119" s="6">
        <v>0.67213114754098358</v>
      </c>
      <c r="K119" s="6">
        <v>0.8004878048780486</v>
      </c>
      <c r="L119" s="6">
        <v>0.71458027856175665</v>
      </c>
      <c r="M119" s="4" t="s">
        <v>186</v>
      </c>
      <c r="N119" s="4">
        <v>6.5423438781988058E-2</v>
      </c>
      <c r="O119" s="4">
        <v>0</v>
      </c>
    </row>
    <row r="120" spans="1:15" x14ac:dyDescent="0.3">
      <c r="A120" s="4">
        <v>119</v>
      </c>
      <c r="B120" s="4">
        <v>119000</v>
      </c>
      <c r="C120" s="4" t="s">
        <v>163</v>
      </c>
      <c r="D120" s="4" t="s">
        <v>16</v>
      </c>
      <c r="E120" s="4" t="s">
        <v>17</v>
      </c>
      <c r="F120" s="4" t="s">
        <v>18</v>
      </c>
      <c r="G120" s="5">
        <v>0.1</v>
      </c>
      <c r="H120" s="5">
        <v>0.4</v>
      </c>
      <c r="I120" s="5">
        <v>0.05</v>
      </c>
      <c r="J120" s="6">
        <v>0.68333333333333335</v>
      </c>
      <c r="K120" s="6">
        <v>0.79804878048780481</v>
      </c>
      <c r="L120" s="6">
        <v>0.6955210221788396</v>
      </c>
      <c r="M120" s="4" t="s">
        <v>155</v>
      </c>
      <c r="N120" s="4">
        <v>6.7229489028879055E-2</v>
      </c>
      <c r="O120" s="4">
        <v>0</v>
      </c>
    </row>
    <row r="121" spans="1:15" x14ac:dyDescent="0.3">
      <c r="A121" s="4">
        <v>120</v>
      </c>
      <c r="B121" s="4">
        <v>120000</v>
      </c>
      <c r="C121" s="4" t="s">
        <v>163</v>
      </c>
      <c r="D121" s="4" t="s">
        <v>16</v>
      </c>
      <c r="E121" s="4" t="s">
        <v>17</v>
      </c>
      <c r="F121" s="4" t="s">
        <v>18</v>
      </c>
      <c r="G121" s="5">
        <v>0.1</v>
      </c>
      <c r="H121" s="5">
        <v>0.4</v>
      </c>
      <c r="I121" s="5">
        <v>0.05</v>
      </c>
      <c r="J121" s="6">
        <v>0.66666666666666663</v>
      </c>
      <c r="K121" s="6">
        <v>0.78574999999999995</v>
      </c>
      <c r="L121" s="6">
        <v>0.68488063009589206</v>
      </c>
      <c r="M121" s="4" t="s">
        <v>187</v>
      </c>
      <c r="N121" s="4">
        <v>6.7576008902523022E-2</v>
      </c>
      <c r="O121" s="4">
        <v>0</v>
      </c>
    </row>
    <row r="122" spans="1:15" x14ac:dyDescent="0.3">
      <c r="A122" s="4">
        <v>121</v>
      </c>
      <c r="B122" s="4">
        <v>121000</v>
      </c>
      <c r="C122" s="4" t="s">
        <v>163</v>
      </c>
      <c r="D122" s="4" t="s">
        <v>16</v>
      </c>
      <c r="E122" s="4" t="s">
        <v>17</v>
      </c>
      <c r="F122" s="4" t="s">
        <v>18</v>
      </c>
      <c r="G122" s="5">
        <v>0.1</v>
      </c>
      <c r="H122" s="5">
        <v>0.4</v>
      </c>
      <c r="I122" s="5">
        <v>0.05</v>
      </c>
      <c r="J122" s="6">
        <v>0.64516129032258063</v>
      </c>
      <c r="K122" s="6">
        <v>0.78749999999999998</v>
      </c>
      <c r="L122" s="6">
        <v>0.70579793456837181</v>
      </c>
      <c r="M122" s="4" t="s">
        <v>155</v>
      </c>
      <c r="N122" s="4">
        <v>6.6857916092296202E-2</v>
      </c>
      <c r="O122" s="4">
        <v>0</v>
      </c>
    </row>
    <row r="123" spans="1:15" x14ac:dyDescent="0.3">
      <c r="A123" s="4">
        <v>122</v>
      </c>
      <c r="B123" s="4">
        <v>122000</v>
      </c>
      <c r="C123" s="4" t="s">
        <v>163</v>
      </c>
      <c r="D123" s="4" t="s">
        <v>16</v>
      </c>
      <c r="E123" s="4" t="s">
        <v>17</v>
      </c>
      <c r="F123" s="4" t="s">
        <v>18</v>
      </c>
      <c r="G123" s="5">
        <v>0.1</v>
      </c>
      <c r="H123" s="5">
        <v>0.4</v>
      </c>
      <c r="I123" s="5">
        <v>0.05</v>
      </c>
      <c r="J123" s="6">
        <v>0.66129032258064513</v>
      </c>
      <c r="K123" s="6">
        <v>0.79170731707317055</v>
      </c>
      <c r="L123" s="6">
        <v>0.71843591027358444</v>
      </c>
      <c r="M123" s="4" t="s">
        <v>187</v>
      </c>
      <c r="N123" s="4">
        <v>6.8087160135268221E-2</v>
      </c>
      <c r="O123" s="4">
        <v>0</v>
      </c>
    </row>
    <row r="124" spans="1:15" x14ac:dyDescent="0.3">
      <c r="A124" s="4">
        <v>123</v>
      </c>
      <c r="B124" s="4">
        <v>123000</v>
      </c>
      <c r="C124" s="4" t="s">
        <v>163</v>
      </c>
      <c r="D124" s="4" t="s">
        <v>16</v>
      </c>
      <c r="E124" s="4" t="s">
        <v>17</v>
      </c>
      <c r="F124" s="4" t="s">
        <v>18</v>
      </c>
      <c r="G124" s="5">
        <v>0.1</v>
      </c>
      <c r="H124" s="5">
        <v>0.4</v>
      </c>
      <c r="I124" s="5">
        <v>0.05</v>
      </c>
      <c r="J124" s="6">
        <v>0.66129032258064513</v>
      </c>
      <c r="K124" s="6">
        <v>0.79341463414634128</v>
      </c>
      <c r="L124" s="6">
        <v>0.71918710549617382</v>
      </c>
      <c r="M124" s="4" t="s">
        <v>24</v>
      </c>
      <c r="N124" s="4">
        <v>7.2554972729347675E-2</v>
      </c>
      <c r="O124" s="4">
        <v>0</v>
      </c>
    </row>
    <row r="125" spans="1:15" x14ac:dyDescent="0.3">
      <c r="A125" s="4">
        <v>124</v>
      </c>
      <c r="B125" s="4">
        <v>124000</v>
      </c>
      <c r="C125" s="4" t="s">
        <v>163</v>
      </c>
      <c r="D125" s="4" t="s">
        <v>16</v>
      </c>
      <c r="E125" s="4" t="s">
        <v>17</v>
      </c>
      <c r="F125" s="4" t="s">
        <v>18</v>
      </c>
      <c r="G125" s="5">
        <v>0.1</v>
      </c>
      <c r="H125" s="5">
        <v>0.4</v>
      </c>
      <c r="I125" s="5">
        <v>0.05</v>
      </c>
      <c r="J125" s="6">
        <v>0.64516129032258063</v>
      </c>
      <c r="K125" s="6">
        <v>0.79299999999999993</v>
      </c>
      <c r="L125" s="6">
        <v>0.69113133117778258</v>
      </c>
      <c r="M125" s="4" t="s">
        <v>24</v>
      </c>
      <c r="N125" s="4">
        <v>7.2554873263382613E-2</v>
      </c>
      <c r="O125" s="4">
        <v>0</v>
      </c>
    </row>
    <row r="126" spans="1:15" x14ac:dyDescent="0.3">
      <c r="A126" s="4">
        <v>125</v>
      </c>
      <c r="B126" s="4">
        <v>125000</v>
      </c>
      <c r="C126" s="4" t="s">
        <v>163</v>
      </c>
      <c r="D126" s="4" t="s">
        <v>16</v>
      </c>
      <c r="E126" s="4" t="s">
        <v>17</v>
      </c>
      <c r="F126" s="4" t="s">
        <v>18</v>
      </c>
      <c r="G126" s="5">
        <v>0.1</v>
      </c>
      <c r="H126" s="5">
        <v>0.4</v>
      </c>
      <c r="I126" s="5">
        <v>0.05</v>
      </c>
      <c r="J126" s="6">
        <v>0.67213114754098358</v>
      </c>
      <c r="K126" s="6">
        <v>0.79585365853658541</v>
      </c>
      <c r="L126" s="6">
        <v>0.69817090731747689</v>
      </c>
      <c r="M126" s="4" t="s">
        <v>24</v>
      </c>
      <c r="N126" s="4">
        <v>7.3353197595371941E-2</v>
      </c>
      <c r="O126" s="4">
        <v>0</v>
      </c>
    </row>
    <row r="127" spans="1:15" x14ac:dyDescent="0.3">
      <c r="A127" s="4">
        <v>126</v>
      </c>
      <c r="B127" s="4">
        <v>126000</v>
      </c>
      <c r="C127" s="4" t="s">
        <v>163</v>
      </c>
      <c r="D127" s="4" t="s">
        <v>16</v>
      </c>
      <c r="E127" s="4" t="s">
        <v>17</v>
      </c>
      <c r="F127" s="4" t="s">
        <v>18</v>
      </c>
      <c r="G127" s="5">
        <v>0.1</v>
      </c>
      <c r="H127" s="5">
        <v>0.4</v>
      </c>
      <c r="I127" s="5">
        <v>0.05</v>
      </c>
      <c r="J127" s="6">
        <v>0.66666666666666663</v>
      </c>
      <c r="K127" s="6">
        <v>0.81500000000000006</v>
      </c>
      <c r="L127" s="6">
        <v>0.71319062049723636</v>
      </c>
      <c r="M127" s="4" t="s">
        <v>170</v>
      </c>
      <c r="N127" s="4">
        <v>8.0816511095576624E-2</v>
      </c>
      <c r="O127" s="4">
        <v>0</v>
      </c>
    </row>
    <row r="128" spans="1:15" x14ac:dyDescent="0.3">
      <c r="A128" s="4">
        <v>127</v>
      </c>
      <c r="B128" s="4">
        <v>127000</v>
      </c>
      <c r="C128" s="4" t="s">
        <v>163</v>
      </c>
      <c r="D128" s="4" t="s">
        <v>16</v>
      </c>
      <c r="E128" s="4" t="s">
        <v>17</v>
      </c>
      <c r="F128" s="4" t="s">
        <v>18</v>
      </c>
      <c r="G128" s="5">
        <v>0.1</v>
      </c>
      <c r="H128" s="5">
        <v>0.4</v>
      </c>
      <c r="I128" s="5">
        <v>0.05</v>
      </c>
      <c r="J128" s="6">
        <v>0.66666666666666663</v>
      </c>
      <c r="K128" s="6">
        <v>0.81425000000000003</v>
      </c>
      <c r="L128" s="6">
        <v>0.66434633393810405</v>
      </c>
      <c r="M128" s="4" t="s">
        <v>188</v>
      </c>
      <c r="N128" s="4">
        <v>8.0141815015089005E-2</v>
      </c>
      <c r="O128" s="4">
        <v>0</v>
      </c>
    </row>
    <row r="129" spans="1:15" x14ac:dyDescent="0.3">
      <c r="A129" s="4">
        <v>128</v>
      </c>
      <c r="B129" s="4">
        <v>128000</v>
      </c>
      <c r="C129" s="4" t="s">
        <v>163</v>
      </c>
      <c r="D129" s="4" t="s">
        <v>16</v>
      </c>
      <c r="E129" s="4" t="s">
        <v>17</v>
      </c>
      <c r="F129" s="4" t="s">
        <v>18</v>
      </c>
      <c r="G129" s="5">
        <v>0.1</v>
      </c>
      <c r="H129" s="5">
        <v>0.4</v>
      </c>
      <c r="I129" s="5">
        <v>0.05</v>
      </c>
      <c r="J129" s="6">
        <v>0.66666666666666663</v>
      </c>
      <c r="K129" s="6">
        <v>0.81125000000000003</v>
      </c>
      <c r="L129" s="6">
        <v>0.66100363520049621</v>
      </c>
      <c r="M129" s="4" t="s">
        <v>106</v>
      </c>
      <c r="N129" s="4">
        <v>8.1987653488290069E-2</v>
      </c>
      <c r="O129" s="4">
        <v>0</v>
      </c>
    </row>
    <row r="130" spans="1:15" x14ac:dyDescent="0.3">
      <c r="A130" s="4">
        <v>129</v>
      </c>
      <c r="B130" s="4">
        <v>129000</v>
      </c>
      <c r="C130" s="4" t="s">
        <v>163</v>
      </c>
      <c r="D130" s="4" t="s">
        <v>16</v>
      </c>
      <c r="E130" s="4" t="s">
        <v>17</v>
      </c>
      <c r="F130" s="4" t="s">
        <v>18</v>
      </c>
      <c r="G130" s="5">
        <v>0.1</v>
      </c>
      <c r="H130" s="5">
        <v>0.4</v>
      </c>
      <c r="I130" s="5">
        <v>0.05</v>
      </c>
      <c r="J130" s="6">
        <v>0.73333333333333328</v>
      </c>
      <c r="K130" s="6">
        <v>0.80545454545454553</v>
      </c>
      <c r="L130" s="6">
        <v>0.69428277451089182</v>
      </c>
      <c r="M130" s="4" t="s">
        <v>27</v>
      </c>
      <c r="N130" s="4">
        <v>8.2576079277345699E-2</v>
      </c>
      <c r="O130" s="4">
        <v>0</v>
      </c>
    </row>
    <row r="131" spans="1:15" x14ac:dyDescent="0.3">
      <c r="A131" s="4">
        <v>130</v>
      </c>
      <c r="B131" s="4">
        <v>130000</v>
      </c>
      <c r="C131" s="4" t="s">
        <v>163</v>
      </c>
      <c r="D131" s="4" t="s">
        <v>16</v>
      </c>
      <c r="E131" s="4" t="s">
        <v>17</v>
      </c>
      <c r="F131" s="4" t="s">
        <v>18</v>
      </c>
      <c r="G131" s="5">
        <v>0.1</v>
      </c>
      <c r="H131" s="5">
        <v>0.4</v>
      </c>
      <c r="I131" s="5">
        <v>0.05</v>
      </c>
      <c r="J131" s="6">
        <v>0.71186440677966101</v>
      </c>
      <c r="K131" s="6">
        <v>0.81428571428571439</v>
      </c>
      <c r="L131" s="6">
        <v>0.64418038277810818</v>
      </c>
      <c r="M131" s="4" t="s">
        <v>50</v>
      </c>
      <c r="N131" s="4">
        <v>8.4531064932100719E-2</v>
      </c>
      <c r="O131" s="4">
        <v>0</v>
      </c>
    </row>
    <row r="132" spans="1:15" x14ac:dyDescent="0.3">
      <c r="A132" s="4">
        <v>131</v>
      </c>
      <c r="B132" s="4">
        <v>131000</v>
      </c>
      <c r="C132" s="4" t="s">
        <v>163</v>
      </c>
      <c r="D132" s="4" t="s">
        <v>16</v>
      </c>
      <c r="E132" s="4" t="s">
        <v>17</v>
      </c>
      <c r="F132" s="4" t="s">
        <v>18</v>
      </c>
      <c r="G132" s="5">
        <v>0.1</v>
      </c>
      <c r="H132" s="5">
        <v>0.4</v>
      </c>
      <c r="I132" s="5">
        <v>0.05</v>
      </c>
      <c r="J132" s="6">
        <v>0.71186440677966101</v>
      </c>
      <c r="K132" s="6">
        <v>0.81714285714285717</v>
      </c>
      <c r="L132" s="6">
        <v>0.6328200679017344</v>
      </c>
      <c r="M132" s="4" t="s">
        <v>21</v>
      </c>
      <c r="N132" s="4">
        <v>8.4085657641697023E-2</v>
      </c>
      <c r="O132" s="4">
        <v>0</v>
      </c>
    </row>
    <row r="133" spans="1:15" x14ac:dyDescent="0.3">
      <c r="A133" s="4">
        <v>132</v>
      </c>
      <c r="B133" s="4">
        <v>132000</v>
      </c>
      <c r="C133" s="4" t="s">
        <v>163</v>
      </c>
      <c r="D133" s="4" t="s">
        <v>16</v>
      </c>
      <c r="E133" s="4" t="s">
        <v>17</v>
      </c>
      <c r="F133" s="4" t="s">
        <v>18</v>
      </c>
      <c r="G133" s="5">
        <v>0.1</v>
      </c>
      <c r="H133" s="5">
        <v>0.4</v>
      </c>
      <c r="I133" s="5">
        <v>0.05</v>
      </c>
      <c r="J133" s="6">
        <v>0.69491525423728817</v>
      </c>
      <c r="K133" s="6">
        <v>0.82195121951219496</v>
      </c>
      <c r="L133" s="6">
        <v>0.63669859247746852</v>
      </c>
      <c r="M133" s="4" t="s">
        <v>46</v>
      </c>
      <c r="N133" s="4">
        <v>7.8845648104426527E-2</v>
      </c>
      <c r="O133" s="4">
        <v>0</v>
      </c>
    </row>
    <row r="134" spans="1:15" x14ac:dyDescent="0.3">
      <c r="A134" s="4">
        <v>133</v>
      </c>
      <c r="B134" s="4">
        <v>133000</v>
      </c>
      <c r="C134" s="4" t="s">
        <v>163</v>
      </c>
      <c r="D134" s="4" t="s">
        <v>16</v>
      </c>
      <c r="E134" s="4" t="s">
        <v>17</v>
      </c>
      <c r="F134" s="4" t="s">
        <v>18</v>
      </c>
      <c r="G134" s="5">
        <v>0.1</v>
      </c>
      <c r="H134" s="5">
        <v>0.4</v>
      </c>
      <c r="I134" s="5">
        <v>0.05</v>
      </c>
      <c r="J134" s="6">
        <v>0.67241379310344829</v>
      </c>
      <c r="K134" s="6">
        <v>0.82743589743589752</v>
      </c>
      <c r="L134" s="6">
        <v>0.61981161106659621</v>
      </c>
      <c r="M134" s="4" t="s">
        <v>140</v>
      </c>
      <c r="N134" s="4">
        <v>7.7710649834858828E-2</v>
      </c>
      <c r="O134" s="4">
        <v>0</v>
      </c>
    </row>
    <row r="135" spans="1:15" x14ac:dyDescent="0.3">
      <c r="A135" s="4">
        <v>134</v>
      </c>
      <c r="B135" s="4">
        <v>134000</v>
      </c>
      <c r="C135" s="4" t="s">
        <v>163</v>
      </c>
      <c r="D135" s="4" t="s">
        <v>16</v>
      </c>
      <c r="E135" s="4" t="s">
        <v>17</v>
      </c>
      <c r="F135" s="4" t="s">
        <v>18</v>
      </c>
      <c r="G135" s="5">
        <v>0.1</v>
      </c>
      <c r="H135" s="5">
        <v>0.4</v>
      </c>
      <c r="I135" s="5">
        <v>0.05</v>
      </c>
      <c r="J135" s="6">
        <v>0.66666666666666663</v>
      </c>
      <c r="K135" s="6">
        <v>0.84184210526315784</v>
      </c>
      <c r="L135" s="6">
        <v>0.65977232439559974</v>
      </c>
      <c r="M135" s="4" t="s">
        <v>106</v>
      </c>
      <c r="N135" s="4">
        <v>8.1853964004279675E-2</v>
      </c>
      <c r="O135" s="4">
        <v>0</v>
      </c>
    </row>
    <row r="136" spans="1:15" x14ac:dyDescent="0.3">
      <c r="A136" s="4">
        <v>135</v>
      </c>
      <c r="B136" s="4">
        <v>135000</v>
      </c>
      <c r="C136" s="4" t="s">
        <v>163</v>
      </c>
      <c r="D136" s="4" t="s">
        <v>16</v>
      </c>
      <c r="E136" s="4" t="s">
        <v>17</v>
      </c>
      <c r="F136" s="4" t="s">
        <v>18</v>
      </c>
      <c r="G136" s="5">
        <v>0.1</v>
      </c>
      <c r="H136" s="5">
        <v>0.4</v>
      </c>
      <c r="I136" s="5">
        <v>0.05</v>
      </c>
      <c r="J136" s="6">
        <v>0.66666666666666663</v>
      </c>
      <c r="K136" s="6">
        <v>0.84342105263157885</v>
      </c>
      <c r="L136" s="6">
        <v>0.66303529913670878</v>
      </c>
      <c r="M136" s="4" t="s">
        <v>188</v>
      </c>
      <c r="N136" s="4">
        <v>7.9958567879297712E-2</v>
      </c>
      <c r="O136" s="4">
        <v>0</v>
      </c>
    </row>
    <row r="137" spans="1:15" x14ac:dyDescent="0.3">
      <c r="A137" s="4">
        <v>136</v>
      </c>
      <c r="B137" s="4">
        <v>136000</v>
      </c>
      <c r="C137" s="4" t="s">
        <v>163</v>
      </c>
      <c r="D137" s="4" t="s">
        <v>16</v>
      </c>
      <c r="E137" s="4" t="s">
        <v>17</v>
      </c>
      <c r="F137" s="4" t="s">
        <v>18</v>
      </c>
      <c r="G137" s="5">
        <v>0.1</v>
      </c>
      <c r="H137" s="5">
        <v>0.4</v>
      </c>
      <c r="I137" s="5">
        <v>0.05</v>
      </c>
      <c r="J137" s="6">
        <v>0.66666666666666663</v>
      </c>
      <c r="K137" s="6">
        <v>0.84473684210526301</v>
      </c>
      <c r="L137" s="6">
        <v>0.66133393628662895</v>
      </c>
      <c r="M137" s="4" t="s">
        <v>46</v>
      </c>
      <c r="N137" s="4">
        <v>7.863954230956717E-2</v>
      </c>
      <c r="O137" s="4">
        <v>0</v>
      </c>
    </row>
    <row r="138" spans="1:15" x14ac:dyDescent="0.3">
      <c r="A138" s="4">
        <v>137</v>
      </c>
      <c r="B138" s="4">
        <v>137000</v>
      </c>
      <c r="C138" s="4" t="s">
        <v>163</v>
      </c>
      <c r="D138" s="4" t="s">
        <v>16</v>
      </c>
      <c r="E138" s="4" t="s">
        <v>17</v>
      </c>
      <c r="F138" s="4" t="s">
        <v>18</v>
      </c>
      <c r="G138" s="5">
        <v>0.1</v>
      </c>
      <c r="H138" s="5">
        <v>0.4</v>
      </c>
      <c r="I138" s="5">
        <v>0.05</v>
      </c>
      <c r="J138" s="6">
        <v>0.65</v>
      </c>
      <c r="K138" s="6">
        <v>0.83512820512820496</v>
      </c>
      <c r="L138" s="6">
        <v>0.5971324446352535</v>
      </c>
      <c r="M138" s="4" t="s">
        <v>97</v>
      </c>
      <c r="N138" s="4">
        <v>8.5825519791288232E-2</v>
      </c>
      <c r="O138" s="4">
        <v>0</v>
      </c>
    </row>
    <row r="139" spans="1:15" x14ac:dyDescent="0.3">
      <c r="A139" s="4">
        <v>138</v>
      </c>
      <c r="B139" s="4">
        <v>138000</v>
      </c>
      <c r="C139" s="4" t="s">
        <v>163</v>
      </c>
      <c r="D139" s="4" t="s">
        <v>16</v>
      </c>
      <c r="E139" s="4" t="s">
        <v>17</v>
      </c>
      <c r="F139" s="4" t="s">
        <v>18</v>
      </c>
      <c r="G139" s="5">
        <v>0.1</v>
      </c>
      <c r="H139" s="5">
        <v>0.4</v>
      </c>
      <c r="I139" s="5">
        <v>0.05</v>
      </c>
      <c r="J139" s="6">
        <v>0.66666666666666663</v>
      </c>
      <c r="K139" s="6">
        <v>0.82924999999999971</v>
      </c>
      <c r="L139" s="6">
        <v>0.5947704079912749</v>
      </c>
      <c r="M139" s="4" t="s">
        <v>50</v>
      </c>
      <c r="N139" s="4">
        <v>8.5410168960750835E-2</v>
      </c>
      <c r="O139" s="4">
        <v>0</v>
      </c>
    </row>
    <row r="140" spans="1:15" x14ac:dyDescent="0.3">
      <c r="A140" s="4">
        <v>139</v>
      </c>
      <c r="B140" s="4">
        <v>139000</v>
      </c>
      <c r="C140" s="4" t="s">
        <v>163</v>
      </c>
      <c r="D140" s="4" t="s">
        <v>16</v>
      </c>
      <c r="E140" s="4" t="s">
        <v>17</v>
      </c>
      <c r="F140" s="4" t="s">
        <v>18</v>
      </c>
      <c r="G140" s="5">
        <v>0.1</v>
      </c>
      <c r="H140" s="5">
        <v>0.4</v>
      </c>
      <c r="I140" s="5">
        <v>0.05</v>
      </c>
      <c r="J140" s="6">
        <v>0.66666666666666663</v>
      </c>
      <c r="K140" s="6">
        <v>0.82899999999999974</v>
      </c>
      <c r="L140" s="6">
        <v>0.59833661628315138</v>
      </c>
      <c r="M140" s="4" t="s">
        <v>50</v>
      </c>
      <c r="N140" s="4">
        <v>8.4604655949373206E-2</v>
      </c>
      <c r="O140" s="4">
        <v>0</v>
      </c>
    </row>
    <row r="141" spans="1:15" x14ac:dyDescent="0.3">
      <c r="A141" s="4">
        <v>140</v>
      </c>
      <c r="B141" s="4">
        <v>140000</v>
      </c>
      <c r="C141" s="4" t="s">
        <v>163</v>
      </c>
      <c r="D141" s="4" t="s">
        <v>16</v>
      </c>
      <c r="E141" s="4" t="s">
        <v>17</v>
      </c>
      <c r="F141" s="4" t="s">
        <v>18</v>
      </c>
      <c r="G141" s="5">
        <v>0.1</v>
      </c>
      <c r="H141" s="5">
        <v>0.4</v>
      </c>
      <c r="I141" s="5">
        <v>0.05</v>
      </c>
      <c r="J141" s="6">
        <v>0.65</v>
      </c>
      <c r="K141" s="6">
        <v>0.82717948717948697</v>
      </c>
      <c r="L141" s="6">
        <v>0.58590534389767168</v>
      </c>
      <c r="M141" s="4" t="s">
        <v>97</v>
      </c>
      <c r="N141" s="4">
        <v>8.6122621260891041E-2</v>
      </c>
      <c r="O141" s="4">
        <v>0</v>
      </c>
    </row>
    <row r="142" spans="1:15" x14ac:dyDescent="0.3">
      <c r="A142" s="4">
        <v>141</v>
      </c>
      <c r="B142" s="4">
        <v>141000</v>
      </c>
      <c r="C142" s="4" t="s">
        <v>163</v>
      </c>
      <c r="D142" s="4" t="s">
        <v>16</v>
      </c>
      <c r="E142" s="4" t="s">
        <v>17</v>
      </c>
      <c r="F142" s="4" t="s">
        <v>18</v>
      </c>
      <c r="G142" s="5">
        <v>0.1</v>
      </c>
      <c r="H142" s="5">
        <v>0.4</v>
      </c>
      <c r="I142" s="5">
        <v>0.05</v>
      </c>
      <c r="J142" s="6">
        <v>0.66666666666666663</v>
      </c>
      <c r="K142" s="6">
        <v>0.83074999999999954</v>
      </c>
      <c r="L142" s="6">
        <v>0.60317560697924033</v>
      </c>
      <c r="M142" s="4" t="s">
        <v>118</v>
      </c>
      <c r="N142" s="4">
        <v>8.6873513196618998E-2</v>
      </c>
      <c r="O142" s="4">
        <v>0</v>
      </c>
    </row>
    <row r="143" spans="1:15" x14ac:dyDescent="0.3">
      <c r="A143" s="4">
        <v>142</v>
      </c>
      <c r="B143" s="4">
        <v>142000</v>
      </c>
      <c r="C143" s="4" t="s">
        <v>163</v>
      </c>
      <c r="D143" s="4" t="s">
        <v>16</v>
      </c>
      <c r="E143" s="4" t="s">
        <v>17</v>
      </c>
      <c r="F143" s="4" t="s">
        <v>18</v>
      </c>
      <c r="G143" s="5">
        <v>0.1</v>
      </c>
      <c r="H143" s="5">
        <v>0.4</v>
      </c>
      <c r="I143" s="5">
        <v>0.05</v>
      </c>
      <c r="J143" s="6">
        <v>0.63934426229508201</v>
      </c>
      <c r="K143" s="6">
        <v>0.82820512820512815</v>
      </c>
      <c r="L143" s="6">
        <v>0.59039805253816224</v>
      </c>
      <c r="M143" s="4" t="s">
        <v>52</v>
      </c>
      <c r="N143" s="4">
        <v>8.8004582989886074E-2</v>
      </c>
      <c r="O143" s="4">
        <v>0</v>
      </c>
    </row>
    <row r="144" spans="1:15" x14ac:dyDescent="0.3">
      <c r="A144" s="4">
        <v>143</v>
      </c>
      <c r="B144" s="4">
        <v>143000</v>
      </c>
      <c r="C144" s="4" t="s">
        <v>163</v>
      </c>
      <c r="D144" s="4" t="s">
        <v>16</v>
      </c>
      <c r="E144" s="4" t="s">
        <v>17</v>
      </c>
      <c r="F144" s="4" t="s">
        <v>18</v>
      </c>
      <c r="G144" s="5">
        <v>0.1</v>
      </c>
      <c r="H144" s="5">
        <v>0.4</v>
      </c>
      <c r="I144" s="5">
        <v>0.05</v>
      </c>
      <c r="J144" s="6">
        <v>0.65573770491803274</v>
      </c>
      <c r="K144" s="6">
        <v>0.82949999999999979</v>
      </c>
      <c r="L144" s="6">
        <v>0.60193191348905628</v>
      </c>
      <c r="M144" s="4" t="s">
        <v>21</v>
      </c>
      <c r="N144" s="4">
        <v>8.3773979592476053E-2</v>
      </c>
      <c r="O144" s="4">
        <v>0</v>
      </c>
    </row>
    <row r="145" spans="1:15" x14ac:dyDescent="0.3">
      <c r="A145" s="4">
        <v>144</v>
      </c>
      <c r="B145" s="4">
        <v>144000</v>
      </c>
      <c r="C145" s="4" t="s">
        <v>163</v>
      </c>
      <c r="D145" s="4" t="s">
        <v>16</v>
      </c>
      <c r="E145" s="4" t="s">
        <v>17</v>
      </c>
      <c r="F145" s="4" t="s">
        <v>18</v>
      </c>
      <c r="G145" s="5">
        <v>0.1</v>
      </c>
      <c r="H145" s="5">
        <v>0.4</v>
      </c>
      <c r="I145" s="5">
        <v>0.05</v>
      </c>
      <c r="J145" s="6">
        <v>0.63934426229508201</v>
      </c>
      <c r="K145" s="6">
        <v>0.83487179487179475</v>
      </c>
      <c r="L145" s="6">
        <v>0.58901750625368399</v>
      </c>
      <c r="M145" s="4" t="s">
        <v>27</v>
      </c>
      <c r="N145" s="4">
        <v>8.3390593606256558E-2</v>
      </c>
      <c r="O145" s="4">
        <v>0</v>
      </c>
    </row>
    <row r="146" spans="1:15" x14ac:dyDescent="0.3">
      <c r="A146" s="4">
        <v>145</v>
      </c>
      <c r="B146" s="4">
        <v>145000</v>
      </c>
      <c r="C146" s="4" t="s">
        <v>163</v>
      </c>
      <c r="D146" s="4" t="s">
        <v>16</v>
      </c>
      <c r="E146" s="4" t="s">
        <v>17</v>
      </c>
      <c r="F146" s="4" t="s">
        <v>18</v>
      </c>
      <c r="G146" s="5">
        <v>0.1</v>
      </c>
      <c r="H146" s="5">
        <v>0.4</v>
      </c>
      <c r="I146" s="5">
        <v>0.05</v>
      </c>
      <c r="J146" s="6">
        <v>0.62295081967213117</v>
      </c>
      <c r="K146" s="6">
        <v>0.83368421052631547</v>
      </c>
      <c r="L146" s="6">
        <v>0.53681381132424977</v>
      </c>
      <c r="M146" s="4" t="s">
        <v>106</v>
      </c>
      <c r="N146" s="4">
        <v>8.1996489889006582E-2</v>
      </c>
      <c r="O146" s="4">
        <v>0</v>
      </c>
    </row>
    <row r="147" spans="1:15" x14ac:dyDescent="0.3">
      <c r="A147" s="4">
        <v>146</v>
      </c>
      <c r="B147" s="4">
        <v>146000</v>
      </c>
      <c r="C147" s="4" t="s">
        <v>163</v>
      </c>
      <c r="D147" s="4" t="s">
        <v>16</v>
      </c>
      <c r="E147" s="4" t="s">
        <v>17</v>
      </c>
      <c r="F147" s="4" t="s">
        <v>18</v>
      </c>
      <c r="G147" s="5">
        <v>0.1</v>
      </c>
      <c r="H147" s="5">
        <v>0.4</v>
      </c>
      <c r="I147" s="5">
        <v>0.05</v>
      </c>
      <c r="J147" s="6">
        <v>0.62295081967213117</v>
      </c>
      <c r="K147" s="6">
        <v>0.82973684210526277</v>
      </c>
      <c r="L147" s="6">
        <v>0.53629206758732606</v>
      </c>
      <c r="M147" s="4" t="s">
        <v>50</v>
      </c>
      <c r="N147" s="4">
        <v>8.496828531530834E-2</v>
      </c>
      <c r="O147" s="4">
        <v>0</v>
      </c>
    </row>
    <row r="148" spans="1:15" x14ac:dyDescent="0.3">
      <c r="A148" s="4">
        <v>147</v>
      </c>
      <c r="B148" s="4">
        <v>147000</v>
      </c>
      <c r="C148" s="4" t="s">
        <v>163</v>
      </c>
      <c r="D148" s="4" t="s">
        <v>16</v>
      </c>
      <c r="E148" s="4" t="s">
        <v>17</v>
      </c>
      <c r="F148" s="4" t="s">
        <v>18</v>
      </c>
      <c r="G148" s="5">
        <v>0.1</v>
      </c>
      <c r="H148" s="5">
        <v>0.4</v>
      </c>
      <c r="I148" s="5">
        <v>0.05</v>
      </c>
      <c r="J148" s="6">
        <v>0.62295081967213117</v>
      </c>
      <c r="K148" s="6">
        <v>0.82894736842105221</v>
      </c>
      <c r="L148" s="6">
        <v>0.53806611551679195</v>
      </c>
      <c r="M148" s="4" t="s">
        <v>97</v>
      </c>
      <c r="N148" s="4">
        <v>8.5694187904422819E-2</v>
      </c>
      <c r="O148" s="4">
        <v>0</v>
      </c>
    </row>
    <row r="149" spans="1:15" x14ac:dyDescent="0.3">
      <c r="A149" s="4">
        <v>148</v>
      </c>
      <c r="B149" s="4">
        <v>148000</v>
      </c>
      <c r="C149" s="4" t="s">
        <v>163</v>
      </c>
      <c r="D149" s="4" t="s">
        <v>16</v>
      </c>
      <c r="E149" s="4" t="s">
        <v>17</v>
      </c>
      <c r="F149" s="4" t="s">
        <v>18</v>
      </c>
      <c r="G149" s="5">
        <v>0.1</v>
      </c>
      <c r="H149" s="5">
        <v>0.4</v>
      </c>
      <c r="I149" s="5">
        <v>0.05</v>
      </c>
      <c r="J149" s="6">
        <v>0.64406779661016944</v>
      </c>
      <c r="K149" s="6">
        <v>0.83921052631578918</v>
      </c>
      <c r="L149" s="6">
        <v>0.69855754304935525</v>
      </c>
      <c r="M149" s="4" t="s">
        <v>52</v>
      </c>
      <c r="N149" s="4">
        <v>8.753092066543583E-2</v>
      </c>
      <c r="O149" s="4">
        <v>0</v>
      </c>
    </row>
    <row r="150" spans="1:15" x14ac:dyDescent="0.3">
      <c r="A150" s="4">
        <v>149</v>
      </c>
      <c r="B150" s="4">
        <v>149000</v>
      </c>
      <c r="C150" s="4" t="s">
        <v>163</v>
      </c>
      <c r="D150" s="4" t="s">
        <v>16</v>
      </c>
      <c r="E150" s="4" t="s">
        <v>17</v>
      </c>
      <c r="F150" s="4" t="s">
        <v>18</v>
      </c>
      <c r="G150" s="5">
        <v>0.1</v>
      </c>
      <c r="H150" s="5">
        <v>0.4</v>
      </c>
      <c r="I150" s="5">
        <v>0.05</v>
      </c>
      <c r="J150" s="6">
        <v>0.70909090909090911</v>
      </c>
      <c r="K150" s="6">
        <v>0.85384615384615359</v>
      </c>
      <c r="L150" s="6">
        <v>0.71225115354726176</v>
      </c>
      <c r="M150" s="4" t="s">
        <v>52</v>
      </c>
      <c r="N150" s="4">
        <v>8.8275912937589185E-2</v>
      </c>
      <c r="O150" s="4">
        <v>0</v>
      </c>
    </row>
    <row r="151" spans="1:15" x14ac:dyDescent="0.3">
      <c r="A151" s="4">
        <v>150</v>
      </c>
      <c r="B151" s="4">
        <v>150000</v>
      </c>
      <c r="C151" s="4" t="s">
        <v>163</v>
      </c>
      <c r="D151" s="4" t="s">
        <v>16</v>
      </c>
      <c r="E151" s="4" t="s">
        <v>17</v>
      </c>
      <c r="F151" s="4" t="s">
        <v>18</v>
      </c>
      <c r="G151" s="5">
        <v>0.1</v>
      </c>
      <c r="H151" s="5">
        <v>0.4</v>
      </c>
      <c r="I151" s="5">
        <v>0.05</v>
      </c>
      <c r="J151" s="6">
        <v>0.65454545454545454</v>
      </c>
      <c r="K151" s="6">
        <v>0.86388888888888871</v>
      </c>
      <c r="L151" s="6">
        <v>0.66253055042475284</v>
      </c>
      <c r="M151" s="4" t="s">
        <v>19</v>
      </c>
      <c r="N151" s="4">
        <v>1</v>
      </c>
      <c r="O151" s="4">
        <v>1</v>
      </c>
    </row>
    <row r="152" spans="1:15" x14ac:dyDescent="0.3">
      <c r="A152" s="4">
        <v>151</v>
      </c>
      <c r="B152" s="4">
        <v>151000</v>
      </c>
      <c r="C152" s="4" t="s">
        <v>163</v>
      </c>
      <c r="D152" s="4" t="s">
        <v>16</v>
      </c>
      <c r="E152" s="4" t="s">
        <v>17</v>
      </c>
      <c r="F152" s="4" t="s">
        <v>18</v>
      </c>
      <c r="G152" s="5">
        <v>0.1</v>
      </c>
      <c r="H152" s="5">
        <v>0.4</v>
      </c>
      <c r="I152" s="5">
        <v>0.05</v>
      </c>
      <c r="J152" s="6">
        <v>0.65454545454545454</v>
      </c>
      <c r="K152" s="6">
        <v>0.85861111111111088</v>
      </c>
      <c r="L152" s="6">
        <v>0.66585746545187929</v>
      </c>
      <c r="M152" s="4" t="s">
        <v>189</v>
      </c>
      <c r="N152" s="4">
        <v>1.8021611510471991E-2</v>
      </c>
      <c r="O152" s="4">
        <v>0</v>
      </c>
    </row>
    <row r="153" spans="1:15" x14ac:dyDescent="0.3">
      <c r="A153" s="4">
        <v>152</v>
      </c>
      <c r="B153" s="4">
        <v>152000</v>
      </c>
      <c r="C153" s="4" t="s">
        <v>163</v>
      </c>
      <c r="D153" s="4" t="s">
        <v>16</v>
      </c>
      <c r="E153" s="4" t="s">
        <v>17</v>
      </c>
      <c r="F153" s="4" t="s">
        <v>18</v>
      </c>
      <c r="G153" s="5">
        <v>0.1</v>
      </c>
      <c r="H153" s="5">
        <v>0.4</v>
      </c>
      <c r="I153" s="5">
        <v>0.05</v>
      </c>
      <c r="J153" s="6">
        <v>0.66666666666666663</v>
      </c>
      <c r="K153" s="6">
        <v>0.85289473684210504</v>
      </c>
      <c r="L153" s="6">
        <v>0.69569984677761243</v>
      </c>
      <c r="M153" s="4" t="s">
        <v>167</v>
      </c>
      <c r="N153" s="4">
        <v>2.9755480432446552E-2</v>
      </c>
      <c r="O153" s="4">
        <v>0</v>
      </c>
    </row>
    <row r="154" spans="1:15" x14ac:dyDescent="0.3">
      <c r="A154" s="4">
        <v>153</v>
      </c>
      <c r="B154" s="4">
        <v>153000</v>
      </c>
      <c r="C154" s="4" t="s">
        <v>163</v>
      </c>
      <c r="D154" s="4" t="s">
        <v>16</v>
      </c>
      <c r="E154" s="4" t="s">
        <v>17</v>
      </c>
      <c r="F154" s="4" t="s">
        <v>18</v>
      </c>
      <c r="G154" s="5">
        <v>0.1</v>
      </c>
      <c r="H154" s="5">
        <v>0.4</v>
      </c>
      <c r="I154" s="5">
        <v>0.05</v>
      </c>
      <c r="J154" s="6">
        <v>0.66666666666666663</v>
      </c>
      <c r="K154" s="6">
        <v>0.85236842105263144</v>
      </c>
      <c r="L154" s="6">
        <v>0.69504887055831244</v>
      </c>
      <c r="M154" s="4" t="s">
        <v>165</v>
      </c>
      <c r="N154" s="4">
        <v>3.3749986039905658E-2</v>
      </c>
      <c r="O154" s="4">
        <v>0</v>
      </c>
    </row>
    <row r="155" spans="1:15" x14ac:dyDescent="0.3">
      <c r="A155" s="4">
        <v>154</v>
      </c>
      <c r="B155" s="4">
        <v>154000</v>
      </c>
      <c r="C155" s="4" t="s">
        <v>163</v>
      </c>
      <c r="D155" s="4" t="s">
        <v>16</v>
      </c>
      <c r="E155" s="4" t="s">
        <v>17</v>
      </c>
      <c r="F155" s="4" t="s">
        <v>18</v>
      </c>
      <c r="G155" s="5">
        <v>0.1</v>
      </c>
      <c r="H155" s="5">
        <v>0.4</v>
      </c>
      <c r="I155" s="5">
        <v>0.05</v>
      </c>
      <c r="J155" s="6">
        <v>0.66666666666666663</v>
      </c>
      <c r="K155" s="6">
        <v>0.84947368421052616</v>
      </c>
      <c r="L155" s="6">
        <v>0.69499311981786205</v>
      </c>
      <c r="M155" s="4" t="s">
        <v>190</v>
      </c>
      <c r="N155" s="4">
        <v>3.5776614024227951E-2</v>
      </c>
      <c r="O155" s="4">
        <v>0</v>
      </c>
    </row>
    <row r="156" spans="1:15" x14ac:dyDescent="0.3">
      <c r="A156" s="4">
        <v>155</v>
      </c>
      <c r="B156" s="4">
        <v>155000</v>
      </c>
      <c r="C156" s="4" t="s">
        <v>163</v>
      </c>
      <c r="D156" s="4" t="s">
        <v>16</v>
      </c>
      <c r="E156" s="4" t="s">
        <v>17</v>
      </c>
      <c r="F156" s="4" t="s">
        <v>18</v>
      </c>
      <c r="G156" s="5">
        <v>0.1</v>
      </c>
      <c r="H156" s="5">
        <v>0.4</v>
      </c>
      <c r="I156" s="5">
        <v>0.05</v>
      </c>
      <c r="J156" s="6">
        <v>0.65517241379310343</v>
      </c>
      <c r="K156" s="6">
        <v>0.84763157894736829</v>
      </c>
      <c r="L156" s="6">
        <v>0.719541892234703</v>
      </c>
      <c r="M156" s="4" t="s">
        <v>191</v>
      </c>
      <c r="N156" s="4">
        <v>4.069470174837627E-2</v>
      </c>
      <c r="O156" s="4">
        <v>0</v>
      </c>
    </row>
    <row r="157" spans="1:15" x14ac:dyDescent="0.3">
      <c r="A157" s="4">
        <v>156</v>
      </c>
      <c r="B157" s="4">
        <v>156000</v>
      </c>
      <c r="C157" s="4" t="s">
        <v>163</v>
      </c>
      <c r="D157" s="4" t="s">
        <v>16</v>
      </c>
      <c r="E157" s="4" t="s">
        <v>17</v>
      </c>
      <c r="F157" s="4" t="s">
        <v>18</v>
      </c>
      <c r="G157" s="5">
        <v>0.1</v>
      </c>
      <c r="H157" s="5">
        <v>0.4</v>
      </c>
      <c r="I157" s="5">
        <v>0.05</v>
      </c>
      <c r="J157" s="6">
        <v>0.64406779661016944</v>
      </c>
      <c r="K157" s="6">
        <v>0.85184210526315784</v>
      </c>
      <c r="L157" s="6">
        <v>0.71861057579789756</v>
      </c>
      <c r="M157" s="4" t="s">
        <v>19</v>
      </c>
      <c r="N157" s="4">
        <v>1</v>
      </c>
      <c r="O157" s="4">
        <v>1</v>
      </c>
    </row>
    <row r="158" spans="1:15" x14ac:dyDescent="0.3">
      <c r="A158" s="4">
        <v>157</v>
      </c>
      <c r="B158" s="4">
        <v>157000</v>
      </c>
      <c r="C158" s="4" t="s">
        <v>163</v>
      </c>
      <c r="D158" s="4" t="s">
        <v>16</v>
      </c>
      <c r="E158" s="4" t="s">
        <v>17</v>
      </c>
      <c r="F158" s="4" t="s">
        <v>18</v>
      </c>
      <c r="G158" s="5">
        <v>0.1</v>
      </c>
      <c r="H158" s="5">
        <v>0.4</v>
      </c>
      <c r="I158" s="5">
        <v>0.05</v>
      </c>
      <c r="J158" s="6">
        <v>0.66101694915254239</v>
      </c>
      <c r="K158" s="6">
        <v>0.85589743589743583</v>
      </c>
      <c r="L158" s="6">
        <v>0.74056953209962173</v>
      </c>
      <c r="M158" s="4" t="s">
        <v>177</v>
      </c>
      <c r="N158" s="4">
        <v>1.6857122904947439E-2</v>
      </c>
      <c r="O158" s="4">
        <v>0</v>
      </c>
    </row>
    <row r="159" spans="1:15" x14ac:dyDescent="0.3">
      <c r="A159" s="4">
        <v>158</v>
      </c>
      <c r="B159" s="4">
        <v>158000</v>
      </c>
      <c r="C159" s="4" t="s">
        <v>163</v>
      </c>
      <c r="D159" s="4" t="s">
        <v>16</v>
      </c>
      <c r="E159" s="4" t="s">
        <v>17</v>
      </c>
      <c r="F159" s="4" t="s">
        <v>18</v>
      </c>
      <c r="G159" s="5">
        <v>0.1</v>
      </c>
      <c r="H159" s="5">
        <v>0.4</v>
      </c>
      <c r="I159" s="5">
        <v>0.05</v>
      </c>
      <c r="J159" s="6">
        <v>0.67213114754098358</v>
      </c>
      <c r="K159" s="6">
        <v>0.82926829268292701</v>
      </c>
      <c r="L159" s="6">
        <v>0.66935373282204147</v>
      </c>
      <c r="M159" s="4" t="s">
        <v>191</v>
      </c>
      <c r="N159" s="4">
        <v>4.0812155594955997E-2</v>
      </c>
      <c r="O159" s="4">
        <v>0</v>
      </c>
    </row>
    <row r="160" spans="1:15" x14ac:dyDescent="0.3">
      <c r="A160" s="4">
        <v>159</v>
      </c>
      <c r="B160" s="4">
        <v>159000</v>
      </c>
      <c r="C160" s="4" t="s">
        <v>163</v>
      </c>
      <c r="D160" s="4" t="s">
        <v>16</v>
      </c>
      <c r="E160" s="4" t="s">
        <v>17</v>
      </c>
      <c r="F160" s="4" t="s">
        <v>18</v>
      </c>
      <c r="G160" s="5">
        <v>0.1</v>
      </c>
      <c r="H160" s="5">
        <v>0.4</v>
      </c>
      <c r="I160" s="5">
        <v>0.05</v>
      </c>
      <c r="J160" s="6">
        <v>0.67741935483870963</v>
      </c>
      <c r="K160" s="6">
        <v>0.83190476190476204</v>
      </c>
      <c r="L160" s="6">
        <v>0.6794424566264049</v>
      </c>
      <c r="M160" s="4" t="s">
        <v>192</v>
      </c>
      <c r="N160" s="4">
        <v>4.6906532083887911E-2</v>
      </c>
      <c r="O160" s="4">
        <v>0</v>
      </c>
    </row>
    <row r="161" spans="1:15" x14ac:dyDescent="0.3">
      <c r="A161" s="4">
        <v>160</v>
      </c>
      <c r="B161" s="4">
        <v>160000</v>
      </c>
      <c r="C161" s="4" t="s">
        <v>163</v>
      </c>
      <c r="D161" s="4" t="s">
        <v>16</v>
      </c>
      <c r="E161" s="4" t="s">
        <v>17</v>
      </c>
      <c r="F161" s="4" t="s">
        <v>18</v>
      </c>
      <c r="G161" s="5">
        <v>0.1</v>
      </c>
      <c r="H161" s="5">
        <v>0.4</v>
      </c>
      <c r="I161" s="5">
        <v>0.05</v>
      </c>
      <c r="J161" s="6">
        <v>0.67741935483870963</v>
      </c>
      <c r="K161" s="6">
        <v>0.83071428571428574</v>
      </c>
      <c r="L161" s="6">
        <v>0.68021493961624557</v>
      </c>
      <c r="M161" s="4" t="s">
        <v>193</v>
      </c>
      <c r="N161" s="4">
        <v>4.8137617007043852E-2</v>
      </c>
      <c r="O161" s="4">
        <v>0</v>
      </c>
    </row>
    <row r="162" spans="1:15" x14ac:dyDescent="0.3">
      <c r="A162" s="4">
        <v>161</v>
      </c>
      <c r="B162" s="4">
        <v>161000</v>
      </c>
      <c r="C162" s="4" t="s">
        <v>163</v>
      </c>
      <c r="D162" s="4" t="s">
        <v>16</v>
      </c>
      <c r="E162" s="4" t="s">
        <v>17</v>
      </c>
      <c r="F162" s="4" t="s">
        <v>18</v>
      </c>
      <c r="G162" s="5">
        <v>0.1</v>
      </c>
      <c r="H162" s="5">
        <v>0.4</v>
      </c>
      <c r="I162" s="5">
        <v>0.05</v>
      </c>
      <c r="J162" s="6">
        <v>0.67741935483870963</v>
      </c>
      <c r="K162" s="6">
        <v>0.83</v>
      </c>
      <c r="L162" s="6">
        <v>0.67939402408372296</v>
      </c>
      <c r="M162" s="4" t="s">
        <v>182</v>
      </c>
      <c r="N162" s="4">
        <v>5.2451037954199857E-2</v>
      </c>
      <c r="O162" s="4">
        <v>0</v>
      </c>
    </row>
    <row r="163" spans="1:15" x14ac:dyDescent="0.3">
      <c r="A163" s="4">
        <v>162</v>
      </c>
      <c r="B163" s="4">
        <v>162000</v>
      </c>
      <c r="C163" s="4" t="s">
        <v>163</v>
      </c>
      <c r="D163" s="4" t="s">
        <v>16</v>
      </c>
      <c r="E163" s="4" t="s">
        <v>17</v>
      </c>
      <c r="F163" s="4" t="s">
        <v>18</v>
      </c>
      <c r="G163" s="5">
        <v>0.1</v>
      </c>
      <c r="H163" s="5">
        <v>0.4</v>
      </c>
      <c r="I163" s="5">
        <v>0.05</v>
      </c>
      <c r="J163" s="6">
        <v>0.66129032258064513</v>
      </c>
      <c r="K163" s="6">
        <v>0.82902439024390229</v>
      </c>
      <c r="L163" s="6">
        <v>0.67075401849063754</v>
      </c>
      <c r="M163" s="4" t="s">
        <v>164</v>
      </c>
      <c r="N163" s="4">
        <v>5.2803924413353562E-2</v>
      </c>
      <c r="O163" s="4">
        <v>0</v>
      </c>
    </row>
    <row r="164" spans="1:15" x14ac:dyDescent="0.3">
      <c r="A164" s="4">
        <v>163</v>
      </c>
      <c r="B164" s="4">
        <v>163000</v>
      </c>
      <c r="C164" s="4" t="s">
        <v>163</v>
      </c>
      <c r="D164" s="4" t="s">
        <v>16</v>
      </c>
      <c r="E164" s="4" t="s">
        <v>17</v>
      </c>
      <c r="F164" s="4" t="s">
        <v>18</v>
      </c>
      <c r="G164" s="5">
        <v>0.1</v>
      </c>
      <c r="H164" s="5">
        <v>0.4</v>
      </c>
      <c r="I164" s="5">
        <v>0.05</v>
      </c>
      <c r="J164" s="6">
        <v>0.68333333333333335</v>
      </c>
      <c r="K164" s="6">
        <v>0.82975609756097546</v>
      </c>
      <c r="L164" s="6">
        <v>0.66969019310999345</v>
      </c>
      <c r="M164" s="4" t="s">
        <v>185</v>
      </c>
      <c r="N164" s="4">
        <v>6.0257482320620073E-2</v>
      </c>
      <c r="O164" s="4">
        <v>0</v>
      </c>
    </row>
    <row r="165" spans="1:15" x14ac:dyDescent="0.3">
      <c r="A165" s="4">
        <v>164</v>
      </c>
      <c r="B165" s="4">
        <v>164000</v>
      </c>
      <c r="C165" s="4" t="s">
        <v>163</v>
      </c>
      <c r="D165" s="4" t="s">
        <v>16</v>
      </c>
      <c r="E165" s="4" t="s">
        <v>17</v>
      </c>
      <c r="F165" s="4" t="s">
        <v>18</v>
      </c>
      <c r="G165" s="5">
        <v>0.1</v>
      </c>
      <c r="H165" s="5">
        <v>0.4</v>
      </c>
      <c r="I165" s="5">
        <v>0.05</v>
      </c>
      <c r="J165" s="6">
        <v>0.67213114754098358</v>
      </c>
      <c r="K165" s="6">
        <v>0.83195121951219508</v>
      </c>
      <c r="L165" s="6">
        <v>0.66752597933509183</v>
      </c>
      <c r="M165" s="4" t="s">
        <v>194</v>
      </c>
      <c r="N165" s="4">
        <v>6.2499391843739489E-2</v>
      </c>
      <c r="O165" s="4">
        <v>0</v>
      </c>
    </row>
    <row r="166" spans="1:15" x14ac:dyDescent="0.3">
      <c r="A166" s="4">
        <v>165</v>
      </c>
      <c r="B166" s="4">
        <v>165000</v>
      </c>
      <c r="C166" s="4" t="s">
        <v>163</v>
      </c>
      <c r="D166" s="4" t="s">
        <v>16</v>
      </c>
      <c r="E166" s="4" t="s">
        <v>17</v>
      </c>
      <c r="F166" s="4" t="s">
        <v>18</v>
      </c>
      <c r="G166" s="5">
        <v>0.1</v>
      </c>
      <c r="H166" s="5">
        <v>0.4</v>
      </c>
      <c r="I166" s="5">
        <v>0.05</v>
      </c>
      <c r="J166" s="6">
        <v>0.68852459016393441</v>
      </c>
      <c r="K166" s="6">
        <v>0.82714285714285707</v>
      </c>
      <c r="L166" s="6">
        <v>0.66159176160506272</v>
      </c>
      <c r="M166" s="4" t="s">
        <v>186</v>
      </c>
      <c r="N166" s="4">
        <v>6.5206182173382671E-2</v>
      </c>
      <c r="O166" s="4">
        <v>0</v>
      </c>
    </row>
    <row r="167" spans="1:15" x14ac:dyDescent="0.3">
      <c r="A167" s="4">
        <v>166</v>
      </c>
      <c r="B167" s="4">
        <v>166000</v>
      </c>
      <c r="C167" s="4" t="s">
        <v>163</v>
      </c>
      <c r="D167" s="4" t="s">
        <v>16</v>
      </c>
      <c r="E167" s="4" t="s">
        <v>17</v>
      </c>
      <c r="F167" s="4" t="s">
        <v>18</v>
      </c>
      <c r="G167" s="5">
        <v>0.1</v>
      </c>
      <c r="H167" s="5">
        <v>0.4</v>
      </c>
      <c r="I167" s="5">
        <v>0.05</v>
      </c>
      <c r="J167" s="6">
        <v>0.7</v>
      </c>
      <c r="K167" s="6">
        <v>0.82690476190476181</v>
      </c>
      <c r="L167" s="6">
        <v>0.66322611614512139</v>
      </c>
      <c r="M167" s="4" t="s">
        <v>195</v>
      </c>
      <c r="N167" s="4">
        <v>6.9050961716564913E-2</v>
      </c>
      <c r="O167" s="4">
        <v>0</v>
      </c>
    </row>
    <row r="168" spans="1:15" x14ac:dyDescent="0.3">
      <c r="A168" s="4">
        <v>167</v>
      </c>
      <c r="B168" s="4">
        <v>167000</v>
      </c>
      <c r="C168" s="4" t="s">
        <v>163</v>
      </c>
      <c r="D168" s="4" t="s">
        <v>16</v>
      </c>
      <c r="E168" s="4" t="s">
        <v>17</v>
      </c>
      <c r="F168" s="4" t="s">
        <v>18</v>
      </c>
      <c r="G168" s="5">
        <v>0.1</v>
      </c>
      <c r="H168" s="5">
        <v>0.4</v>
      </c>
      <c r="I168" s="5">
        <v>0.05</v>
      </c>
      <c r="J168" s="6">
        <v>0.69491525423728817</v>
      </c>
      <c r="K168" s="6">
        <v>0.83073170731707302</v>
      </c>
      <c r="L168" s="6">
        <v>0.65835987927311568</v>
      </c>
      <c r="M168" s="4" t="s">
        <v>24</v>
      </c>
      <c r="N168" s="4">
        <v>7.3411323691829206E-2</v>
      </c>
      <c r="O168" s="4">
        <v>0</v>
      </c>
    </row>
    <row r="169" spans="1:15" x14ac:dyDescent="0.3">
      <c r="A169" s="4">
        <v>168</v>
      </c>
      <c r="B169" s="4">
        <v>168000</v>
      </c>
      <c r="C169" s="4" t="s">
        <v>163</v>
      </c>
      <c r="D169" s="4" t="s">
        <v>16</v>
      </c>
      <c r="E169" s="4" t="s">
        <v>17</v>
      </c>
      <c r="F169" s="4" t="s">
        <v>18</v>
      </c>
      <c r="G169" s="5">
        <v>0.1</v>
      </c>
      <c r="H169" s="5">
        <v>0.4</v>
      </c>
      <c r="I169" s="5">
        <v>0.05</v>
      </c>
      <c r="J169" s="6">
        <v>0.69491525423728817</v>
      </c>
      <c r="K169" s="6">
        <v>0.82975609756097546</v>
      </c>
      <c r="L169" s="6">
        <v>0.65667920530880608</v>
      </c>
      <c r="M169" s="4" t="s">
        <v>20</v>
      </c>
      <c r="N169" s="4">
        <v>7.5606250840690239E-2</v>
      </c>
      <c r="O169" s="4">
        <v>0</v>
      </c>
    </row>
    <row r="170" spans="1:15" x14ac:dyDescent="0.3">
      <c r="A170" s="4">
        <v>169</v>
      </c>
      <c r="B170" s="4">
        <v>169000</v>
      </c>
      <c r="C170" s="4" t="s">
        <v>163</v>
      </c>
      <c r="D170" s="4" t="s">
        <v>16</v>
      </c>
      <c r="E170" s="4" t="s">
        <v>17</v>
      </c>
      <c r="F170" s="4" t="s">
        <v>18</v>
      </c>
      <c r="G170" s="5">
        <v>0.1</v>
      </c>
      <c r="H170" s="5">
        <v>0.4</v>
      </c>
      <c r="I170" s="5">
        <v>0.05</v>
      </c>
      <c r="J170" s="6">
        <v>0.7068965517241379</v>
      </c>
      <c r="K170" s="6">
        <v>0.82512195121951215</v>
      </c>
      <c r="L170" s="6">
        <v>0.65863039380611133</v>
      </c>
      <c r="M170" s="4" t="s">
        <v>170</v>
      </c>
      <c r="N170" s="4">
        <v>8.1083383740369067E-2</v>
      </c>
      <c r="O170" s="4">
        <v>0</v>
      </c>
    </row>
    <row r="171" spans="1:15" x14ac:dyDescent="0.3">
      <c r="A171" s="4">
        <v>170</v>
      </c>
      <c r="B171" s="4">
        <v>170000</v>
      </c>
      <c r="C171" s="4" t="s">
        <v>163</v>
      </c>
      <c r="D171" s="4" t="s">
        <v>16</v>
      </c>
      <c r="E171" s="4" t="s">
        <v>17</v>
      </c>
      <c r="F171" s="4" t="s">
        <v>18</v>
      </c>
      <c r="G171" s="5">
        <v>0.1</v>
      </c>
      <c r="H171" s="5">
        <v>0.4</v>
      </c>
      <c r="I171" s="5">
        <v>0.05</v>
      </c>
      <c r="J171" s="6">
        <v>0.71186440677966101</v>
      </c>
      <c r="K171" s="6">
        <v>0.81714285714285695</v>
      </c>
      <c r="L171" s="6">
        <v>0.60953014691608898</v>
      </c>
      <c r="M171" s="4" t="s">
        <v>27</v>
      </c>
      <c r="N171" s="4">
        <v>8.3335438844810164E-2</v>
      </c>
      <c r="O171" s="4">
        <v>0</v>
      </c>
    </row>
    <row r="172" spans="1:15" x14ac:dyDescent="0.3">
      <c r="A172" s="4">
        <v>171</v>
      </c>
      <c r="B172" s="4">
        <v>171000</v>
      </c>
      <c r="C172" s="4" t="s">
        <v>163</v>
      </c>
      <c r="D172" s="4" t="s">
        <v>16</v>
      </c>
      <c r="E172" s="4" t="s">
        <v>17</v>
      </c>
      <c r="F172" s="4" t="s">
        <v>18</v>
      </c>
      <c r="G172" s="5">
        <v>0.1</v>
      </c>
      <c r="H172" s="5">
        <v>0.4</v>
      </c>
      <c r="I172" s="5">
        <v>0.05</v>
      </c>
      <c r="J172" s="6">
        <v>0.69491525423728817</v>
      </c>
      <c r="K172" s="6">
        <v>0.81390243902438997</v>
      </c>
      <c r="L172" s="6">
        <v>0.56974812522538876</v>
      </c>
      <c r="M172" s="4" t="s">
        <v>106</v>
      </c>
      <c r="N172" s="4">
        <v>8.2251621134379782E-2</v>
      </c>
      <c r="O172" s="4">
        <v>0</v>
      </c>
    </row>
    <row r="173" spans="1:15" x14ac:dyDescent="0.3">
      <c r="A173" s="4">
        <v>172</v>
      </c>
      <c r="B173" s="4">
        <v>172000</v>
      </c>
      <c r="C173" s="4" t="s">
        <v>163</v>
      </c>
      <c r="D173" s="4" t="s">
        <v>16</v>
      </c>
      <c r="E173" s="4" t="s">
        <v>17</v>
      </c>
      <c r="F173" s="4" t="s">
        <v>18</v>
      </c>
      <c r="G173" s="5">
        <v>0.1</v>
      </c>
      <c r="H173" s="5">
        <v>0.4</v>
      </c>
      <c r="I173" s="5">
        <v>0.05</v>
      </c>
      <c r="J173" s="6">
        <v>0.68333333333333335</v>
      </c>
      <c r="K173" s="6">
        <v>0.8136585365853658</v>
      </c>
      <c r="L173" s="6">
        <v>0.56828177623953169</v>
      </c>
      <c r="M173" s="4" t="s">
        <v>106</v>
      </c>
      <c r="N173" s="4">
        <v>8.1749797665465557E-2</v>
      </c>
      <c r="O173" s="4">
        <v>0</v>
      </c>
    </row>
    <row r="174" spans="1:15" x14ac:dyDescent="0.3">
      <c r="A174" s="4">
        <v>173</v>
      </c>
      <c r="B174" s="4">
        <v>173000</v>
      </c>
      <c r="C174" s="4" t="s">
        <v>163</v>
      </c>
      <c r="D174" s="4" t="s">
        <v>16</v>
      </c>
      <c r="E174" s="4" t="s">
        <v>17</v>
      </c>
      <c r="F174" s="4" t="s">
        <v>18</v>
      </c>
      <c r="G174" s="5">
        <v>0.1</v>
      </c>
      <c r="H174" s="5">
        <v>0.4</v>
      </c>
      <c r="I174" s="5">
        <v>0.05</v>
      </c>
      <c r="J174" s="6">
        <v>0.71186440677966101</v>
      </c>
      <c r="K174" s="6">
        <v>0.81476190476190469</v>
      </c>
      <c r="L174" s="6">
        <v>0.58197458628815757</v>
      </c>
      <c r="M174" s="4" t="s">
        <v>21</v>
      </c>
      <c r="N174" s="4">
        <v>8.3966784490423357E-2</v>
      </c>
      <c r="O174" s="4">
        <v>0</v>
      </c>
    </row>
    <row r="175" spans="1:15" x14ac:dyDescent="0.3">
      <c r="A175" s="4">
        <v>174</v>
      </c>
      <c r="B175" s="4">
        <v>174000</v>
      </c>
      <c r="C175" s="4" t="s">
        <v>163</v>
      </c>
      <c r="D175" s="4" t="s">
        <v>16</v>
      </c>
      <c r="E175" s="4" t="s">
        <v>17</v>
      </c>
      <c r="F175" s="4" t="s">
        <v>18</v>
      </c>
      <c r="G175" s="5">
        <v>0.1</v>
      </c>
      <c r="H175" s="5">
        <v>0.4</v>
      </c>
      <c r="I175" s="5">
        <v>0.05</v>
      </c>
      <c r="J175" s="6">
        <v>0.69491525423728817</v>
      </c>
      <c r="K175" s="6">
        <v>0.81780487804878055</v>
      </c>
      <c r="L175" s="6">
        <v>0.57807923353545498</v>
      </c>
      <c r="M175" s="4" t="s">
        <v>97</v>
      </c>
      <c r="N175" s="4">
        <v>8.6218935599776225E-2</v>
      </c>
      <c r="O175" s="4">
        <v>0</v>
      </c>
    </row>
    <row r="176" spans="1:15" x14ac:dyDescent="0.3">
      <c r="A176" s="4">
        <v>175</v>
      </c>
      <c r="B176" s="4">
        <v>175000</v>
      </c>
      <c r="C176" s="4" t="s">
        <v>163</v>
      </c>
      <c r="D176" s="4" t="s">
        <v>16</v>
      </c>
      <c r="E176" s="4" t="s">
        <v>17</v>
      </c>
      <c r="F176" s="4" t="s">
        <v>18</v>
      </c>
      <c r="G176" s="5">
        <v>0.1</v>
      </c>
      <c r="H176" s="5">
        <v>0.4</v>
      </c>
      <c r="I176" s="5">
        <v>0.05</v>
      </c>
      <c r="J176" s="6">
        <v>0.71186440677966101</v>
      </c>
      <c r="K176" s="6">
        <v>0.82071428571428573</v>
      </c>
      <c r="L176" s="6">
        <v>0.60861944218628028</v>
      </c>
      <c r="M176" s="4" t="s">
        <v>52</v>
      </c>
      <c r="N176" s="4">
        <v>8.8130695480413968E-2</v>
      </c>
      <c r="O176" s="4">
        <v>0</v>
      </c>
    </row>
    <row r="177" spans="1:15" x14ac:dyDescent="0.3">
      <c r="A177" s="4">
        <v>176</v>
      </c>
      <c r="B177" s="4">
        <v>176000</v>
      </c>
      <c r="C177" s="4" t="s">
        <v>163</v>
      </c>
      <c r="D177" s="4" t="s">
        <v>16</v>
      </c>
      <c r="E177" s="4" t="s">
        <v>17</v>
      </c>
      <c r="F177" s="4" t="s">
        <v>18</v>
      </c>
      <c r="G177" s="5">
        <v>0.1</v>
      </c>
      <c r="H177" s="5">
        <v>0.4</v>
      </c>
      <c r="I177" s="5">
        <v>0.05</v>
      </c>
      <c r="J177" s="6">
        <v>0.7192982456140351</v>
      </c>
      <c r="K177" s="6">
        <v>0.84170731707317081</v>
      </c>
      <c r="L177" s="6">
        <v>0.62777693548577362</v>
      </c>
      <c r="M177" s="4" t="s">
        <v>22</v>
      </c>
      <c r="N177" s="4">
        <v>9.4462023966602068E-2</v>
      </c>
      <c r="O177" s="4">
        <v>0</v>
      </c>
    </row>
    <row r="178" spans="1:15" x14ac:dyDescent="0.3">
      <c r="A178" s="4">
        <v>177</v>
      </c>
      <c r="B178" s="4">
        <v>177000</v>
      </c>
      <c r="C178" s="4" t="s">
        <v>163</v>
      </c>
      <c r="D178" s="4" t="s">
        <v>16</v>
      </c>
      <c r="E178" s="4" t="s">
        <v>17</v>
      </c>
      <c r="F178" s="4" t="s">
        <v>18</v>
      </c>
      <c r="G178" s="5">
        <v>0.1</v>
      </c>
      <c r="H178" s="5">
        <v>0.4</v>
      </c>
      <c r="I178" s="5">
        <v>0.05</v>
      </c>
      <c r="J178" s="6">
        <v>0.69491525423728817</v>
      </c>
      <c r="K178" s="6">
        <v>0.83536585365853677</v>
      </c>
      <c r="L178" s="6">
        <v>0.58842948118219152</v>
      </c>
      <c r="M178" s="4" t="s">
        <v>39</v>
      </c>
      <c r="N178" s="4">
        <v>9.3231897149552809E-2</v>
      </c>
      <c r="O178" s="4">
        <v>0</v>
      </c>
    </row>
    <row r="179" spans="1:15" x14ac:dyDescent="0.3">
      <c r="A179" s="4">
        <v>178</v>
      </c>
      <c r="B179" s="4">
        <v>178000</v>
      </c>
      <c r="C179" s="4" t="s">
        <v>163</v>
      </c>
      <c r="D179" s="4" t="s">
        <v>16</v>
      </c>
      <c r="E179" s="4" t="s">
        <v>17</v>
      </c>
      <c r="F179" s="4" t="s">
        <v>18</v>
      </c>
      <c r="G179" s="5">
        <v>0.1</v>
      </c>
      <c r="H179" s="5">
        <v>0.4</v>
      </c>
      <c r="I179" s="5">
        <v>0.05</v>
      </c>
      <c r="J179" s="6">
        <v>0.74576271186440679</v>
      </c>
      <c r="K179" s="6">
        <v>0.83590909090909093</v>
      </c>
      <c r="L179" s="6">
        <v>0.62558273359704908</v>
      </c>
      <c r="M179" s="4" t="s">
        <v>129</v>
      </c>
      <c r="N179" s="4">
        <v>9.6938616806762856E-2</v>
      </c>
      <c r="O179" s="4">
        <v>0</v>
      </c>
    </row>
    <row r="180" spans="1:15" x14ac:dyDescent="0.3">
      <c r="A180" s="4">
        <v>179</v>
      </c>
      <c r="B180" s="4">
        <v>179000</v>
      </c>
      <c r="C180" s="4" t="s">
        <v>163</v>
      </c>
      <c r="D180" s="4" t="s">
        <v>16</v>
      </c>
      <c r="E180" s="4" t="s">
        <v>17</v>
      </c>
      <c r="F180" s="4" t="s">
        <v>18</v>
      </c>
      <c r="G180" s="5">
        <v>0.1</v>
      </c>
      <c r="H180" s="5">
        <v>0.4</v>
      </c>
      <c r="I180" s="5">
        <v>0.05</v>
      </c>
      <c r="J180" s="6">
        <v>0.7068965517241379</v>
      </c>
      <c r="K180" s="6">
        <v>0.83414634146341471</v>
      </c>
      <c r="L180" s="6">
        <v>0.58813858989708911</v>
      </c>
      <c r="M180" s="4" t="s">
        <v>129</v>
      </c>
      <c r="N180" s="4">
        <v>9.6629615989375084E-2</v>
      </c>
      <c r="O180" s="4">
        <v>0</v>
      </c>
    </row>
    <row r="181" spans="1:15" x14ac:dyDescent="0.3">
      <c r="A181" s="4">
        <v>180</v>
      </c>
      <c r="B181" s="4">
        <v>180000</v>
      </c>
      <c r="C181" s="4" t="s">
        <v>163</v>
      </c>
      <c r="D181" s="4" t="s">
        <v>16</v>
      </c>
      <c r="E181" s="4" t="s">
        <v>17</v>
      </c>
      <c r="F181" s="4" t="s">
        <v>18</v>
      </c>
      <c r="G181" s="5">
        <v>0.1</v>
      </c>
      <c r="H181" s="5">
        <v>0.4</v>
      </c>
      <c r="I181" s="5">
        <v>0.05</v>
      </c>
      <c r="J181" s="6">
        <v>0.72413793103448276</v>
      </c>
      <c r="K181" s="6">
        <v>0.83095238095238111</v>
      </c>
      <c r="L181" s="6">
        <v>0.63246251264251729</v>
      </c>
      <c r="M181" s="4" t="s">
        <v>28</v>
      </c>
      <c r="N181" s="4">
        <v>0.1007649588503453</v>
      </c>
      <c r="O181" s="4">
        <v>0</v>
      </c>
    </row>
    <row r="182" spans="1:15" x14ac:dyDescent="0.3">
      <c r="A182" s="4">
        <v>181</v>
      </c>
      <c r="B182" s="4">
        <v>181000</v>
      </c>
      <c r="C182" s="4" t="s">
        <v>163</v>
      </c>
      <c r="D182" s="4" t="s">
        <v>16</v>
      </c>
      <c r="E182" s="4" t="s">
        <v>17</v>
      </c>
      <c r="F182" s="4" t="s">
        <v>18</v>
      </c>
      <c r="G182" s="5">
        <v>0.1</v>
      </c>
      <c r="H182" s="5">
        <v>0.4</v>
      </c>
      <c r="I182" s="5">
        <v>0.05</v>
      </c>
      <c r="J182" s="6">
        <v>0.75</v>
      </c>
      <c r="K182" s="6">
        <v>0.83428571428571441</v>
      </c>
      <c r="L182" s="6">
        <v>0.63104131628661342</v>
      </c>
      <c r="M182" s="4" t="s">
        <v>93</v>
      </c>
      <c r="N182" s="4">
        <v>0.1054950592344774</v>
      </c>
      <c r="O182" s="4">
        <v>0</v>
      </c>
    </row>
    <row r="183" spans="1:15" x14ac:dyDescent="0.3">
      <c r="A183" s="4">
        <v>182</v>
      </c>
      <c r="B183" s="4">
        <v>182000</v>
      </c>
      <c r="C183" s="4" t="s">
        <v>163</v>
      </c>
      <c r="D183" s="4" t="s">
        <v>16</v>
      </c>
      <c r="E183" s="4" t="s">
        <v>17</v>
      </c>
      <c r="F183" s="4" t="s">
        <v>18</v>
      </c>
      <c r="G183" s="5">
        <v>0.1</v>
      </c>
      <c r="H183" s="5">
        <v>0.4</v>
      </c>
      <c r="I183" s="5">
        <v>0.05</v>
      </c>
      <c r="J183" s="6">
        <v>0.75</v>
      </c>
      <c r="K183" s="6">
        <v>0.83238095238095255</v>
      </c>
      <c r="L183" s="6">
        <v>0.6194952521364403</v>
      </c>
      <c r="M183" s="4" t="s">
        <v>103</v>
      </c>
      <c r="N183" s="4">
        <v>0.10926606726245799</v>
      </c>
      <c r="O183" s="4">
        <v>0</v>
      </c>
    </row>
    <row r="184" spans="1:15" x14ac:dyDescent="0.3">
      <c r="A184" s="4">
        <v>183</v>
      </c>
      <c r="B184" s="4">
        <v>183000</v>
      </c>
      <c r="C184" s="4" t="s">
        <v>163</v>
      </c>
      <c r="D184" s="4" t="s">
        <v>16</v>
      </c>
      <c r="E184" s="4" t="s">
        <v>17</v>
      </c>
      <c r="F184" s="4" t="s">
        <v>18</v>
      </c>
      <c r="G184" s="5">
        <v>0.1</v>
      </c>
      <c r="H184" s="5">
        <v>0.4</v>
      </c>
      <c r="I184" s="5">
        <v>0.05</v>
      </c>
      <c r="J184" s="6">
        <v>0.74137931034482762</v>
      </c>
      <c r="K184" s="6">
        <v>0.81488372093023276</v>
      </c>
      <c r="L184" s="6">
        <v>0.59732547470208253</v>
      </c>
      <c r="M184" s="4" t="s">
        <v>103</v>
      </c>
      <c r="N184" s="4">
        <v>0.1094739542092984</v>
      </c>
      <c r="O184" s="4">
        <v>0</v>
      </c>
    </row>
    <row r="185" spans="1:15" x14ac:dyDescent="0.3">
      <c r="A185" s="4">
        <v>184</v>
      </c>
      <c r="B185" s="4">
        <v>184000</v>
      </c>
      <c r="C185" s="4" t="s">
        <v>163</v>
      </c>
      <c r="D185" s="4" t="s">
        <v>16</v>
      </c>
      <c r="E185" s="4" t="s">
        <v>17</v>
      </c>
      <c r="F185" s="4" t="s">
        <v>18</v>
      </c>
      <c r="G185" s="5">
        <v>0.1</v>
      </c>
      <c r="H185" s="5">
        <v>0.4</v>
      </c>
      <c r="I185" s="5">
        <v>0.05</v>
      </c>
      <c r="J185" s="6">
        <v>0.73684210526315785</v>
      </c>
      <c r="K185" s="6">
        <v>0.81642857142857139</v>
      </c>
      <c r="L185" s="6">
        <v>0.59779978010220713</v>
      </c>
      <c r="M185" s="4" t="s">
        <v>63</v>
      </c>
      <c r="N185" s="4">
        <v>0.1114041981899738</v>
      </c>
      <c r="O185" s="4">
        <v>0</v>
      </c>
    </row>
    <row r="186" spans="1:15" x14ac:dyDescent="0.3">
      <c r="A186" s="4">
        <v>185</v>
      </c>
      <c r="B186" s="4">
        <v>185000</v>
      </c>
      <c r="C186" s="4" t="s">
        <v>163</v>
      </c>
      <c r="D186" s="4" t="s">
        <v>16</v>
      </c>
      <c r="E186" s="4" t="s">
        <v>17</v>
      </c>
      <c r="F186" s="4" t="s">
        <v>18</v>
      </c>
      <c r="G186" s="5">
        <v>0.1</v>
      </c>
      <c r="H186" s="5">
        <v>0.4</v>
      </c>
      <c r="I186" s="5">
        <v>0.05</v>
      </c>
      <c r="J186" s="6">
        <v>0.7321428571428571</v>
      </c>
      <c r="K186" s="6">
        <v>0.82609756097560971</v>
      </c>
      <c r="L186" s="6">
        <v>0.60125461721414364</v>
      </c>
      <c r="M186" s="4" t="s">
        <v>19</v>
      </c>
      <c r="N186" s="4">
        <v>1</v>
      </c>
      <c r="O186" s="4">
        <v>1</v>
      </c>
    </row>
    <row r="187" spans="1:15" x14ac:dyDescent="0.3">
      <c r="A187" s="4">
        <v>186</v>
      </c>
      <c r="B187" s="4">
        <v>186000</v>
      </c>
      <c r="C187" s="4" t="s">
        <v>163</v>
      </c>
      <c r="D187" s="4" t="s">
        <v>16</v>
      </c>
      <c r="E187" s="4" t="s">
        <v>17</v>
      </c>
      <c r="F187" s="4" t="s">
        <v>18</v>
      </c>
      <c r="G187" s="5">
        <v>0.1</v>
      </c>
      <c r="H187" s="5">
        <v>0.4</v>
      </c>
      <c r="I187" s="5">
        <v>0.05</v>
      </c>
      <c r="J187" s="6">
        <v>0.7142857142857143</v>
      </c>
      <c r="K187" s="6">
        <v>0.82274999999999976</v>
      </c>
      <c r="L187" s="6">
        <v>0.56863018623834594</v>
      </c>
      <c r="M187" s="4" t="s">
        <v>196</v>
      </c>
      <c r="N187" s="4">
        <v>1.850863906893294E-2</v>
      </c>
      <c r="O187" s="4">
        <v>0</v>
      </c>
    </row>
    <row r="188" spans="1:15" x14ac:dyDescent="0.3">
      <c r="A188" s="4">
        <v>187</v>
      </c>
      <c r="B188" s="4">
        <v>187000</v>
      </c>
      <c r="C188" s="4" t="s">
        <v>163</v>
      </c>
      <c r="D188" s="4" t="s">
        <v>16</v>
      </c>
      <c r="E188" s="4" t="s">
        <v>17</v>
      </c>
      <c r="F188" s="4" t="s">
        <v>18</v>
      </c>
      <c r="G188" s="5">
        <v>0.1</v>
      </c>
      <c r="H188" s="5">
        <v>0.4</v>
      </c>
      <c r="I188" s="5">
        <v>0.05</v>
      </c>
      <c r="J188" s="6">
        <v>0.70909090909090911</v>
      </c>
      <c r="K188" s="6">
        <v>0.8343589743589741</v>
      </c>
      <c r="L188" s="6">
        <v>0.62075413496956489</v>
      </c>
      <c r="M188" s="4" t="s">
        <v>197</v>
      </c>
      <c r="N188" s="4">
        <v>3.1461574628687657E-2</v>
      </c>
      <c r="O188" s="4">
        <v>0</v>
      </c>
    </row>
    <row r="189" spans="1:15" x14ac:dyDescent="0.3">
      <c r="A189" s="4">
        <v>188</v>
      </c>
      <c r="B189" s="4">
        <v>188000</v>
      </c>
      <c r="C189" s="4" t="s">
        <v>163</v>
      </c>
      <c r="D189" s="4" t="s">
        <v>16</v>
      </c>
      <c r="E189" s="4" t="s">
        <v>17</v>
      </c>
      <c r="F189" s="4" t="s">
        <v>18</v>
      </c>
      <c r="G189" s="5">
        <v>0.1</v>
      </c>
      <c r="H189" s="5">
        <v>0.4</v>
      </c>
      <c r="I189" s="5">
        <v>0.05</v>
      </c>
      <c r="J189" s="6">
        <v>0.72727272727272729</v>
      </c>
      <c r="K189" s="6">
        <v>0.8264999999999999</v>
      </c>
      <c r="L189" s="6">
        <v>0.6240404756715997</v>
      </c>
      <c r="M189" s="4" t="s">
        <v>179</v>
      </c>
      <c r="N189" s="4">
        <v>3.6570744711483603E-2</v>
      </c>
      <c r="O189" s="4">
        <v>0</v>
      </c>
    </row>
    <row r="190" spans="1:15" x14ac:dyDescent="0.3">
      <c r="A190" s="4">
        <v>189</v>
      </c>
      <c r="B190" s="4">
        <v>189000</v>
      </c>
      <c r="C190" s="4" t="s">
        <v>163</v>
      </c>
      <c r="D190" s="4" t="s">
        <v>16</v>
      </c>
      <c r="E190" s="4" t="s">
        <v>17</v>
      </c>
      <c r="F190" s="4" t="s">
        <v>18</v>
      </c>
      <c r="G190" s="5">
        <v>0.1</v>
      </c>
      <c r="H190" s="5">
        <v>0.4</v>
      </c>
      <c r="I190" s="5">
        <v>0.05</v>
      </c>
      <c r="J190" s="6">
        <v>0.7068965517241379</v>
      </c>
      <c r="K190" s="6">
        <v>0.81951219512195095</v>
      </c>
      <c r="L190" s="6">
        <v>0.64247273344594891</v>
      </c>
      <c r="M190" s="4" t="s">
        <v>181</v>
      </c>
      <c r="N190" s="4">
        <v>4.6334408275461862E-2</v>
      </c>
      <c r="O190" s="4">
        <v>0</v>
      </c>
    </row>
    <row r="191" spans="1:15" x14ac:dyDescent="0.3">
      <c r="A191" s="4">
        <v>190</v>
      </c>
      <c r="B191" s="4">
        <v>190000</v>
      </c>
      <c r="C191" s="4" t="s">
        <v>163</v>
      </c>
      <c r="D191" s="4" t="s">
        <v>16</v>
      </c>
      <c r="E191" s="4" t="s">
        <v>17</v>
      </c>
      <c r="F191" s="4" t="s">
        <v>18</v>
      </c>
      <c r="G191" s="5">
        <v>0.1</v>
      </c>
      <c r="H191" s="5">
        <v>0.4</v>
      </c>
      <c r="I191" s="5">
        <v>0.05</v>
      </c>
      <c r="J191" s="6">
        <v>0.7068965517241379</v>
      </c>
      <c r="K191" s="6">
        <v>0.82</v>
      </c>
      <c r="L191" s="6">
        <v>0.6427762103739656</v>
      </c>
      <c r="M191" s="4" t="s">
        <v>192</v>
      </c>
      <c r="N191" s="4">
        <v>4.7468340818325253E-2</v>
      </c>
      <c r="O191" s="4">
        <v>0</v>
      </c>
    </row>
    <row r="192" spans="1:15" x14ac:dyDescent="0.3">
      <c r="A192" s="4">
        <v>191</v>
      </c>
      <c r="B192" s="4">
        <v>191000</v>
      </c>
      <c r="C192" s="4" t="s">
        <v>163</v>
      </c>
      <c r="D192" s="4" t="s">
        <v>16</v>
      </c>
      <c r="E192" s="4" t="s">
        <v>17</v>
      </c>
      <c r="F192" s="4" t="s">
        <v>18</v>
      </c>
      <c r="G192" s="5">
        <v>0.1</v>
      </c>
      <c r="H192" s="5">
        <v>0.4</v>
      </c>
      <c r="I192" s="5">
        <v>0.05</v>
      </c>
      <c r="J192" s="6">
        <v>0.7068965517241379</v>
      </c>
      <c r="K192" s="6">
        <v>0.81999999999999973</v>
      </c>
      <c r="L192" s="6">
        <v>0.64803641701285364</v>
      </c>
      <c r="M192" s="4" t="s">
        <v>198</v>
      </c>
      <c r="N192" s="4">
        <v>5.0444707475372177E-2</v>
      </c>
      <c r="O192" s="4">
        <v>0</v>
      </c>
    </row>
    <row r="193" spans="1:15" x14ac:dyDescent="0.3">
      <c r="A193" s="4">
        <v>192</v>
      </c>
      <c r="B193" s="4">
        <v>192000</v>
      </c>
      <c r="C193" s="4" t="s">
        <v>163</v>
      </c>
      <c r="D193" s="4" t="s">
        <v>16</v>
      </c>
      <c r="E193" s="4" t="s">
        <v>17</v>
      </c>
      <c r="F193" s="4" t="s">
        <v>18</v>
      </c>
      <c r="G193" s="5">
        <v>0.1</v>
      </c>
      <c r="H193" s="5">
        <v>0.4</v>
      </c>
      <c r="I193" s="5">
        <v>0.05</v>
      </c>
      <c r="J193" s="6">
        <v>0.69491525423728817</v>
      </c>
      <c r="K193" s="6">
        <v>0.82365853658536581</v>
      </c>
      <c r="L193" s="6">
        <v>0.64926914111333633</v>
      </c>
      <c r="M193" s="4" t="s">
        <v>164</v>
      </c>
      <c r="N193" s="4">
        <v>5.3191711696934513E-2</v>
      </c>
      <c r="O193" s="4">
        <v>0</v>
      </c>
    </row>
    <row r="194" spans="1:15" x14ac:dyDescent="0.3">
      <c r="A194" s="4">
        <v>193</v>
      </c>
      <c r="B194" s="4">
        <v>193000</v>
      </c>
      <c r="C194" s="4" t="s">
        <v>163</v>
      </c>
      <c r="D194" s="4" t="s">
        <v>16</v>
      </c>
      <c r="E194" s="4" t="s">
        <v>17</v>
      </c>
      <c r="F194" s="4" t="s">
        <v>18</v>
      </c>
      <c r="G194" s="5">
        <v>0.1</v>
      </c>
      <c r="H194" s="5">
        <v>0.4</v>
      </c>
      <c r="I194" s="5">
        <v>0.05</v>
      </c>
      <c r="J194" s="6">
        <v>0.68333333333333335</v>
      </c>
      <c r="K194" s="6">
        <v>0.82</v>
      </c>
      <c r="L194" s="6">
        <v>0.6457527836791781</v>
      </c>
      <c r="M194" s="4" t="s">
        <v>44</v>
      </c>
      <c r="N194" s="4">
        <v>6.3279738145263789E-2</v>
      </c>
      <c r="O194" s="4">
        <v>0</v>
      </c>
    </row>
    <row r="195" spans="1:15" x14ac:dyDescent="0.3">
      <c r="A195" s="4">
        <v>194</v>
      </c>
      <c r="B195" s="4">
        <v>194000</v>
      </c>
      <c r="C195" s="4" t="s">
        <v>163</v>
      </c>
      <c r="D195" s="4" t="s">
        <v>16</v>
      </c>
      <c r="E195" s="4" t="s">
        <v>17</v>
      </c>
      <c r="F195" s="4" t="s">
        <v>18</v>
      </c>
      <c r="G195" s="5">
        <v>0.1</v>
      </c>
      <c r="H195" s="5">
        <v>0.4</v>
      </c>
      <c r="I195" s="5">
        <v>0.05</v>
      </c>
      <c r="J195" s="6">
        <v>0.70491803278688525</v>
      </c>
      <c r="K195" s="6">
        <v>0.80511627906976724</v>
      </c>
      <c r="L195" s="6">
        <v>0.63600610284200154</v>
      </c>
      <c r="M195" s="4" t="s">
        <v>187</v>
      </c>
      <c r="N195" s="4">
        <v>6.7834611732428954E-2</v>
      </c>
      <c r="O195" s="4">
        <v>0</v>
      </c>
    </row>
    <row r="196" spans="1:15" x14ac:dyDescent="0.3">
      <c r="A196" s="4">
        <v>195</v>
      </c>
      <c r="B196" s="4">
        <v>195000</v>
      </c>
      <c r="C196" s="4" t="s">
        <v>163</v>
      </c>
      <c r="D196" s="4" t="s">
        <v>16</v>
      </c>
      <c r="E196" s="4" t="s">
        <v>17</v>
      </c>
      <c r="F196" s="4" t="s">
        <v>18</v>
      </c>
      <c r="G196" s="5">
        <v>0.1</v>
      </c>
      <c r="H196" s="5">
        <v>0.4</v>
      </c>
      <c r="I196" s="5">
        <v>0.05</v>
      </c>
      <c r="J196" s="6">
        <v>0.68852459016393441</v>
      </c>
      <c r="K196" s="6">
        <v>0.80428571428571427</v>
      </c>
      <c r="L196" s="6">
        <v>0.62581786651034299</v>
      </c>
      <c r="M196" s="4" t="s">
        <v>19</v>
      </c>
      <c r="N196" s="4">
        <v>1</v>
      </c>
      <c r="O196" s="4">
        <v>1</v>
      </c>
    </row>
    <row r="197" spans="1:15" x14ac:dyDescent="0.3">
      <c r="A197" s="4">
        <v>196</v>
      </c>
      <c r="B197" s="4">
        <v>196000</v>
      </c>
      <c r="C197" s="4" t="s">
        <v>163</v>
      </c>
      <c r="D197" s="4" t="s">
        <v>16</v>
      </c>
      <c r="E197" s="4" t="s">
        <v>17</v>
      </c>
      <c r="F197" s="4" t="s">
        <v>18</v>
      </c>
      <c r="G197" s="5">
        <v>0.1</v>
      </c>
      <c r="H197" s="5">
        <v>0.4</v>
      </c>
      <c r="I197" s="5">
        <v>0.05</v>
      </c>
      <c r="J197" s="6">
        <v>0.70491803278688525</v>
      </c>
      <c r="K197" s="6">
        <v>0.80604651162790686</v>
      </c>
      <c r="L197" s="6">
        <v>0.6369200454752032</v>
      </c>
      <c r="M197" s="4" t="s">
        <v>199</v>
      </c>
      <c r="N197" s="4">
        <v>8.7880870027270616E-3</v>
      </c>
      <c r="O197" s="4">
        <v>0</v>
      </c>
    </row>
    <row r="198" spans="1:15" x14ac:dyDescent="0.3">
      <c r="A198" s="4">
        <v>197</v>
      </c>
      <c r="B198" s="4">
        <v>197000</v>
      </c>
      <c r="C198" s="4" t="s">
        <v>163</v>
      </c>
      <c r="D198" s="4" t="s">
        <v>16</v>
      </c>
      <c r="E198" s="4" t="s">
        <v>17</v>
      </c>
      <c r="F198" s="4" t="s">
        <v>18</v>
      </c>
      <c r="G198" s="5">
        <v>0.1</v>
      </c>
      <c r="H198" s="5">
        <v>0.4</v>
      </c>
      <c r="I198" s="5">
        <v>0.05</v>
      </c>
      <c r="J198" s="6">
        <v>0.70491803278688525</v>
      </c>
      <c r="K198" s="6">
        <v>0.80627906976744168</v>
      </c>
      <c r="L198" s="6">
        <v>0.63030895601668546</v>
      </c>
      <c r="M198" s="4" t="s">
        <v>200</v>
      </c>
      <c r="N198" s="4">
        <v>1.410740841709239E-2</v>
      </c>
      <c r="O198" s="4">
        <v>0</v>
      </c>
    </row>
    <row r="199" spans="1:15" x14ac:dyDescent="0.3">
      <c r="A199" s="4">
        <v>198</v>
      </c>
      <c r="B199" s="4">
        <v>198000</v>
      </c>
      <c r="C199" s="4" t="s">
        <v>163</v>
      </c>
      <c r="D199" s="4" t="s">
        <v>16</v>
      </c>
      <c r="E199" s="4" t="s">
        <v>17</v>
      </c>
      <c r="F199" s="4" t="s">
        <v>18</v>
      </c>
      <c r="G199" s="5">
        <v>0.1</v>
      </c>
      <c r="H199" s="5">
        <v>0.4</v>
      </c>
      <c r="I199" s="5">
        <v>0.05</v>
      </c>
      <c r="J199" s="6">
        <v>0.7</v>
      </c>
      <c r="K199" s="6">
        <v>0.8052380952380952</v>
      </c>
      <c r="L199" s="6">
        <v>0.61663999750135612</v>
      </c>
      <c r="M199" s="4" t="s">
        <v>166</v>
      </c>
      <c r="N199" s="4">
        <v>1.9923206962817529E-2</v>
      </c>
      <c r="O199" s="4">
        <v>0</v>
      </c>
    </row>
    <row r="200" spans="1:15" x14ac:dyDescent="0.3">
      <c r="A200" s="4">
        <v>199</v>
      </c>
      <c r="B200" s="4">
        <v>199000</v>
      </c>
      <c r="C200" s="4" t="s">
        <v>163</v>
      </c>
      <c r="D200" s="4" t="s">
        <v>16</v>
      </c>
      <c r="E200" s="4" t="s">
        <v>17</v>
      </c>
      <c r="F200" s="4" t="s">
        <v>18</v>
      </c>
      <c r="G200" s="5">
        <v>0.1</v>
      </c>
      <c r="H200" s="5">
        <v>0.4</v>
      </c>
      <c r="I200" s="5">
        <v>0.05</v>
      </c>
      <c r="J200" s="6">
        <v>0.7</v>
      </c>
      <c r="K200" s="6">
        <v>0.80571428571428561</v>
      </c>
      <c r="L200" s="6">
        <v>0.61212843850065046</v>
      </c>
      <c r="M200" s="4" t="s">
        <v>201</v>
      </c>
      <c r="N200" s="4">
        <v>2.228693164863935E-2</v>
      </c>
      <c r="O200" s="4">
        <v>0</v>
      </c>
    </row>
    <row r="201" spans="1:15" x14ac:dyDescent="0.3">
      <c r="A201" s="4">
        <v>200</v>
      </c>
      <c r="B201" s="4">
        <v>200000</v>
      </c>
      <c r="C201" s="4" t="s">
        <v>163</v>
      </c>
      <c r="D201" s="4" t="s">
        <v>16</v>
      </c>
      <c r="E201" s="4" t="s">
        <v>17</v>
      </c>
      <c r="F201" s="4" t="s">
        <v>18</v>
      </c>
      <c r="G201" s="5">
        <v>0.1</v>
      </c>
      <c r="H201" s="5">
        <v>0.4</v>
      </c>
      <c r="I201" s="5">
        <v>0.05</v>
      </c>
      <c r="J201" s="6">
        <v>0.7</v>
      </c>
      <c r="K201" s="6">
        <v>0.8052380952380952</v>
      </c>
      <c r="L201" s="6">
        <v>0.61367102785815497</v>
      </c>
      <c r="M201" s="4" t="s">
        <v>202</v>
      </c>
      <c r="N201" s="4">
        <v>2.293290040957353E-2</v>
      </c>
      <c r="O201" s="4">
        <v>0</v>
      </c>
    </row>
    <row r="202" spans="1:15" x14ac:dyDescent="0.3">
      <c r="A202" s="4">
        <v>201</v>
      </c>
      <c r="B202" s="4">
        <v>201000</v>
      </c>
      <c r="C202" s="4" t="s">
        <v>163</v>
      </c>
      <c r="D202" s="4" t="s">
        <v>16</v>
      </c>
      <c r="E202" s="4" t="s">
        <v>17</v>
      </c>
      <c r="F202" s="4" t="s">
        <v>18</v>
      </c>
      <c r="G202" s="5">
        <v>0.1</v>
      </c>
      <c r="H202" s="5">
        <v>0.4</v>
      </c>
      <c r="I202" s="5">
        <v>0.05</v>
      </c>
      <c r="J202" s="6">
        <v>0.69354838709677424</v>
      </c>
      <c r="K202" s="6">
        <v>0.79441860465116276</v>
      </c>
      <c r="L202" s="6">
        <v>0.60279445393515951</v>
      </c>
      <c r="M202" s="4" t="s">
        <v>19</v>
      </c>
      <c r="N202" s="4">
        <v>1</v>
      </c>
      <c r="O202" s="4">
        <v>1</v>
      </c>
    </row>
    <row r="203" spans="1:15" x14ac:dyDescent="0.3">
      <c r="A203" s="4">
        <v>202</v>
      </c>
      <c r="B203" s="4">
        <v>202000</v>
      </c>
      <c r="C203" s="4" t="s">
        <v>163</v>
      </c>
      <c r="D203" s="4" t="s">
        <v>16</v>
      </c>
      <c r="E203" s="4" t="s">
        <v>17</v>
      </c>
      <c r="F203" s="4" t="s">
        <v>18</v>
      </c>
      <c r="G203" s="5">
        <v>0.1</v>
      </c>
      <c r="H203" s="5">
        <v>0.4</v>
      </c>
      <c r="I203" s="5">
        <v>0.05</v>
      </c>
      <c r="J203" s="6">
        <v>0.68253968253968256</v>
      </c>
      <c r="K203" s="6">
        <v>0.79465116279069758</v>
      </c>
      <c r="L203" s="6">
        <v>0.60765389508401801</v>
      </c>
      <c r="M203" s="4" t="s">
        <v>177</v>
      </c>
      <c r="N203" s="4">
        <v>1.6611543044852441E-2</v>
      </c>
      <c r="O203" s="4">
        <v>0</v>
      </c>
    </row>
    <row r="204" spans="1:15" x14ac:dyDescent="0.3">
      <c r="A204" s="4">
        <v>203</v>
      </c>
      <c r="B204" s="4">
        <v>203000</v>
      </c>
      <c r="C204" s="4" t="s">
        <v>163</v>
      </c>
      <c r="D204" s="4" t="s">
        <v>16</v>
      </c>
      <c r="E204" s="4" t="s">
        <v>17</v>
      </c>
      <c r="F204" s="4" t="s">
        <v>18</v>
      </c>
      <c r="G204" s="5">
        <v>0.1</v>
      </c>
      <c r="H204" s="5">
        <v>0.4</v>
      </c>
      <c r="I204" s="5">
        <v>0.05</v>
      </c>
      <c r="J204" s="6">
        <v>0.68253968253968256</v>
      </c>
      <c r="K204" s="6">
        <v>0.79511627906976701</v>
      </c>
      <c r="L204" s="6">
        <v>0.61226461937601007</v>
      </c>
      <c r="M204" s="4" t="s">
        <v>166</v>
      </c>
      <c r="N204" s="4">
        <v>1.9976569712556701E-2</v>
      </c>
      <c r="O204" s="4">
        <v>0</v>
      </c>
    </row>
    <row r="205" spans="1:15" x14ac:dyDescent="0.3">
      <c r="A205" s="4">
        <v>204</v>
      </c>
      <c r="B205" s="4">
        <v>204000</v>
      </c>
      <c r="C205" s="4" t="s">
        <v>163</v>
      </c>
      <c r="D205" s="4" t="s">
        <v>16</v>
      </c>
      <c r="E205" s="4" t="s">
        <v>17</v>
      </c>
      <c r="F205" s="4" t="s">
        <v>18</v>
      </c>
      <c r="G205" s="5">
        <v>0.1</v>
      </c>
      <c r="H205" s="5">
        <v>0.4</v>
      </c>
      <c r="I205" s="5">
        <v>0.05</v>
      </c>
      <c r="J205" s="6">
        <v>0.68253968253968256</v>
      </c>
      <c r="K205" s="6">
        <v>0.799767441860465</v>
      </c>
      <c r="L205" s="6">
        <v>0.62277542819829845</v>
      </c>
      <c r="M205" s="4" t="s">
        <v>201</v>
      </c>
      <c r="N205" s="4">
        <v>2.20077912041854E-2</v>
      </c>
      <c r="O205" s="4">
        <v>0</v>
      </c>
    </row>
    <row r="206" spans="1:15" x14ac:dyDescent="0.3">
      <c r="A206" s="4">
        <v>205</v>
      </c>
      <c r="B206" s="4">
        <v>205000</v>
      </c>
      <c r="C206" s="4" t="s">
        <v>163</v>
      </c>
      <c r="D206" s="4" t="s">
        <v>16</v>
      </c>
      <c r="E206" s="4" t="s">
        <v>17</v>
      </c>
      <c r="F206" s="4" t="s">
        <v>18</v>
      </c>
      <c r="G206" s="5">
        <v>0.1</v>
      </c>
      <c r="H206" s="5">
        <v>0.4</v>
      </c>
      <c r="I206" s="5">
        <v>0.05</v>
      </c>
      <c r="J206" s="6">
        <v>0.67741935483870963</v>
      </c>
      <c r="K206" s="6">
        <v>0.79999999999999982</v>
      </c>
      <c r="L206" s="6">
        <v>0.60709658326546156</v>
      </c>
      <c r="M206" s="4" t="s">
        <v>197</v>
      </c>
      <c r="N206" s="4">
        <v>3.0809012521178871E-2</v>
      </c>
      <c r="O206" s="4">
        <v>0</v>
      </c>
    </row>
    <row r="207" spans="1:15" x14ac:dyDescent="0.3">
      <c r="A207" s="4">
        <v>206</v>
      </c>
      <c r="B207" s="4">
        <v>206000</v>
      </c>
      <c r="C207" s="4" t="s">
        <v>163</v>
      </c>
      <c r="D207" s="4" t="s">
        <v>16</v>
      </c>
      <c r="E207" s="4" t="s">
        <v>17</v>
      </c>
      <c r="F207" s="4" t="s">
        <v>18</v>
      </c>
      <c r="G207" s="5">
        <v>0.1</v>
      </c>
      <c r="H207" s="5">
        <v>0.4</v>
      </c>
      <c r="I207" s="5">
        <v>0.05</v>
      </c>
      <c r="J207" s="6">
        <v>0.65079365079365081</v>
      </c>
      <c r="K207" s="6">
        <v>0.79999999999999993</v>
      </c>
      <c r="L207" s="6">
        <v>0.61427795206423907</v>
      </c>
      <c r="M207" s="4" t="s">
        <v>203</v>
      </c>
      <c r="N207" s="4">
        <v>3.4989312279448202E-2</v>
      </c>
      <c r="O207" s="4">
        <v>0</v>
      </c>
    </row>
    <row r="208" spans="1:15" x14ac:dyDescent="0.3">
      <c r="A208" s="4">
        <v>207</v>
      </c>
      <c r="B208" s="4">
        <v>207000</v>
      </c>
      <c r="C208" s="4" t="s">
        <v>163</v>
      </c>
      <c r="D208" s="4" t="s">
        <v>16</v>
      </c>
      <c r="E208" s="4" t="s">
        <v>17</v>
      </c>
      <c r="F208" s="4" t="s">
        <v>18</v>
      </c>
      <c r="G208" s="5">
        <v>0.1</v>
      </c>
      <c r="H208" s="5">
        <v>0.4</v>
      </c>
      <c r="I208" s="5">
        <v>0.05</v>
      </c>
      <c r="J208" s="6">
        <v>0.65079365079365081</v>
      </c>
      <c r="K208" s="6">
        <v>0.80195121951219506</v>
      </c>
      <c r="L208" s="6">
        <v>0.61632766606863054</v>
      </c>
      <c r="M208" s="4" t="s">
        <v>179</v>
      </c>
      <c r="N208" s="4">
        <v>3.7078760767733039E-2</v>
      </c>
      <c r="O208" s="4">
        <v>0</v>
      </c>
    </row>
    <row r="209" spans="1:15" x14ac:dyDescent="0.3">
      <c r="A209" s="4">
        <v>208</v>
      </c>
      <c r="B209" s="4">
        <v>208000</v>
      </c>
      <c r="C209" s="4" t="s">
        <v>163</v>
      </c>
      <c r="D209" s="4" t="s">
        <v>16</v>
      </c>
      <c r="E209" s="4" t="s">
        <v>17</v>
      </c>
      <c r="F209" s="4" t="s">
        <v>18</v>
      </c>
      <c r="G209" s="5">
        <v>0.1</v>
      </c>
      <c r="H209" s="5">
        <v>0.4</v>
      </c>
      <c r="I209" s="5">
        <v>0.05</v>
      </c>
      <c r="J209" s="6">
        <v>0.65079365079365081</v>
      </c>
      <c r="K209" s="6">
        <v>0.8004878048780486</v>
      </c>
      <c r="L209" s="6">
        <v>0.61521159376812484</v>
      </c>
      <c r="M209" s="4" t="s">
        <v>180</v>
      </c>
      <c r="N209" s="4">
        <v>3.7670005544948967E-2</v>
      </c>
      <c r="O209" s="4">
        <v>0</v>
      </c>
    </row>
    <row r="210" spans="1:15" x14ac:dyDescent="0.3">
      <c r="A210" s="4">
        <v>209</v>
      </c>
      <c r="B210" s="4">
        <v>209000</v>
      </c>
      <c r="C210" s="4" t="s">
        <v>163</v>
      </c>
      <c r="D210" s="4" t="s">
        <v>16</v>
      </c>
      <c r="E210" s="4" t="s">
        <v>17</v>
      </c>
      <c r="F210" s="4" t="s">
        <v>18</v>
      </c>
      <c r="G210" s="5">
        <v>0.1</v>
      </c>
      <c r="H210" s="5">
        <v>0.4</v>
      </c>
      <c r="I210" s="5">
        <v>0.05</v>
      </c>
      <c r="J210" s="6">
        <v>0.65079365079365081</v>
      </c>
      <c r="K210" s="6">
        <v>0.79902439024390237</v>
      </c>
      <c r="L210" s="6">
        <v>0.61527945846601351</v>
      </c>
      <c r="M210" s="4" t="s">
        <v>204</v>
      </c>
      <c r="N210" s="4">
        <v>3.8600082515959012E-2</v>
      </c>
      <c r="O210" s="4">
        <v>0</v>
      </c>
    </row>
    <row r="211" spans="1:15" x14ac:dyDescent="0.3">
      <c r="A211" s="4">
        <v>210</v>
      </c>
      <c r="B211" s="4">
        <v>210000</v>
      </c>
      <c r="C211" s="4" t="s">
        <v>163</v>
      </c>
      <c r="D211" s="4" t="s">
        <v>16</v>
      </c>
      <c r="E211" s="4" t="s">
        <v>17</v>
      </c>
      <c r="F211" s="4" t="s">
        <v>18</v>
      </c>
      <c r="G211" s="5">
        <v>0.1</v>
      </c>
      <c r="H211" s="5">
        <v>0.4</v>
      </c>
      <c r="I211" s="5">
        <v>0.05</v>
      </c>
      <c r="J211" s="6">
        <v>0.65079365079365081</v>
      </c>
      <c r="K211" s="6">
        <v>0.80195121951219506</v>
      </c>
      <c r="L211" s="6">
        <v>0.62418339951548318</v>
      </c>
      <c r="M211" s="4" t="s">
        <v>204</v>
      </c>
      <c r="N211" s="4">
        <v>3.902450197534197E-2</v>
      </c>
      <c r="O211" s="4">
        <v>0</v>
      </c>
    </row>
    <row r="212" spans="1:15" x14ac:dyDescent="0.3">
      <c r="A212" s="4">
        <v>211</v>
      </c>
      <c r="B212" s="4">
        <v>211000</v>
      </c>
      <c r="C212" s="4" t="s">
        <v>163</v>
      </c>
      <c r="D212" s="4" t="s">
        <v>16</v>
      </c>
      <c r="E212" s="4" t="s">
        <v>17</v>
      </c>
      <c r="F212" s="4" t="s">
        <v>18</v>
      </c>
      <c r="G212" s="5">
        <v>0.1</v>
      </c>
      <c r="H212" s="5">
        <v>0.4</v>
      </c>
      <c r="I212" s="5">
        <v>0.05</v>
      </c>
      <c r="J212" s="6">
        <v>0.65079365079365081</v>
      </c>
      <c r="K212" s="6">
        <v>0.8058536585365853</v>
      </c>
      <c r="L212" s="6">
        <v>0.61807837543920774</v>
      </c>
      <c r="M212" s="4" t="s">
        <v>191</v>
      </c>
      <c r="N212" s="4">
        <v>4.0587765312256413E-2</v>
      </c>
      <c r="O212" s="4">
        <v>0</v>
      </c>
    </row>
    <row r="213" spans="1:15" x14ac:dyDescent="0.3">
      <c r="A213" s="4">
        <v>212</v>
      </c>
      <c r="B213" s="4">
        <v>212000</v>
      </c>
      <c r="C213" s="4" t="s">
        <v>163</v>
      </c>
      <c r="D213" s="4" t="s">
        <v>16</v>
      </c>
      <c r="E213" s="4" t="s">
        <v>17</v>
      </c>
      <c r="F213" s="4" t="s">
        <v>18</v>
      </c>
      <c r="G213" s="5">
        <v>0.1</v>
      </c>
      <c r="H213" s="5">
        <v>0.4</v>
      </c>
      <c r="I213" s="5">
        <v>0.05</v>
      </c>
      <c r="J213" s="6">
        <v>0.640625</v>
      </c>
      <c r="K213" s="6">
        <v>0.80390243902439029</v>
      </c>
      <c r="L213" s="6">
        <v>0.62066337374348013</v>
      </c>
      <c r="M213" s="4" t="s">
        <v>192</v>
      </c>
      <c r="N213" s="4">
        <v>4.6932491359326867E-2</v>
      </c>
      <c r="O213" s="4">
        <v>0</v>
      </c>
    </row>
    <row r="214" spans="1:15" x14ac:dyDescent="0.3">
      <c r="A214" s="4">
        <v>213</v>
      </c>
      <c r="B214" s="4">
        <v>213000</v>
      </c>
      <c r="C214" s="4" t="s">
        <v>163</v>
      </c>
      <c r="D214" s="4" t="s">
        <v>16</v>
      </c>
      <c r="E214" s="4" t="s">
        <v>17</v>
      </c>
      <c r="F214" s="4" t="s">
        <v>18</v>
      </c>
      <c r="G214" s="5">
        <v>0.1</v>
      </c>
      <c r="H214" s="5">
        <v>0.4</v>
      </c>
      <c r="I214" s="5">
        <v>0.05</v>
      </c>
      <c r="J214" s="6">
        <v>0.64615384615384619</v>
      </c>
      <c r="K214" s="6">
        <v>0.79214285714285704</v>
      </c>
      <c r="L214" s="6">
        <v>0.63817360689729763</v>
      </c>
      <c r="M214" s="4" t="s">
        <v>164</v>
      </c>
      <c r="N214" s="4">
        <v>5.2974892658199831E-2</v>
      </c>
      <c r="O214" s="4">
        <v>0</v>
      </c>
    </row>
    <row r="215" spans="1:15" x14ac:dyDescent="0.3">
      <c r="A215" s="4">
        <v>214</v>
      </c>
      <c r="B215" s="4">
        <v>214000</v>
      </c>
      <c r="C215" s="4" t="s">
        <v>163</v>
      </c>
      <c r="D215" s="4" t="s">
        <v>16</v>
      </c>
      <c r="E215" s="4" t="s">
        <v>17</v>
      </c>
      <c r="F215" s="4" t="s">
        <v>18</v>
      </c>
      <c r="G215" s="5">
        <v>0.1</v>
      </c>
      <c r="H215" s="5">
        <v>0.4</v>
      </c>
      <c r="I215" s="5">
        <v>0.05</v>
      </c>
      <c r="J215" s="6">
        <v>0.63636363636363635</v>
      </c>
      <c r="K215" s="6">
        <v>0.791904761904762</v>
      </c>
      <c r="L215" s="6">
        <v>0.63811228288588251</v>
      </c>
      <c r="M215" s="4" t="s">
        <v>205</v>
      </c>
      <c r="N215" s="4">
        <v>5.6284603106810487E-2</v>
      </c>
      <c r="O215" s="4">
        <v>0</v>
      </c>
    </row>
    <row r="216" spans="1:15" x14ac:dyDescent="0.3">
      <c r="A216" s="4">
        <v>215</v>
      </c>
      <c r="B216" s="4">
        <v>215000</v>
      </c>
      <c r="C216" s="4" t="s">
        <v>163</v>
      </c>
      <c r="D216" s="4" t="s">
        <v>16</v>
      </c>
      <c r="E216" s="4" t="s">
        <v>17</v>
      </c>
      <c r="F216" s="4" t="s">
        <v>18</v>
      </c>
      <c r="G216" s="5">
        <v>0.1</v>
      </c>
      <c r="H216" s="5">
        <v>0.4</v>
      </c>
      <c r="I216" s="5">
        <v>0.05</v>
      </c>
      <c r="J216" s="6">
        <v>0.63636363636363635</v>
      </c>
      <c r="K216" s="6">
        <v>0.79428571428571426</v>
      </c>
      <c r="L216" s="6">
        <v>0.6384287157531785</v>
      </c>
      <c r="M216" s="4" t="s">
        <v>206</v>
      </c>
      <c r="N216" s="4">
        <v>5.6964808736637451E-2</v>
      </c>
      <c r="O216" s="4">
        <v>0</v>
      </c>
    </row>
    <row r="217" spans="1:15" x14ac:dyDescent="0.3">
      <c r="A217" s="4">
        <v>216</v>
      </c>
      <c r="B217" s="4">
        <v>216000</v>
      </c>
      <c r="C217" s="4" t="s">
        <v>163</v>
      </c>
      <c r="D217" s="4" t="s">
        <v>16</v>
      </c>
      <c r="E217" s="4" t="s">
        <v>17</v>
      </c>
      <c r="F217" s="4" t="s">
        <v>18</v>
      </c>
      <c r="G217" s="5">
        <v>0.1</v>
      </c>
      <c r="H217" s="5">
        <v>0.4</v>
      </c>
      <c r="I217" s="5">
        <v>0.05</v>
      </c>
      <c r="J217" s="6">
        <v>0.63076923076923075</v>
      </c>
      <c r="K217" s="6">
        <v>0.80097560975609761</v>
      </c>
      <c r="L217" s="6">
        <v>0.64034252832124516</v>
      </c>
      <c r="M217" s="4" t="s">
        <v>184</v>
      </c>
      <c r="N217" s="4">
        <v>5.9253803842426567E-2</v>
      </c>
      <c r="O217" s="4">
        <v>0</v>
      </c>
    </row>
    <row r="218" spans="1:15" x14ac:dyDescent="0.3">
      <c r="A218" s="4">
        <v>217</v>
      </c>
      <c r="B218" s="4">
        <v>217000</v>
      </c>
      <c r="C218" s="4" t="s">
        <v>163</v>
      </c>
      <c r="D218" s="4" t="s">
        <v>16</v>
      </c>
      <c r="E218" s="4" t="s">
        <v>17</v>
      </c>
      <c r="F218" s="4" t="s">
        <v>18</v>
      </c>
      <c r="G218" s="5">
        <v>0.1</v>
      </c>
      <c r="H218" s="5">
        <v>0.4</v>
      </c>
      <c r="I218" s="5">
        <v>0.05</v>
      </c>
      <c r="J218" s="6">
        <v>0.63076923076923075</v>
      </c>
      <c r="K218" s="6">
        <v>0.80219512195121956</v>
      </c>
      <c r="L218" s="6">
        <v>0.63698406694592236</v>
      </c>
      <c r="M218" s="4" t="s">
        <v>44</v>
      </c>
      <c r="N218" s="4">
        <v>6.3469876863937305E-2</v>
      </c>
      <c r="O218" s="4">
        <v>0</v>
      </c>
    </row>
    <row r="219" spans="1:15" x14ac:dyDescent="0.3">
      <c r="A219" s="4">
        <v>218</v>
      </c>
      <c r="B219" s="4">
        <v>218000</v>
      </c>
      <c r="C219" s="4" t="s">
        <v>163</v>
      </c>
      <c r="D219" s="4" t="s">
        <v>16</v>
      </c>
      <c r="E219" s="4" t="s">
        <v>17</v>
      </c>
      <c r="F219" s="4" t="s">
        <v>18</v>
      </c>
      <c r="G219" s="5">
        <v>0.1</v>
      </c>
      <c r="H219" s="5">
        <v>0.4</v>
      </c>
      <c r="I219" s="5">
        <v>0.05</v>
      </c>
      <c r="J219" s="6">
        <v>0.64615384615384619</v>
      </c>
      <c r="K219" s="6">
        <v>0.80619047619047601</v>
      </c>
      <c r="L219" s="6">
        <v>0.65600498109928984</v>
      </c>
      <c r="M219" s="4" t="s">
        <v>187</v>
      </c>
      <c r="N219" s="4">
        <v>6.8433647988623364E-2</v>
      </c>
      <c r="O219" s="4">
        <v>0</v>
      </c>
    </row>
    <row r="220" spans="1:15" x14ac:dyDescent="0.3">
      <c r="A220" s="4">
        <v>219</v>
      </c>
      <c r="B220" s="4">
        <v>219000</v>
      </c>
      <c r="C220" s="4" t="s">
        <v>163</v>
      </c>
      <c r="D220" s="4" t="s">
        <v>16</v>
      </c>
      <c r="E220" s="4" t="s">
        <v>17</v>
      </c>
      <c r="F220" s="4" t="s">
        <v>18</v>
      </c>
      <c r="G220" s="5">
        <v>0.1</v>
      </c>
      <c r="H220" s="5">
        <v>0.4</v>
      </c>
      <c r="I220" s="5">
        <v>0.05</v>
      </c>
      <c r="J220" s="6">
        <v>0.64615384615384619</v>
      </c>
      <c r="K220" s="6">
        <v>0.81047619047619024</v>
      </c>
      <c r="L220" s="6">
        <v>0.66239440321295828</v>
      </c>
      <c r="M220" s="4" t="s">
        <v>128</v>
      </c>
      <c r="N220" s="4">
        <v>7.0760495812185215E-2</v>
      </c>
      <c r="O220" s="4">
        <v>0</v>
      </c>
    </row>
    <row r="221" spans="1:15" x14ac:dyDescent="0.3">
      <c r="A221" s="4">
        <v>220</v>
      </c>
      <c r="B221" s="4">
        <v>220000</v>
      </c>
      <c r="C221" s="4" t="s">
        <v>163</v>
      </c>
      <c r="D221" s="4" t="s">
        <v>16</v>
      </c>
      <c r="E221" s="4" t="s">
        <v>17</v>
      </c>
      <c r="F221" s="4" t="s">
        <v>18</v>
      </c>
      <c r="G221" s="5">
        <v>0.1</v>
      </c>
      <c r="H221" s="5">
        <v>0.4</v>
      </c>
      <c r="I221" s="5">
        <v>0.05</v>
      </c>
      <c r="J221" s="6">
        <v>0.65625</v>
      </c>
      <c r="K221" s="6">
        <v>0.80952380952380953</v>
      </c>
      <c r="L221" s="6">
        <v>0.66473364524197553</v>
      </c>
      <c r="M221" s="4" t="s">
        <v>46</v>
      </c>
      <c r="N221" s="4">
        <v>7.8899004274989609E-2</v>
      </c>
      <c r="O221" s="4">
        <v>0</v>
      </c>
    </row>
    <row r="222" spans="1:15" x14ac:dyDescent="0.3">
      <c r="A222" s="4">
        <v>221</v>
      </c>
      <c r="B222" s="4">
        <v>221000</v>
      </c>
      <c r="C222" s="4" t="s">
        <v>163</v>
      </c>
      <c r="D222" s="4" t="s">
        <v>16</v>
      </c>
      <c r="E222" s="4" t="s">
        <v>17</v>
      </c>
      <c r="F222" s="4" t="s">
        <v>18</v>
      </c>
      <c r="G222" s="5">
        <v>0.1</v>
      </c>
      <c r="H222" s="5">
        <v>0.4</v>
      </c>
      <c r="I222" s="5">
        <v>0.05</v>
      </c>
      <c r="J222" s="6">
        <v>0.65625</v>
      </c>
      <c r="K222" s="6">
        <v>0.80880952380952364</v>
      </c>
      <c r="L222" s="6">
        <v>0.66763336512983917</v>
      </c>
      <c r="M222" s="4" t="s">
        <v>106</v>
      </c>
      <c r="N222" s="4">
        <v>8.1759653978049615E-2</v>
      </c>
      <c r="O222" s="4">
        <v>0</v>
      </c>
    </row>
    <row r="223" spans="1:15" x14ac:dyDescent="0.3">
      <c r="A223" s="4">
        <v>222</v>
      </c>
      <c r="B223" s="4">
        <v>222000</v>
      </c>
      <c r="C223" s="4" t="s">
        <v>163</v>
      </c>
      <c r="D223" s="4" t="s">
        <v>16</v>
      </c>
      <c r="E223" s="4" t="s">
        <v>17</v>
      </c>
      <c r="F223" s="4" t="s">
        <v>18</v>
      </c>
      <c r="G223" s="5">
        <v>0.1</v>
      </c>
      <c r="H223" s="5">
        <v>0.4</v>
      </c>
      <c r="I223" s="5">
        <v>0.05</v>
      </c>
      <c r="J223" s="6">
        <v>0.65625</v>
      </c>
      <c r="K223" s="6">
        <v>0.80452380952380931</v>
      </c>
      <c r="L223" s="6">
        <v>0.66880602247531096</v>
      </c>
      <c r="M223" s="4" t="s">
        <v>97</v>
      </c>
      <c r="N223" s="4">
        <v>8.5632812505482409E-2</v>
      </c>
      <c r="O223" s="4">
        <v>0</v>
      </c>
    </row>
    <row r="224" spans="1:15" x14ac:dyDescent="0.3">
      <c r="A224" s="4">
        <v>223</v>
      </c>
      <c r="B224" s="4">
        <v>223000</v>
      </c>
      <c r="C224" s="4" t="s">
        <v>163</v>
      </c>
      <c r="D224" s="4" t="s">
        <v>16</v>
      </c>
      <c r="E224" s="4" t="s">
        <v>17</v>
      </c>
      <c r="F224" s="4" t="s">
        <v>18</v>
      </c>
      <c r="G224" s="5">
        <v>0.1</v>
      </c>
      <c r="H224" s="5">
        <v>0.4</v>
      </c>
      <c r="I224" s="5">
        <v>0.05</v>
      </c>
      <c r="J224" s="6">
        <v>0.67741935483870963</v>
      </c>
      <c r="K224" s="6">
        <v>0.80476190476190457</v>
      </c>
      <c r="L224" s="6">
        <v>0.67011491671120393</v>
      </c>
      <c r="M224" s="4" t="s">
        <v>59</v>
      </c>
      <c r="N224" s="4">
        <v>9.1232941763337613E-2</v>
      </c>
      <c r="O224" s="4">
        <v>0</v>
      </c>
    </row>
    <row r="225" spans="1:15" x14ac:dyDescent="0.3">
      <c r="A225" s="4">
        <v>224</v>
      </c>
      <c r="B225" s="4">
        <v>224000</v>
      </c>
      <c r="C225" s="4" t="s">
        <v>163</v>
      </c>
      <c r="D225" s="4" t="s">
        <v>16</v>
      </c>
      <c r="E225" s="4" t="s">
        <v>17</v>
      </c>
      <c r="F225" s="4" t="s">
        <v>18</v>
      </c>
      <c r="G225" s="5">
        <v>0.1</v>
      </c>
      <c r="H225" s="5">
        <v>0.4</v>
      </c>
      <c r="I225" s="5">
        <v>0.05</v>
      </c>
      <c r="J225" s="6">
        <v>0.67213114754098358</v>
      </c>
      <c r="K225" s="6">
        <v>0.81756097560975582</v>
      </c>
      <c r="L225" s="6">
        <v>0.67165763472737616</v>
      </c>
      <c r="M225" s="4" t="s">
        <v>22</v>
      </c>
      <c r="N225" s="4">
        <v>9.4380747849718533E-2</v>
      </c>
      <c r="O225" s="4">
        <v>0</v>
      </c>
    </row>
    <row r="226" spans="1:15" x14ac:dyDescent="0.3">
      <c r="A226" s="4">
        <v>225</v>
      </c>
      <c r="B226" s="4">
        <v>225000</v>
      </c>
      <c r="C226" s="4" t="s">
        <v>163</v>
      </c>
      <c r="D226" s="4" t="s">
        <v>16</v>
      </c>
      <c r="E226" s="4" t="s">
        <v>17</v>
      </c>
      <c r="F226" s="4" t="s">
        <v>18</v>
      </c>
      <c r="G226" s="5">
        <v>0.1</v>
      </c>
      <c r="H226" s="5">
        <v>0.4</v>
      </c>
      <c r="I226" s="5">
        <v>0.05</v>
      </c>
      <c r="J226" s="6">
        <v>0.65573770491803274</v>
      </c>
      <c r="K226" s="6">
        <v>0.81399999999999972</v>
      </c>
      <c r="L226" s="6">
        <v>0.63962557423648758</v>
      </c>
      <c r="M226" s="4" t="s">
        <v>78</v>
      </c>
      <c r="N226" s="4">
        <v>9.5770692983159739E-2</v>
      </c>
      <c r="O226" s="4">
        <v>0</v>
      </c>
    </row>
    <row r="227" spans="1:15" x14ac:dyDescent="0.3">
      <c r="A227" s="4">
        <v>226</v>
      </c>
      <c r="B227" s="4">
        <v>226000</v>
      </c>
      <c r="C227" s="4" t="s">
        <v>163</v>
      </c>
      <c r="D227" s="4" t="s">
        <v>16</v>
      </c>
      <c r="E227" s="4" t="s">
        <v>17</v>
      </c>
      <c r="F227" s="4" t="s">
        <v>18</v>
      </c>
      <c r="G227" s="5">
        <v>0.1</v>
      </c>
      <c r="H227" s="5">
        <v>0.4</v>
      </c>
      <c r="I227" s="5">
        <v>0.05</v>
      </c>
      <c r="J227" s="6">
        <v>0.65573770491803274</v>
      </c>
      <c r="K227" s="6">
        <v>0.81374999999999975</v>
      </c>
      <c r="L227" s="6">
        <v>0.64486044250128338</v>
      </c>
      <c r="M227" s="4" t="s">
        <v>78</v>
      </c>
      <c r="N227" s="4">
        <v>9.6065340090861262E-2</v>
      </c>
      <c r="O227" s="4">
        <v>0</v>
      </c>
    </row>
    <row r="228" spans="1:15" x14ac:dyDescent="0.3">
      <c r="A228" s="4">
        <v>227</v>
      </c>
      <c r="B228" s="4">
        <v>227000</v>
      </c>
      <c r="C228" s="4" t="s">
        <v>163</v>
      </c>
      <c r="D228" s="4" t="s">
        <v>16</v>
      </c>
      <c r="E228" s="4" t="s">
        <v>17</v>
      </c>
      <c r="F228" s="4" t="s">
        <v>18</v>
      </c>
      <c r="G228" s="5">
        <v>0.1</v>
      </c>
      <c r="H228" s="5">
        <v>0.4</v>
      </c>
      <c r="I228" s="5">
        <v>0.05</v>
      </c>
      <c r="J228" s="6">
        <v>0.66101694915254239</v>
      </c>
      <c r="K228" s="6">
        <v>0.82282051282051272</v>
      </c>
      <c r="L228" s="6">
        <v>0.63606314836322853</v>
      </c>
      <c r="M228" s="4" t="s">
        <v>82</v>
      </c>
      <c r="N228" s="4">
        <v>0.1015367513997532</v>
      </c>
      <c r="O228" s="4">
        <v>0</v>
      </c>
    </row>
    <row r="229" spans="1:15" x14ac:dyDescent="0.3">
      <c r="A229" s="4">
        <v>228</v>
      </c>
      <c r="B229" s="4">
        <v>228000</v>
      </c>
      <c r="C229" s="4" t="s">
        <v>163</v>
      </c>
      <c r="D229" s="4" t="s">
        <v>16</v>
      </c>
      <c r="E229" s="4" t="s">
        <v>17</v>
      </c>
      <c r="F229" s="4" t="s">
        <v>18</v>
      </c>
      <c r="G229" s="5">
        <v>0.1</v>
      </c>
      <c r="H229" s="5">
        <v>0.4</v>
      </c>
      <c r="I229" s="5">
        <v>0.05</v>
      </c>
      <c r="J229" s="6">
        <v>0.66666666666666663</v>
      </c>
      <c r="K229" s="6">
        <v>0.83210526315789468</v>
      </c>
      <c r="L229" s="6">
        <v>0.63644553211842148</v>
      </c>
      <c r="M229" s="4" t="s">
        <v>99</v>
      </c>
      <c r="N229" s="4">
        <v>0.10274111149342061</v>
      </c>
      <c r="O229" s="4">
        <v>0</v>
      </c>
    </row>
    <row r="230" spans="1:15" x14ac:dyDescent="0.3">
      <c r="A230" s="4">
        <v>229</v>
      </c>
      <c r="B230" s="4">
        <v>229000</v>
      </c>
      <c r="C230" s="4" t="s">
        <v>163</v>
      </c>
      <c r="D230" s="4" t="s">
        <v>16</v>
      </c>
      <c r="E230" s="4" t="s">
        <v>17</v>
      </c>
      <c r="F230" s="4" t="s">
        <v>18</v>
      </c>
      <c r="G230" s="5">
        <v>0.1</v>
      </c>
      <c r="H230" s="5">
        <v>0.4</v>
      </c>
      <c r="I230" s="5">
        <v>0.05</v>
      </c>
      <c r="J230" s="6">
        <v>0.65517241379310343</v>
      </c>
      <c r="K230" s="6">
        <v>0.83052631578947367</v>
      </c>
      <c r="L230" s="6">
        <v>0.631404509832446</v>
      </c>
      <c r="M230" s="4" t="s">
        <v>28</v>
      </c>
      <c r="N230" s="4">
        <v>0.1010562556151864</v>
      </c>
      <c r="O230" s="4">
        <v>0</v>
      </c>
    </row>
    <row r="231" spans="1:15" x14ac:dyDescent="0.3">
      <c r="A231" s="4">
        <v>230</v>
      </c>
      <c r="B231" s="4">
        <v>230000</v>
      </c>
      <c r="C231" s="4" t="s">
        <v>163</v>
      </c>
      <c r="D231" s="4" t="s">
        <v>16</v>
      </c>
      <c r="E231" s="4" t="s">
        <v>17</v>
      </c>
      <c r="F231" s="4" t="s">
        <v>18</v>
      </c>
      <c r="G231" s="5">
        <v>0.1</v>
      </c>
      <c r="H231" s="5">
        <v>0.4</v>
      </c>
      <c r="I231" s="5">
        <v>0.05</v>
      </c>
      <c r="J231" s="6">
        <v>0.65517241379310343</v>
      </c>
      <c r="K231" s="6">
        <v>0.82894736842105265</v>
      </c>
      <c r="L231" s="6">
        <v>0.63147656203106795</v>
      </c>
      <c r="M231" s="4" t="s">
        <v>28</v>
      </c>
      <c r="N231" s="4">
        <v>0.10107780046668929</v>
      </c>
      <c r="O231" s="4">
        <v>0</v>
      </c>
    </row>
    <row r="232" spans="1:15" x14ac:dyDescent="0.3">
      <c r="A232" s="4">
        <v>231</v>
      </c>
      <c r="B232" s="4">
        <v>231000</v>
      </c>
      <c r="C232" s="4" t="s">
        <v>163</v>
      </c>
      <c r="D232" s="4" t="s">
        <v>16</v>
      </c>
      <c r="E232" s="4" t="s">
        <v>17</v>
      </c>
      <c r="F232" s="4" t="s">
        <v>18</v>
      </c>
      <c r="G232" s="5">
        <v>0.1</v>
      </c>
      <c r="H232" s="5">
        <v>0.4</v>
      </c>
      <c r="I232" s="5">
        <v>0.05</v>
      </c>
      <c r="J232" s="6">
        <v>0.65517241379310343</v>
      </c>
      <c r="K232" s="6">
        <v>0.83315789473684199</v>
      </c>
      <c r="L232" s="6">
        <v>0.63518097359815495</v>
      </c>
      <c r="M232" s="4" t="s">
        <v>160</v>
      </c>
      <c r="N232" s="4">
        <v>0.1003619352803337</v>
      </c>
      <c r="O232" s="4">
        <v>0</v>
      </c>
    </row>
    <row r="233" spans="1:15" x14ac:dyDescent="0.3">
      <c r="A233" s="4">
        <v>232</v>
      </c>
      <c r="B233" s="4">
        <v>232000</v>
      </c>
      <c r="C233" s="4" t="s">
        <v>163</v>
      </c>
      <c r="D233" s="4" t="s">
        <v>16</v>
      </c>
      <c r="E233" s="4" t="s">
        <v>17</v>
      </c>
      <c r="F233" s="4" t="s">
        <v>18</v>
      </c>
      <c r="G233" s="5">
        <v>0.1</v>
      </c>
      <c r="H233" s="5">
        <v>0.4</v>
      </c>
      <c r="I233" s="5">
        <v>0.05</v>
      </c>
      <c r="J233" s="6">
        <v>0.65517241379310343</v>
      </c>
      <c r="K233" s="6">
        <v>0.83631578947368401</v>
      </c>
      <c r="L233" s="6">
        <v>0.63608479822147723</v>
      </c>
      <c r="M233" s="4" t="s">
        <v>99</v>
      </c>
      <c r="N233" s="4">
        <v>0.1027482994903533</v>
      </c>
      <c r="O233" s="4">
        <v>0</v>
      </c>
    </row>
    <row r="234" spans="1:15" x14ac:dyDescent="0.3">
      <c r="A234" s="4">
        <v>233</v>
      </c>
      <c r="B234" s="4">
        <v>233000</v>
      </c>
      <c r="C234" s="4" t="s">
        <v>163</v>
      </c>
      <c r="D234" s="4" t="s">
        <v>16</v>
      </c>
      <c r="E234" s="4" t="s">
        <v>17</v>
      </c>
      <c r="F234" s="4" t="s">
        <v>18</v>
      </c>
      <c r="G234" s="5">
        <v>0.1</v>
      </c>
      <c r="H234" s="5">
        <v>0.4</v>
      </c>
      <c r="I234" s="5">
        <v>0.05</v>
      </c>
      <c r="J234" s="6">
        <v>0.68965517241379315</v>
      </c>
      <c r="K234" s="6">
        <v>0.83574999999999977</v>
      </c>
      <c r="L234" s="6">
        <v>0.63944909439335429</v>
      </c>
      <c r="M234" s="4" t="s">
        <v>99</v>
      </c>
      <c r="N234" s="4">
        <v>0.1028317724706902</v>
      </c>
      <c r="O234" s="4">
        <v>0</v>
      </c>
    </row>
    <row r="235" spans="1:15" x14ac:dyDescent="0.3">
      <c r="A235" s="4">
        <v>234</v>
      </c>
      <c r="B235" s="4">
        <v>234000</v>
      </c>
      <c r="C235" s="4" t="s">
        <v>163</v>
      </c>
      <c r="D235" s="4" t="s">
        <v>16</v>
      </c>
      <c r="E235" s="4" t="s">
        <v>17</v>
      </c>
      <c r="F235" s="4" t="s">
        <v>18</v>
      </c>
      <c r="G235" s="5">
        <v>0.1</v>
      </c>
      <c r="H235" s="5">
        <v>0.4</v>
      </c>
      <c r="I235" s="5">
        <v>0.05</v>
      </c>
      <c r="J235" s="6">
        <v>0.6785714285714286</v>
      </c>
      <c r="K235" s="6">
        <v>0.84105263157894716</v>
      </c>
      <c r="L235" s="6">
        <v>0.63047963017157926</v>
      </c>
      <c r="M235" s="4" t="s">
        <v>136</v>
      </c>
      <c r="N235" s="4">
        <v>0.1063863386324571</v>
      </c>
      <c r="O235" s="4">
        <v>0</v>
      </c>
    </row>
    <row r="236" spans="1:15" x14ac:dyDescent="0.3">
      <c r="A236" s="4">
        <v>235</v>
      </c>
      <c r="B236" s="4">
        <v>235000</v>
      </c>
      <c r="C236" s="4" t="s">
        <v>163</v>
      </c>
      <c r="D236" s="4" t="s">
        <v>16</v>
      </c>
      <c r="E236" s="4" t="s">
        <v>17</v>
      </c>
      <c r="F236" s="4" t="s">
        <v>18</v>
      </c>
      <c r="G236" s="5">
        <v>0.1</v>
      </c>
      <c r="H236" s="5">
        <v>0.4</v>
      </c>
      <c r="I236" s="5">
        <v>0.05</v>
      </c>
      <c r="J236" s="6">
        <v>0.70909090909090911</v>
      </c>
      <c r="K236" s="6">
        <v>0.84102564102564092</v>
      </c>
      <c r="L236" s="6">
        <v>0.64899852138910608</v>
      </c>
      <c r="M236" s="4" t="s">
        <v>103</v>
      </c>
      <c r="N236" s="4">
        <v>0.1093704771806439</v>
      </c>
      <c r="O236" s="4">
        <v>0</v>
      </c>
    </row>
    <row r="237" spans="1:15" x14ac:dyDescent="0.3">
      <c r="A237" s="4">
        <v>236</v>
      </c>
      <c r="B237" s="4">
        <v>236000</v>
      </c>
      <c r="C237" s="4" t="s">
        <v>163</v>
      </c>
      <c r="D237" s="4" t="s">
        <v>16</v>
      </c>
      <c r="E237" s="4" t="s">
        <v>17</v>
      </c>
      <c r="F237" s="4" t="s">
        <v>18</v>
      </c>
      <c r="G237" s="5">
        <v>0.1</v>
      </c>
      <c r="H237" s="5">
        <v>0.4</v>
      </c>
      <c r="I237" s="5">
        <v>0.05</v>
      </c>
      <c r="J237" s="6">
        <v>0.70909090909090911</v>
      </c>
      <c r="K237" s="6">
        <v>0.84487179487179476</v>
      </c>
      <c r="L237" s="6">
        <v>0.65267592734671975</v>
      </c>
      <c r="M237" s="4" t="s">
        <v>25</v>
      </c>
      <c r="N237" s="4">
        <v>0.11168156913131699</v>
      </c>
      <c r="O237" s="4">
        <v>0</v>
      </c>
    </row>
    <row r="238" spans="1:15" x14ac:dyDescent="0.3">
      <c r="A238" s="4">
        <v>237</v>
      </c>
      <c r="B238" s="4">
        <v>237000</v>
      </c>
      <c r="C238" s="4" t="s">
        <v>163</v>
      </c>
      <c r="D238" s="4" t="s">
        <v>16</v>
      </c>
      <c r="E238" s="4" t="s">
        <v>17</v>
      </c>
      <c r="F238" s="4" t="s">
        <v>18</v>
      </c>
      <c r="G238" s="5">
        <v>0.1</v>
      </c>
      <c r="H238" s="5">
        <v>0.4</v>
      </c>
      <c r="I238" s="5">
        <v>0.05</v>
      </c>
      <c r="J238" s="6">
        <v>0.7142857142857143</v>
      </c>
      <c r="K238" s="6">
        <v>0.84699999999999986</v>
      </c>
      <c r="L238" s="6">
        <v>0.68603261486333622</v>
      </c>
      <c r="M238" s="4" t="s">
        <v>47</v>
      </c>
      <c r="N238" s="4">
        <v>0.1080007224304282</v>
      </c>
      <c r="O238" s="4">
        <v>0</v>
      </c>
    </row>
    <row r="239" spans="1:15" x14ac:dyDescent="0.3">
      <c r="A239" s="4">
        <v>238</v>
      </c>
      <c r="B239" s="4">
        <v>238000</v>
      </c>
      <c r="C239" s="4" t="s">
        <v>163</v>
      </c>
      <c r="D239" s="4" t="s">
        <v>16</v>
      </c>
      <c r="E239" s="4" t="s">
        <v>17</v>
      </c>
      <c r="F239" s="4" t="s">
        <v>18</v>
      </c>
      <c r="G239" s="5">
        <v>0.1</v>
      </c>
      <c r="H239" s="5">
        <v>0.4</v>
      </c>
      <c r="I239" s="5">
        <v>0.05</v>
      </c>
      <c r="J239" s="6">
        <v>0.7592592592592593</v>
      </c>
      <c r="K239" s="6">
        <v>0.83341463414634132</v>
      </c>
      <c r="L239" s="6">
        <v>0.65485886971382368</v>
      </c>
      <c r="M239" s="4" t="s">
        <v>63</v>
      </c>
      <c r="N239" s="4">
        <v>0.1106704995233057</v>
      </c>
      <c r="O239" s="4">
        <v>0</v>
      </c>
    </row>
    <row r="240" spans="1:15" x14ac:dyDescent="0.3">
      <c r="A240" s="4">
        <v>239</v>
      </c>
      <c r="B240" s="4">
        <v>239000</v>
      </c>
      <c r="C240" s="4" t="s">
        <v>163</v>
      </c>
      <c r="D240" s="4" t="s">
        <v>16</v>
      </c>
      <c r="E240" s="4" t="s">
        <v>17</v>
      </c>
      <c r="F240" s="4" t="s">
        <v>18</v>
      </c>
      <c r="G240" s="5">
        <v>0.1</v>
      </c>
      <c r="H240" s="5">
        <v>0.4</v>
      </c>
      <c r="I240" s="5">
        <v>0.05</v>
      </c>
      <c r="J240" s="6">
        <v>0.79245283018867929</v>
      </c>
      <c r="K240" s="6">
        <v>0.83285714285714274</v>
      </c>
      <c r="L240" s="6">
        <v>0.66427955889227763</v>
      </c>
      <c r="M240" s="4" t="s">
        <v>40</v>
      </c>
      <c r="N240" s="4">
        <v>0.1133527942912298</v>
      </c>
      <c r="O240" s="4">
        <v>0</v>
      </c>
    </row>
    <row r="241" spans="1:15" x14ac:dyDescent="0.3">
      <c r="A241" s="4">
        <v>240</v>
      </c>
      <c r="B241" s="4">
        <v>240000</v>
      </c>
      <c r="C241" s="4" t="s">
        <v>163</v>
      </c>
      <c r="D241" s="4" t="s">
        <v>16</v>
      </c>
      <c r="E241" s="4" t="s">
        <v>17</v>
      </c>
      <c r="F241" s="4" t="s">
        <v>18</v>
      </c>
      <c r="G241" s="5">
        <v>0.1</v>
      </c>
      <c r="H241" s="5">
        <v>0.4</v>
      </c>
      <c r="I241" s="5">
        <v>0.05</v>
      </c>
      <c r="J241" s="6">
        <v>0.77777777777777779</v>
      </c>
      <c r="K241" s="6">
        <v>0.83357142857142852</v>
      </c>
      <c r="L241" s="6">
        <v>0.6619623618853081</v>
      </c>
      <c r="M241" s="4" t="s">
        <v>63</v>
      </c>
      <c r="N241" s="4">
        <v>0.1105051292192159</v>
      </c>
      <c r="O241" s="4">
        <v>0</v>
      </c>
    </row>
    <row r="242" spans="1:15" x14ac:dyDescent="0.3">
      <c r="A242" s="4">
        <v>241</v>
      </c>
      <c r="B242" s="4">
        <v>241000</v>
      </c>
      <c r="C242" s="4" t="s">
        <v>163</v>
      </c>
      <c r="D242" s="4" t="s">
        <v>16</v>
      </c>
      <c r="E242" s="4" t="s">
        <v>17</v>
      </c>
      <c r="F242" s="4" t="s">
        <v>18</v>
      </c>
      <c r="G242" s="5">
        <v>0.1</v>
      </c>
      <c r="H242" s="5">
        <v>0.4</v>
      </c>
      <c r="I242" s="5">
        <v>0.05</v>
      </c>
      <c r="J242" s="6">
        <v>0.77358490566037741</v>
      </c>
      <c r="K242" s="6">
        <v>0.8543902439024389</v>
      </c>
      <c r="L242" s="6">
        <v>0.67931540422889702</v>
      </c>
      <c r="M242" s="4" t="s">
        <v>47</v>
      </c>
      <c r="N242" s="4">
        <v>0.1078916044061837</v>
      </c>
      <c r="O242" s="4">
        <v>0</v>
      </c>
    </row>
    <row r="243" spans="1:15" x14ac:dyDescent="0.3">
      <c r="A243" s="4">
        <v>242</v>
      </c>
      <c r="B243" s="4">
        <v>242000</v>
      </c>
      <c r="C243" s="4" t="s">
        <v>163</v>
      </c>
      <c r="D243" s="4" t="s">
        <v>16</v>
      </c>
      <c r="E243" s="4" t="s">
        <v>17</v>
      </c>
      <c r="F243" s="4" t="s">
        <v>18</v>
      </c>
      <c r="G243" s="5">
        <v>0.1</v>
      </c>
      <c r="H243" s="5">
        <v>0.4</v>
      </c>
      <c r="I243" s="5">
        <v>0.05</v>
      </c>
      <c r="J243" s="6">
        <v>0.75471698113207553</v>
      </c>
      <c r="K243" s="6">
        <v>0.85374999999999979</v>
      </c>
      <c r="L243" s="6">
        <v>0.67031177210491433</v>
      </c>
      <c r="M243" s="4" t="s">
        <v>142</v>
      </c>
      <c r="N243" s="4">
        <v>0.109765155127831</v>
      </c>
      <c r="O243" s="4">
        <v>0</v>
      </c>
    </row>
    <row r="244" spans="1:15" x14ac:dyDescent="0.3">
      <c r="A244" s="4">
        <v>243</v>
      </c>
      <c r="B244" s="4">
        <v>243000</v>
      </c>
      <c r="C244" s="4" t="s">
        <v>163</v>
      </c>
      <c r="D244" s="4" t="s">
        <v>16</v>
      </c>
      <c r="E244" s="4" t="s">
        <v>17</v>
      </c>
      <c r="F244" s="4" t="s">
        <v>18</v>
      </c>
      <c r="G244" s="5">
        <v>0.1</v>
      </c>
      <c r="H244" s="5">
        <v>0.4</v>
      </c>
      <c r="I244" s="5">
        <v>0.05</v>
      </c>
      <c r="J244" s="6">
        <v>0.75471698113207553</v>
      </c>
      <c r="K244" s="6">
        <v>0.85424999999999973</v>
      </c>
      <c r="L244" s="6">
        <v>0.66459050737275893</v>
      </c>
      <c r="M244" s="4" t="s">
        <v>103</v>
      </c>
      <c r="N244" s="4">
        <v>0.1090337330991472</v>
      </c>
      <c r="O244" s="4">
        <v>0</v>
      </c>
    </row>
    <row r="245" spans="1:15" x14ac:dyDescent="0.3">
      <c r="A245" s="4">
        <v>244</v>
      </c>
      <c r="B245" s="4">
        <v>244000</v>
      </c>
      <c r="C245" s="4" t="s">
        <v>163</v>
      </c>
      <c r="D245" s="4" t="s">
        <v>16</v>
      </c>
      <c r="E245" s="4" t="s">
        <v>17</v>
      </c>
      <c r="F245" s="4" t="s">
        <v>18</v>
      </c>
      <c r="G245" s="5">
        <v>0.1</v>
      </c>
      <c r="H245" s="5">
        <v>0.4</v>
      </c>
      <c r="I245" s="5">
        <v>0.05</v>
      </c>
      <c r="J245" s="6">
        <v>0.7407407407407407</v>
      </c>
      <c r="K245" s="6">
        <v>0.85499999999999976</v>
      </c>
      <c r="L245" s="6">
        <v>0.6651627204386128</v>
      </c>
      <c r="M245" s="4" t="s">
        <v>47</v>
      </c>
      <c r="N245" s="4">
        <v>0.10835425008238569</v>
      </c>
      <c r="O245" s="4">
        <v>0</v>
      </c>
    </row>
    <row r="246" spans="1:15" x14ac:dyDescent="0.3">
      <c r="A246" s="4">
        <v>245</v>
      </c>
      <c r="B246" s="4">
        <v>245000</v>
      </c>
      <c r="C246" s="4" t="s">
        <v>163</v>
      </c>
      <c r="D246" s="4" t="s">
        <v>16</v>
      </c>
      <c r="E246" s="4" t="s">
        <v>17</v>
      </c>
      <c r="F246" s="4" t="s">
        <v>18</v>
      </c>
      <c r="G246" s="5">
        <v>0.1</v>
      </c>
      <c r="H246" s="5">
        <v>0.4</v>
      </c>
      <c r="I246" s="5">
        <v>0.05</v>
      </c>
      <c r="J246" s="6">
        <v>0.71698113207547165</v>
      </c>
      <c r="K246" s="6">
        <v>0.85210526315789459</v>
      </c>
      <c r="L246" s="6">
        <v>0.6753828552636969</v>
      </c>
      <c r="M246" s="4" t="s">
        <v>136</v>
      </c>
      <c r="N246" s="4">
        <v>0.10643168385395189</v>
      </c>
      <c r="O246" s="4">
        <v>0</v>
      </c>
    </row>
    <row r="247" spans="1:15" x14ac:dyDescent="0.3">
      <c r="A247" s="4">
        <v>246</v>
      </c>
      <c r="B247" s="4">
        <v>246000</v>
      </c>
      <c r="C247" s="4" t="s">
        <v>163</v>
      </c>
      <c r="D247" s="4" t="s">
        <v>16</v>
      </c>
      <c r="E247" s="4" t="s">
        <v>17</v>
      </c>
      <c r="F247" s="4" t="s">
        <v>18</v>
      </c>
      <c r="G247" s="5">
        <v>0.1</v>
      </c>
      <c r="H247" s="5">
        <v>0.4</v>
      </c>
      <c r="I247" s="5">
        <v>0.05</v>
      </c>
      <c r="J247" s="6">
        <v>0.71698113207547165</v>
      </c>
      <c r="K247" s="6">
        <v>0.85052631578947346</v>
      </c>
      <c r="L247" s="6">
        <v>0.6795658128235369</v>
      </c>
      <c r="M247" s="4" t="s">
        <v>47</v>
      </c>
      <c r="N247" s="4">
        <v>0.1079636633726221</v>
      </c>
      <c r="O247" s="4">
        <v>0</v>
      </c>
    </row>
    <row r="248" spans="1:15" x14ac:dyDescent="0.3">
      <c r="A248" s="4">
        <v>247</v>
      </c>
      <c r="B248" s="4">
        <v>247000</v>
      </c>
      <c r="C248" s="4" t="s">
        <v>163</v>
      </c>
      <c r="D248" s="4" t="s">
        <v>16</v>
      </c>
      <c r="E248" s="4" t="s">
        <v>17</v>
      </c>
      <c r="F248" s="4" t="s">
        <v>18</v>
      </c>
      <c r="G248" s="5">
        <v>0.1</v>
      </c>
      <c r="H248" s="5">
        <v>0.4</v>
      </c>
      <c r="I248" s="5">
        <v>0.05</v>
      </c>
      <c r="J248" s="6">
        <v>0.69811320754716977</v>
      </c>
      <c r="K248" s="6">
        <v>0.85216216216216201</v>
      </c>
      <c r="L248" s="6">
        <v>0.66380485793886179</v>
      </c>
      <c r="M248" s="4" t="s">
        <v>47</v>
      </c>
      <c r="N248" s="4">
        <v>0.1082845087215594</v>
      </c>
      <c r="O248" s="4">
        <v>0</v>
      </c>
    </row>
    <row r="249" spans="1:15" x14ac:dyDescent="0.3">
      <c r="A249" s="4">
        <v>248</v>
      </c>
      <c r="B249" s="4">
        <v>248000</v>
      </c>
      <c r="C249" s="4" t="s">
        <v>163</v>
      </c>
      <c r="D249" s="4" t="s">
        <v>16</v>
      </c>
      <c r="E249" s="4" t="s">
        <v>17</v>
      </c>
      <c r="F249" s="4" t="s">
        <v>18</v>
      </c>
      <c r="G249" s="5">
        <v>0.1</v>
      </c>
      <c r="H249" s="5">
        <v>0.4</v>
      </c>
      <c r="I249" s="5">
        <v>0.05</v>
      </c>
      <c r="J249" s="6">
        <v>0.68518518518518523</v>
      </c>
      <c r="K249" s="6">
        <v>0.84945945945945922</v>
      </c>
      <c r="L249" s="6">
        <v>0.6697904041354743</v>
      </c>
      <c r="M249" s="4" t="s">
        <v>142</v>
      </c>
      <c r="N249" s="4">
        <v>0.11008615598397931</v>
      </c>
      <c r="O249" s="4">
        <v>0</v>
      </c>
    </row>
    <row r="250" spans="1:15" x14ac:dyDescent="0.3">
      <c r="A250" s="4">
        <v>249</v>
      </c>
      <c r="B250" s="4">
        <v>249000</v>
      </c>
      <c r="C250" s="4" t="s">
        <v>163</v>
      </c>
      <c r="D250" s="4" t="s">
        <v>16</v>
      </c>
      <c r="E250" s="4" t="s">
        <v>17</v>
      </c>
      <c r="F250" s="4" t="s">
        <v>18</v>
      </c>
      <c r="G250" s="5">
        <v>0.1</v>
      </c>
      <c r="H250" s="5">
        <v>0.4</v>
      </c>
      <c r="I250" s="5">
        <v>0.05</v>
      </c>
      <c r="J250" s="6">
        <v>0.68518518518518523</v>
      </c>
      <c r="K250" s="6">
        <v>0.8513513513513512</v>
      </c>
      <c r="L250" s="6">
        <v>0.67244688119033347</v>
      </c>
      <c r="M250" s="4" t="s">
        <v>142</v>
      </c>
      <c r="N250" s="4">
        <v>0.1098192619722947</v>
      </c>
      <c r="O250" s="4">
        <v>0</v>
      </c>
    </row>
    <row r="251" spans="1:15" x14ac:dyDescent="0.3">
      <c r="A251" s="4">
        <v>250</v>
      </c>
      <c r="B251" s="4">
        <v>250000</v>
      </c>
      <c r="C251" s="4" t="s">
        <v>163</v>
      </c>
      <c r="D251" s="4" t="s">
        <v>16</v>
      </c>
      <c r="E251" s="4" t="s">
        <v>17</v>
      </c>
      <c r="F251" s="4" t="s">
        <v>18</v>
      </c>
      <c r="G251" s="5">
        <v>0.1</v>
      </c>
      <c r="H251" s="5">
        <v>0.4</v>
      </c>
      <c r="I251" s="5">
        <v>0.05</v>
      </c>
      <c r="J251" s="6">
        <v>0.70370370370370372</v>
      </c>
      <c r="K251" s="6">
        <v>0.85289473684210504</v>
      </c>
      <c r="L251" s="6">
        <v>0.68536557885456162</v>
      </c>
      <c r="M251" s="4" t="s">
        <v>142</v>
      </c>
      <c r="N251" s="4">
        <v>0.1102859481548073</v>
      </c>
      <c r="O251" s="4">
        <v>0</v>
      </c>
    </row>
    <row r="252" spans="1:15" x14ac:dyDescent="0.3">
      <c r="A252" s="4">
        <v>251</v>
      </c>
      <c r="B252" s="4">
        <v>251000</v>
      </c>
      <c r="C252" s="4" t="s">
        <v>163</v>
      </c>
      <c r="D252" s="4" t="s">
        <v>16</v>
      </c>
      <c r="E252" s="4" t="s">
        <v>17</v>
      </c>
      <c r="F252" s="4" t="s">
        <v>18</v>
      </c>
      <c r="G252" s="5">
        <v>0.1</v>
      </c>
      <c r="H252" s="5">
        <v>0.4</v>
      </c>
      <c r="I252" s="5">
        <v>0.05</v>
      </c>
      <c r="J252" s="6">
        <v>0.68518518518518523</v>
      </c>
      <c r="K252" s="6">
        <v>0.85054054054054029</v>
      </c>
      <c r="L252" s="6">
        <v>0.67631328989100081</v>
      </c>
      <c r="M252" s="4" t="s">
        <v>25</v>
      </c>
      <c r="N252" s="4">
        <v>0.1122414905224558</v>
      </c>
      <c r="O252" s="4">
        <v>0</v>
      </c>
    </row>
    <row r="253" spans="1:15" x14ac:dyDescent="0.3">
      <c r="A253" s="4">
        <v>252</v>
      </c>
      <c r="B253" s="4">
        <v>252000</v>
      </c>
      <c r="C253" s="4" t="s">
        <v>163</v>
      </c>
      <c r="D253" s="4" t="s">
        <v>16</v>
      </c>
      <c r="E253" s="4" t="s">
        <v>17</v>
      </c>
      <c r="F253" s="4" t="s">
        <v>18</v>
      </c>
      <c r="G253" s="5">
        <v>0.1</v>
      </c>
      <c r="H253" s="5">
        <v>0.4</v>
      </c>
      <c r="I253" s="5">
        <v>0.05</v>
      </c>
      <c r="J253" s="6">
        <v>0.69811320754716977</v>
      </c>
      <c r="K253" s="6">
        <v>0.85054054054054029</v>
      </c>
      <c r="L253" s="6">
        <v>0.68129464391701311</v>
      </c>
      <c r="M253" s="4" t="s">
        <v>25</v>
      </c>
      <c r="N253" s="4">
        <v>0.1119847807377921</v>
      </c>
      <c r="O253" s="4">
        <v>0</v>
      </c>
    </row>
    <row r="254" spans="1:15" x14ac:dyDescent="0.3">
      <c r="A254" s="4">
        <v>253</v>
      </c>
      <c r="B254" s="4">
        <v>253000</v>
      </c>
      <c r="C254" s="4" t="s">
        <v>163</v>
      </c>
      <c r="D254" s="4" t="s">
        <v>16</v>
      </c>
      <c r="E254" s="4" t="s">
        <v>17</v>
      </c>
      <c r="F254" s="4" t="s">
        <v>18</v>
      </c>
      <c r="G254" s="5">
        <v>0.1</v>
      </c>
      <c r="H254" s="5">
        <v>0.4</v>
      </c>
      <c r="I254" s="5">
        <v>0.05</v>
      </c>
      <c r="J254" s="6">
        <v>0.6785714285714286</v>
      </c>
      <c r="K254" s="6">
        <v>0.84342105263157874</v>
      </c>
      <c r="L254" s="6">
        <v>0.67446614947544625</v>
      </c>
      <c r="M254" s="4" t="s">
        <v>103</v>
      </c>
      <c r="N254" s="4">
        <v>0.1093608334118015</v>
      </c>
      <c r="O254" s="4">
        <v>0</v>
      </c>
    </row>
    <row r="255" spans="1:15" x14ac:dyDescent="0.3">
      <c r="A255" s="4">
        <v>254</v>
      </c>
      <c r="B255" s="4">
        <v>254000</v>
      </c>
      <c r="C255" s="4" t="s">
        <v>163</v>
      </c>
      <c r="D255" s="4" t="s">
        <v>16</v>
      </c>
      <c r="E255" s="4" t="s">
        <v>17</v>
      </c>
      <c r="F255" s="4" t="s">
        <v>18</v>
      </c>
      <c r="G255" s="5">
        <v>0.1</v>
      </c>
      <c r="H255" s="5">
        <v>0.4</v>
      </c>
      <c r="I255" s="5">
        <v>0.05</v>
      </c>
      <c r="J255" s="6">
        <v>0.68421052631578949</v>
      </c>
      <c r="K255" s="6">
        <v>0.84410256410256379</v>
      </c>
      <c r="L255" s="6">
        <v>0.68365971158729111</v>
      </c>
      <c r="M255" s="4" t="s">
        <v>25</v>
      </c>
      <c r="N255" s="4">
        <v>0.1118101760212724</v>
      </c>
      <c r="O255" s="4">
        <v>0</v>
      </c>
    </row>
    <row r="256" spans="1:15" x14ac:dyDescent="0.3">
      <c r="A256" s="4">
        <v>255</v>
      </c>
      <c r="B256" s="4">
        <v>255000</v>
      </c>
      <c r="C256" s="4" t="s">
        <v>163</v>
      </c>
      <c r="D256" s="4" t="s">
        <v>16</v>
      </c>
      <c r="E256" s="4" t="s">
        <v>17</v>
      </c>
      <c r="F256" s="4" t="s">
        <v>18</v>
      </c>
      <c r="G256" s="5">
        <v>0.1</v>
      </c>
      <c r="H256" s="5">
        <v>0.4</v>
      </c>
      <c r="I256" s="5">
        <v>0.05</v>
      </c>
      <c r="J256" s="6">
        <v>0.66101694915254239</v>
      </c>
      <c r="K256" s="6">
        <v>0.8343589743589741</v>
      </c>
      <c r="L256" s="6">
        <v>0.69665452203183098</v>
      </c>
      <c r="M256" s="4" t="s">
        <v>47</v>
      </c>
      <c r="N256" s="4">
        <v>0.1083763947348096</v>
      </c>
      <c r="O256" s="4">
        <v>0</v>
      </c>
    </row>
    <row r="257" spans="1:15" x14ac:dyDescent="0.3">
      <c r="A257" s="4">
        <v>256</v>
      </c>
      <c r="B257" s="4">
        <v>256000</v>
      </c>
      <c r="C257" s="4" t="s">
        <v>163</v>
      </c>
      <c r="D257" s="4" t="s">
        <v>16</v>
      </c>
      <c r="E257" s="4" t="s">
        <v>17</v>
      </c>
      <c r="F257" s="4" t="s">
        <v>18</v>
      </c>
      <c r="G257" s="5">
        <v>0.1</v>
      </c>
      <c r="H257" s="5">
        <v>0.4</v>
      </c>
      <c r="I257" s="5">
        <v>0.05</v>
      </c>
      <c r="J257" s="6">
        <v>0.64406779661016944</v>
      </c>
      <c r="K257" s="6">
        <v>0.82921052631578929</v>
      </c>
      <c r="L257" s="6">
        <v>0.68754702909153231</v>
      </c>
      <c r="M257" s="4" t="s">
        <v>63</v>
      </c>
      <c r="N257" s="4">
        <v>0.1110752082669671</v>
      </c>
      <c r="O257" s="4">
        <v>0</v>
      </c>
    </row>
    <row r="258" spans="1:15" x14ac:dyDescent="0.3">
      <c r="A258" s="4">
        <v>257</v>
      </c>
      <c r="B258" s="4">
        <v>257000</v>
      </c>
      <c r="C258" s="4" t="s">
        <v>163</v>
      </c>
      <c r="D258" s="4" t="s">
        <v>16</v>
      </c>
      <c r="E258" s="4" t="s">
        <v>17</v>
      </c>
      <c r="F258" s="4" t="s">
        <v>18</v>
      </c>
      <c r="G258" s="5">
        <v>0.1</v>
      </c>
      <c r="H258" s="5">
        <v>0.4</v>
      </c>
      <c r="I258" s="5">
        <v>0.05</v>
      </c>
      <c r="J258" s="6">
        <v>0.64406779661016944</v>
      </c>
      <c r="K258" s="6">
        <v>0.82368421052631569</v>
      </c>
      <c r="L258" s="6">
        <v>0.68337044917804701</v>
      </c>
      <c r="M258" s="4" t="s">
        <v>63</v>
      </c>
      <c r="N258" s="4">
        <v>0.1113273512787285</v>
      </c>
      <c r="O258" s="4">
        <v>0</v>
      </c>
    </row>
    <row r="259" spans="1:15" x14ac:dyDescent="0.3">
      <c r="A259" s="4">
        <v>258</v>
      </c>
      <c r="B259" s="4">
        <v>258000</v>
      </c>
      <c r="C259" s="4" t="s">
        <v>163</v>
      </c>
      <c r="D259" s="4" t="s">
        <v>16</v>
      </c>
      <c r="E259" s="4" t="s">
        <v>17</v>
      </c>
      <c r="F259" s="4" t="s">
        <v>18</v>
      </c>
      <c r="G259" s="5">
        <v>0.1</v>
      </c>
      <c r="H259" s="5">
        <v>0.4</v>
      </c>
      <c r="I259" s="5">
        <v>0.05</v>
      </c>
      <c r="J259" s="6">
        <v>0.64406779661016944</v>
      </c>
      <c r="K259" s="6">
        <v>0.8207894736842104</v>
      </c>
      <c r="L259" s="6">
        <v>0.68195096130859567</v>
      </c>
      <c r="M259" s="4" t="s">
        <v>25</v>
      </c>
      <c r="N259" s="4">
        <v>0.11195796471076511</v>
      </c>
      <c r="O259" s="4">
        <v>0</v>
      </c>
    </row>
    <row r="260" spans="1:15" x14ac:dyDescent="0.3">
      <c r="A260" s="4">
        <v>259</v>
      </c>
      <c r="B260" s="4">
        <v>259000</v>
      </c>
      <c r="C260" s="4" t="s">
        <v>163</v>
      </c>
      <c r="D260" s="4" t="s">
        <v>16</v>
      </c>
      <c r="E260" s="4" t="s">
        <v>17</v>
      </c>
      <c r="F260" s="4" t="s">
        <v>18</v>
      </c>
      <c r="G260" s="5">
        <v>0.1</v>
      </c>
      <c r="H260" s="5">
        <v>0.4</v>
      </c>
      <c r="I260" s="5">
        <v>0.05</v>
      </c>
      <c r="J260" s="6">
        <v>0.6271186440677966</v>
      </c>
      <c r="K260" s="6">
        <v>0.81756756756756732</v>
      </c>
      <c r="L260" s="6">
        <v>0.68853327276585152</v>
      </c>
      <c r="M260" s="4" t="s">
        <v>40</v>
      </c>
      <c r="N260" s="4">
        <v>0.1129466403709395</v>
      </c>
      <c r="O260" s="4">
        <v>0</v>
      </c>
    </row>
    <row r="261" spans="1:15" x14ac:dyDescent="0.3">
      <c r="A261" s="4">
        <v>260</v>
      </c>
      <c r="B261" s="4">
        <v>260000</v>
      </c>
      <c r="C261" s="4" t="s">
        <v>163</v>
      </c>
      <c r="D261" s="4" t="s">
        <v>16</v>
      </c>
      <c r="E261" s="4" t="s">
        <v>17</v>
      </c>
      <c r="F261" s="4" t="s">
        <v>18</v>
      </c>
      <c r="G261" s="5">
        <v>0.1</v>
      </c>
      <c r="H261" s="5">
        <v>0.4</v>
      </c>
      <c r="I261" s="5">
        <v>0.05</v>
      </c>
      <c r="J261" s="6">
        <v>0.6271186440677966</v>
      </c>
      <c r="K261" s="6">
        <v>0.81621621621621598</v>
      </c>
      <c r="L261" s="6">
        <v>0.68917733230086509</v>
      </c>
      <c r="M261" s="4" t="s">
        <v>84</v>
      </c>
      <c r="N261" s="4">
        <v>0.1141907262522998</v>
      </c>
      <c r="O261" s="4">
        <v>0</v>
      </c>
    </row>
    <row r="262" spans="1:15" x14ac:dyDescent="0.3">
      <c r="A262" s="4">
        <v>261</v>
      </c>
      <c r="B262" s="4">
        <v>261000</v>
      </c>
      <c r="C262" s="4" t="s">
        <v>163</v>
      </c>
      <c r="D262" s="4" t="s">
        <v>16</v>
      </c>
      <c r="E262" s="4" t="s">
        <v>17</v>
      </c>
      <c r="F262" s="4" t="s">
        <v>18</v>
      </c>
      <c r="G262" s="5">
        <v>0.1</v>
      </c>
      <c r="H262" s="5">
        <v>0.4</v>
      </c>
      <c r="I262" s="5">
        <v>0.05</v>
      </c>
      <c r="J262" s="6">
        <v>0.6271186440677966</v>
      </c>
      <c r="K262" s="6">
        <v>0.81432432432432422</v>
      </c>
      <c r="L262" s="6">
        <v>0.68799127829772044</v>
      </c>
      <c r="M262" s="4" t="s">
        <v>207</v>
      </c>
      <c r="N262" s="4">
        <v>0.1165538292404231</v>
      </c>
      <c r="O262" s="4">
        <v>0</v>
      </c>
    </row>
    <row r="263" spans="1:15" x14ac:dyDescent="0.3">
      <c r="A263" s="4">
        <v>262</v>
      </c>
      <c r="B263" s="4">
        <v>262000</v>
      </c>
      <c r="C263" s="4" t="s">
        <v>163</v>
      </c>
      <c r="D263" s="4" t="s">
        <v>16</v>
      </c>
      <c r="E263" s="4" t="s">
        <v>17</v>
      </c>
      <c r="F263" s="4" t="s">
        <v>18</v>
      </c>
      <c r="G263" s="5">
        <v>0.1</v>
      </c>
      <c r="H263" s="5">
        <v>0.4</v>
      </c>
      <c r="I263" s="5">
        <v>0.05</v>
      </c>
      <c r="J263" s="6">
        <v>0.6271186440677966</v>
      </c>
      <c r="K263" s="6">
        <v>0.81810810810810797</v>
      </c>
      <c r="L263" s="6">
        <v>0.69384208013637005</v>
      </c>
      <c r="M263" s="4" t="s">
        <v>36</v>
      </c>
      <c r="N263" s="4">
        <v>0.116469963301156</v>
      </c>
      <c r="O263" s="4">
        <v>0</v>
      </c>
    </row>
    <row r="264" spans="1:15" x14ac:dyDescent="0.3">
      <c r="A264" s="4">
        <v>263</v>
      </c>
      <c r="B264" s="4">
        <v>263000</v>
      </c>
      <c r="C264" s="4" t="s">
        <v>163</v>
      </c>
      <c r="D264" s="4" t="s">
        <v>16</v>
      </c>
      <c r="E264" s="4" t="s">
        <v>17</v>
      </c>
      <c r="F264" s="4" t="s">
        <v>18</v>
      </c>
      <c r="G264" s="5">
        <v>0.1</v>
      </c>
      <c r="H264" s="5">
        <v>0.4</v>
      </c>
      <c r="I264" s="5">
        <v>0.05</v>
      </c>
      <c r="J264" s="6">
        <v>0.67241379310344829</v>
      </c>
      <c r="K264" s="6">
        <v>0.82051282051282037</v>
      </c>
      <c r="L264" s="6">
        <v>0.70249756362157134</v>
      </c>
      <c r="M264" s="4" t="s">
        <v>112</v>
      </c>
      <c r="N264" s="4">
        <v>0.12325831399444891</v>
      </c>
      <c r="O264" s="4">
        <v>0</v>
      </c>
    </row>
    <row r="265" spans="1:15" x14ac:dyDescent="0.3">
      <c r="A265" s="4">
        <v>264</v>
      </c>
      <c r="B265" s="4">
        <v>264000</v>
      </c>
      <c r="C265" s="4" t="s">
        <v>163</v>
      </c>
      <c r="D265" s="4" t="s">
        <v>16</v>
      </c>
      <c r="E265" s="4" t="s">
        <v>17</v>
      </c>
      <c r="F265" s="4" t="s">
        <v>18</v>
      </c>
      <c r="G265" s="5">
        <v>0.1</v>
      </c>
      <c r="H265" s="5">
        <v>0.4</v>
      </c>
      <c r="I265" s="5">
        <v>0.05</v>
      </c>
      <c r="J265" s="6">
        <v>0.66666666666666663</v>
      </c>
      <c r="K265" s="6">
        <v>0.82289473684210512</v>
      </c>
      <c r="L265" s="6">
        <v>0.79299287054627399</v>
      </c>
      <c r="M265" s="4" t="s">
        <v>112</v>
      </c>
      <c r="N265" s="4">
        <v>0.1232379944966943</v>
      </c>
      <c r="O265" s="4">
        <v>0</v>
      </c>
    </row>
    <row r="266" spans="1:15" x14ac:dyDescent="0.3">
      <c r="A266" s="4">
        <v>265</v>
      </c>
      <c r="B266" s="4">
        <v>265000</v>
      </c>
      <c r="C266" s="4" t="s">
        <v>163</v>
      </c>
      <c r="D266" s="4" t="s">
        <v>16</v>
      </c>
      <c r="E266" s="4" t="s">
        <v>17</v>
      </c>
      <c r="F266" s="4" t="s">
        <v>18</v>
      </c>
      <c r="G266" s="5">
        <v>0.1</v>
      </c>
      <c r="H266" s="5">
        <v>0.4</v>
      </c>
      <c r="I266" s="5">
        <v>0.05</v>
      </c>
      <c r="J266" s="6">
        <v>0.6428571428571429</v>
      </c>
      <c r="K266" s="6">
        <v>0.82999999999999985</v>
      </c>
      <c r="L266" s="6">
        <v>0.77563942703959465</v>
      </c>
      <c r="M266" s="4" t="s">
        <v>58</v>
      </c>
      <c r="N266" s="4">
        <v>0.1249671677158922</v>
      </c>
      <c r="O266" s="4">
        <v>0</v>
      </c>
    </row>
    <row r="267" spans="1:15" x14ac:dyDescent="0.3">
      <c r="A267" s="4">
        <v>266</v>
      </c>
      <c r="B267" s="4">
        <v>266000</v>
      </c>
      <c r="C267" s="4" t="s">
        <v>163</v>
      </c>
      <c r="D267" s="4" t="s">
        <v>16</v>
      </c>
      <c r="E267" s="4" t="s">
        <v>17</v>
      </c>
      <c r="F267" s="4" t="s">
        <v>18</v>
      </c>
      <c r="G267" s="5">
        <v>0.1</v>
      </c>
      <c r="H267" s="5">
        <v>0.4</v>
      </c>
      <c r="I267" s="5">
        <v>0.05</v>
      </c>
      <c r="J267" s="6">
        <v>0.625</v>
      </c>
      <c r="K267" s="6">
        <v>0.83171428571428563</v>
      </c>
      <c r="L267" s="6">
        <v>0.76775337307883285</v>
      </c>
      <c r="M267" s="4" t="s">
        <v>29</v>
      </c>
      <c r="N267" s="4">
        <v>0.1209168765031312</v>
      </c>
      <c r="O267" s="4">
        <v>0</v>
      </c>
    </row>
    <row r="268" spans="1:15" x14ac:dyDescent="0.3">
      <c r="A268" s="4">
        <v>267</v>
      </c>
      <c r="B268" s="4">
        <v>267000</v>
      </c>
      <c r="C268" s="4" t="s">
        <v>163</v>
      </c>
      <c r="D268" s="4" t="s">
        <v>16</v>
      </c>
      <c r="E268" s="4" t="s">
        <v>17</v>
      </c>
      <c r="F268" s="4" t="s">
        <v>18</v>
      </c>
      <c r="G268" s="5">
        <v>0.1</v>
      </c>
      <c r="H268" s="5">
        <v>0.4</v>
      </c>
      <c r="I268" s="5">
        <v>0.05</v>
      </c>
      <c r="J268" s="6">
        <v>0.625</v>
      </c>
      <c r="K268" s="6">
        <v>0.83028571428571418</v>
      </c>
      <c r="L268" s="6">
        <v>0.77236239297109832</v>
      </c>
      <c r="M268" s="4" t="s">
        <v>112</v>
      </c>
      <c r="N268" s="4">
        <v>0.12264070568941381</v>
      </c>
      <c r="O268" s="4">
        <v>0</v>
      </c>
    </row>
    <row r="269" spans="1:15" x14ac:dyDescent="0.3">
      <c r="A269" s="4">
        <v>268</v>
      </c>
      <c r="B269" s="4">
        <v>268000</v>
      </c>
      <c r="C269" s="4" t="s">
        <v>163</v>
      </c>
      <c r="D269" s="4" t="s">
        <v>16</v>
      </c>
      <c r="E269" s="4" t="s">
        <v>17</v>
      </c>
      <c r="F269" s="4" t="s">
        <v>18</v>
      </c>
      <c r="G269" s="5">
        <v>0.1</v>
      </c>
      <c r="H269" s="5">
        <v>0.4</v>
      </c>
      <c r="I269" s="5">
        <v>0.05</v>
      </c>
      <c r="J269" s="6">
        <v>0.61403508771929827</v>
      </c>
      <c r="K269" s="6">
        <v>0.83114285714285696</v>
      </c>
      <c r="L269" s="6">
        <v>0.78066858536675832</v>
      </c>
      <c r="M269" s="4" t="s">
        <v>112</v>
      </c>
      <c r="N269" s="4">
        <v>0.1228488901583718</v>
      </c>
      <c r="O269" s="4">
        <v>0</v>
      </c>
    </row>
    <row r="270" spans="1:15" x14ac:dyDescent="0.3">
      <c r="A270" s="4">
        <v>269</v>
      </c>
      <c r="B270" s="4">
        <v>269000</v>
      </c>
      <c r="C270" s="4" t="s">
        <v>163</v>
      </c>
      <c r="D270" s="4" t="s">
        <v>16</v>
      </c>
      <c r="E270" s="4" t="s">
        <v>17</v>
      </c>
      <c r="F270" s="4" t="s">
        <v>18</v>
      </c>
      <c r="G270" s="5">
        <v>0.1</v>
      </c>
      <c r="H270" s="5">
        <v>0.4</v>
      </c>
      <c r="I270" s="5">
        <v>0.05</v>
      </c>
      <c r="J270" s="6">
        <v>0.625</v>
      </c>
      <c r="K270" s="6">
        <v>0.81885714285714262</v>
      </c>
      <c r="L270" s="6">
        <v>0.74690637382155312</v>
      </c>
      <c r="M270" s="4" t="s">
        <v>207</v>
      </c>
      <c r="N270" s="4">
        <v>0.1174751504011516</v>
      </c>
      <c r="O270" s="4">
        <v>0</v>
      </c>
    </row>
    <row r="271" spans="1:15" x14ac:dyDescent="0.3">
      <c r="A271" s="4">
        <v>270</v>
      </c>
      <c r="B271" s="4">
        <v>270000</v>
      </c>
      <c r="C271" s="4" t="s">
        <v>163</v>
      </c>
      <c r="D271" s="4" t="s">
        <v>16</v>
      </c>
      <c r="E271" s="4" t="s">
        <v>17</v>
      </c>
      <c r="F271" s="4" t="s">
        <v>18</v>
      </c>
      <c r="G271" s="5">
        <v>0.1</v>
      </c>
      <c r="H271" s="5">
        <v>0.4</v>
      </c>
      <c r="I271" s="5">
        <v>0.05</v>
      </c>
      <c r="J271" s="6">
        <v>0.625</v>
      </c>
      <c r="K271" s="6">
        <v>0.81628571428571395</v>
      </c>
      <c r="L271" s="6">
        <v>0.75188621584290771</v>
      </c>
      <c r="M271" s="4" t="s">
        <v>68</v>
      </c>
      <c r="N271" s="4">
        <v>0.118126768450553</v>
      </c>
      <c r="O271" s="4">
        <v>0</v>
      </c>
    </row>
    <row r="272" spans="1:15" x14ac:dyDescent="0.3">
      <c r="A272" s="4">
        <v>271</v>
      </c>
      <c r="B272" s="4">
        <v>271000</v>
      </c>
      <c r="C272" s="4" t="s">
        <v>163</v>
      </c>
      <c r="D272" s="4" t="s">
        <v>16</v>
      </c>
      <c r="E272" s="4" t="s">
        <v>17</v>
      </c>
      <c r="F272" s="4" t="s">
        <v>18</v>
      </c>
      <c r="G272" s="5">
        <v>0.1</v>
      </c>
      <c r="H272" s="5">
        <v>0.4</v>
      </c>
      <c r="I272" s="5">
        <v>0.05</v>
      </c>
      <c r="J272" s="6">
        <v>0.625</v>
      </c>
      <c r="K272" s="6">
        <v>0.82485714285714262</v>
      </c>
      <c r="L272" s="6">
        <v>0.76933744701761386</v>
      </c>
      <c r="M272" s="4" t="s">
        <v>68</v>
      </c>
      <c r="N272" s="4">
        <v>0.1184259037792265</v>
      </c>
      <c r="O272" s="4">
        <v>0</v>
      </c>
    </row>
    <row r="273" spans="1:15" x14ac:dyDescent="0.3">
      <c r="A273" s="4">
        <v>272</v>
      </c>
      <c r="B273" s="4">
        <v>272000</v>
      </c>
      <c r="C273" s="4" t="s">
        <v>163</v>
      </c>
      <c r="D273" s="4" t="s">
        <v>16</v>
      </c>
      <c r="E273" s="4" t="s">
        <v>17</v>
      </c>
      <c r="F273" s="4" t="s">
        <v>18</v>
      </c>
      <c r="G273" s="5">
        <v>0.1</v>
      </c>
      <c r="H273" s="5">
        <v>0.4</v>
      </c>
      <c r="I273" s="5">
        <v>0.05</v>
      </c>
      <c r="J273" s="6">
        <v>0.625</v>
      </c>
      <c r="K273" s="6">
        <v>0.82428571428571418</v>
      </c>
      <c r="L273" s="6">
        <v>0.76783111088122213</v>
      </c>
      <c r="M273" s="4" t="s">
        <v>91</v>
      </c>
      <c r="N273" s="4">
        <v>0.11931729130444479</v>
      </c>
      <c r="O273" s="4">
        <v>0</v>
      </c>
    </row>
    <row r="274" spans="1:15" x14ac:dyDescent="0.3">
      <c r="A274" s="4">
        <v>273</v>
      </c>
      <c r="B274" s="4">
        <v>273000</v>
      </c>
      <c r="C274" s="4" t="s">
        <v>163</v>
      </c>
      <c r="D274" s="4" t="s">
        <v>16</v>
      </c>
      <c r="E274" s="4" t="s">
        <v>17</v>
      </c>
      <c r="F274" s="4" t="s">
        <v>18</v>
      </c>
      <c r="G274" s="5">
        <v>0.1</v>
      </c>
      <c r="H274" s="5">
        <v>0.4</v>
      </c>
      <c r="I274" s="5">
        <v>0.05</v>
      </c>
      <c r="J274" s="6">
        <v>0.63157894736842102</v>
      </c>
      <c r="K274" s="6">
        <v>0.82916666666666639</v>
      </c>
      <c r="L274" s="6">
        <v>0.78636987677174464</v>
      </c>
      <c r="M274" s="4" t="s">
        <v>91</v>
      </c>
      <c r="N274" s="4">
        <v>0.1194151880658948</v>
      </c>
      <c r="O274" s="4">
        <v>0</v>
      </c>
    </row>
    <row r="275" spans="1:15" x14ac:dyDescent="0.3">
      <c r="A275" s="4">
        <v>274</v>
      </c>
      <c r="B275" s="4">
        <v>274000</v>
      </c>
      <c r="C275" s="4" t="s">
        <v>163</v>
      </c>
      <c r="D275" s="4" t="s">
        <v>16</v>
      </c>
      <c r="E275" s="4" t="s">
        <v>17</v>
      </c>
      <c r="F275" s="4" t="s">
        <v>18</v>
      </c>
      <c r="G275" s="5">
        <v>0.1</v>
      </c>
      <c r="H275" s="5">
        <v>0.4</v>
      </c>
      <c r="I275" s="5">
        <v>0.05</v>
      </c>
      <c r="J275" s="6">
        <v>0.62068965517241381</v>
      </c>
      <c r="K275" s="6">
        <v>0.81694444444444425</v>
      </c>
      <c r="L275" s="6">
        <v>0.68419075442374988</v>
      </c>
      <c r="M275" s="4" t="s">
        <v>29</v>
      </c>
      <c r="N275" s="4">
        <v>0.12093934722166109</v>
      </c>
      <c r="O275" s="4">
        <v>0</v>
      </c>
    </row>
    <row r="276" spans="1:15" x14ac:dyDescent="0.3">
      <c r="A276" s="4">
        <v>275</v>
      </c>
      <c r="B276" s="4">
        <v>275000</v>
      </c>
      <c r="C276" s="4" t="s">
        <v>163</v>
      </c>
      <c r="D276" s="4" t="s">
        <v>16</v>
      </c>
      <c r="E276" s="4" t="s">
        <v>17</v>
      </c>
      <c r="F276" s="4" t="s">
        <v>18</v>
      </c>
      <c r="G276" s="5">
        <v>0.1</v>
      </c>
      <c r="H276" s="5">
        <v>0.4</v>
      </c>
      <c r="I276" s="5">
        <v>0.05</v>
      </c>
      <c r="J276" s="6">
        <v>0.60344827586206895</v>
      </c>
      <c r="K276" s="6">
        <v>0.81457142857142828</v>
      </c>
      <c r="L276" s="6">
        <v>0.6900353425563357</v>
      </c>
      <c r="M276" s="4" t="s">
        <v>29</v>
      </c>
      <c r="N276" s="4">
        <v>0.1208497323110207</v>
      </c>
      <c r="O276" s="4">
        <v>0</v>
      </c>
    </row>
    <row r="277" spans="1:15" x14ac:dyDescent="0.3">
      <c r="A277" s="4">
        <v>276</v>
      </c>
      <c r="B277" s="4">
        <v>276000</v>
      </c>
      <c r="C277" s="4" t="s">
        <v>163</v>
      </c>
      <c r="D277" s="4" t="s">
        <v>16</v>
      </c>
      <c r="E277" s="4" t="s">
        <v>17</v>
      </c>
      <c r="F277" s="4" t="s">
        <v>18</v>
      </c>
      <c r="G277" s="5">
        <v>0.1</v>
      </c>
      <c r="H277" s="5">
        <v>0.4</v>
      </c>
      <c r="I277" s="5">
        <v>0.05</v>
      </c>
      <c r="J277" s="6">
        <v>0.61016949152542377</v>
      </c>
      <c r="K277" s="6">
        <v>0.81166666666666643</v>
      </c>
      <c r="L277" s="6">
        <v>0.69512161267159001</v>
      </c>
      <c r="M277" s="4" t="s">
        <v>75</v>
      </c>
      <c r="N277" s="4">
        <v>0.1260161534298776</v>
      </c>
      <c r="O277" s="4">
        <v>0</v>
      </c>
    </row>
    <row r="278" spans="1:15" x14ac:dyDescent="0.3">
      <c r="A278" s="4">
        <v>277</v>
      </c>
      <c r="B278" s="4">
        <v>277000</v>
      </c>
      <c r="C278" s="4" t="s">
        <v>163</v>
      </c>
      <c r="D278" s="4" t="s">
        <v>16</v>
      </c>
      <c r="E278" s="4" t="s">
        <v>17</v>
      </c>
      <c r="F278" s="4" t="s">
        <v>18</v>
      </c>
      <c r="G278" s="5">
        <v>0.1</v>
      </c>
      <c r="H278" s="5">
        <v>0.4</v>
      </c>
      <c r="I278" s="5">
        <v>0.05</v>
      </c>
      <c r="J278" s="6">
        <v>0.61016949152542377</v>
      </c>
      <c r="K278" s="6">
        <v>0.81222222222222207</v>
      </c>
      <c r="L278" s="6">
        <v>0.71125066583764673</v>
      </c>
      <c r="M278" s="4" t="s">
        <v>75</v>
      </c>
      <c r="N278" s="4">
        <v>0.1257136327440414</v>
      </c>
      <c r="O278" s="4">
        <v>0</v>
      </c>
    </row>
    <row r="279" spans="1:15" x14ac:dyDescent="0.3">
      <c r="A279" s="4">
        <v>278</v>
      </c>
      <c r="B279" s="4">
        <v>278000</v>
      </c>
      <c r="C279" s="4" t="s">
        <v>163</v>
      </c>
      <c r="D279" s="4" t="s">
        <v>16</v>
      </c>
      <c r="E279" s="4" t="s">
        <v>17</v>
      </c>
      <c r="F279" s="4" t="s">
        <v>18</v>
      </c>
      <c r="G279" s="5">
        <v>0.1</v>
      </c>
      <c r="H279" s="5">
        <v>0.4</v>
      </c>
      <c r="I279" s="5">
        <v>0.05</v>
      </c>
      <c r="J279" s="6">
        <v>0.61016949152542377</v>
      </c>
      <c r="K279" s="6">
        <v>0.81027777777777765</v>
      </c>
      <c r="L279" s="6">
        <v>0.7134086948865439</v>
      </c>
      <c r="M279" s="4" t="s">
        <v>42</v>
      </c>
      <c r="N279" s="4">
        <v>0.1294971879114325</v>
      </c>
      <c r="O279" s="4">
        <v>0</v>
      </c>
    </row>
    <row r="280" spans="1:15" x14ac:dyDescent="0.3">
      <c r="A280" s="4">
        <v>279</v>
      </c>
      <c r="B280" s="4">
        <v>279000</v>
      </c>
      <c r="C280" s="4" t="s">
        <v>163</v>
      </c>
      <c r="D280" s="4" t="s">
        <v>16</v>
      </c>
      <c r="E280" s="4" t="s">
        <v>17</v>
      </c>
      <c r="F280" s="4" t="s">
        <v>18</v>
      </c>
      <c r="G280" s="5">
        <v>0.1</v>
      </c>
      <c r="H280" s="5">
        <v>0.4</v>
      </c>
      <c r="I280" s="5">
        <v>0.05</v>
      </c>
      <c r="J280" s="6">
        <v>0.6166666666666667</v>
      </c>
      <c r="K280" s="6">
        <v>0.80459459459459426</v>
      </c>
      <c r="L280" s="6">
        <v>0.67669413607858109</v>
      </c>
      <c r="M280" s="4" t="s">
        <v>98</v>
      </c>
      <c r="N280" s="4">
        <v>0.12990318630268849</v>
      </c>
      <c r="O280" s="4">
        <v>0</v>
      </c>
    </row>
    <row r="281" spans="1:15" x14ac:dyDescent="0.3">
      <c r="A281" s="4">
        <v>280</v>
      </c>
      <c r="B281" s="4">
        <v>280000</v>
      </c>
      <c r="C281" s="4" t="s">
        <v>163</v>
      </c>
      <c r="D281" s="4" t="s">
        <v>16</v>
      </c>
      <c r="E281" s="4" t="s">
        <v>17</v>
      </c>
      <c r="F281" s="4" t="s">
        <v>18</v>
      </c>
      <c r="G281" s="5">
        <v>0.1</v>
      </c>
      <c r="H281" s="5">
        <v>0.4</v>
      </c>
      <c r="I281" s="5">
        <v>0.05</v>
      </c>
      <c r="J281" s="6">
        <v>0.6271186440677966</v>
      </c>
      <c r="K281" s="6">
        <v>0.801081081081081</v>
      </c>
      <c r="L281" s="6">
        <v>0.65869169938435213</v>
      </c>
      <c r="M281" s="4" t="s">
        <v>100</v>
      </c>
      <c r="N281" s="4">
        <v>0.1312416466922022</v>
      </c>
      <c r="O281" s="4">
        <v>0</v>
      </c>
    </row>
    <row r="282" spans="1:15" x14ac:dyDescent="0.3">
      <c r="A282" s="4">
        <v>281</v>
      </c>
      <c r="B282" s="4">
        <v>281000</v>
      </c>
      <c r="C282" s="4" t="s">
        <v>163</v>
      </c>
      <c r="D282" s="4" t="s">
        <v>16</v>
      </c>
      <c r="E282" s="4" t="s">
        <v>17</v>
      </c>
      <c r="F282" s="4" t="s">
        <v>18</v>
      </c>
      <c r="G282" s="5">
        <v>0.1</v>
      </c>
      <c r="H282" s="5">
        <v>0.4</v>
      </c>
      <c r="I282" s="5">
        <v>0.05</v>
      </c>
      <c r="J282" s="6">
        <v>0.6271186440677966</v>
      </c>
      <c r="K282" s="6">
        <v>0.80756756756756753</v>
      </c>
      <c r="L282" s="6">
        <v>0.6595246496183883</v>
      </c>
      <c r="M282" s="4" t="s">
        <v>32</v>
      </c>
      <c r="N282" s="4">
        <v>0.13195647455385981</v>
      </c>
      <c r="O282" s="4">
        <v>0</v>
      </c>
    </row>
    <row r="283" spans="1:15" x14ac:dyDescent="0.3">
      <c r="A283" s="4">
        <v>282</v>
      </c>
      <c r="B283" s="4">
        <v>282000</v>
      </c>
      <c r="C283" s="4" t="s">
        <v>163</v>
      </c>
      <c r="D283" s="4" t="s">
        <v>16</v>
      </c>
      <c r="E283" s="4" t="s">
        <v>17</v>
      </c>
      <c r="F283" s="4" t="s">
        <v>18</v>
      </c>
      <c r="G283" s="5">
        <v>0.1</v>
      </c>
      <c r="H283" s="5">
        <v>0.4</v>
      </c>
      <c r="I283" s="5">
        <v>0.05</v>
      </c>
      <c r="J283" s="6">
        <v>0.62068965517241381</v>
      </c>
      <c r="K283" s="6">
        <v>0.83027777777777767</v>
      </c>
      <c r="L283" s="6">
        <v>0.68451623981428478</v>
      </c>
      <c r="M283" s="4" t="s">
        <v>65</v>
      </c>
      <c r="N283" s="4">
        <v>0.13584712340347119</v>
      </c>
      <c r="O283" s="4">
        <v>0</v>
      </c>
    </row>
    <row r="284" spans="1:15" x14ac:dyDescent="0.3">
      <c r="A284" s="4">
        <v>283</v>
      </c>
      <c r="B284" s="4">
        <v>283000</v>
      </c>
      <c r="C284" s="4" t="s">
        <v>163</v>
      </c>
      <c r="D284" s="4" t="s">
        <v>16</v>
      </c>
      <c r="E284" s="4" t="s">
        <v>17</v>
      </c>
      <c r="F284" s="4" t="s">
        <v>18</v>
      </c>
      <c r="G284" s="5">
        <v>0.1</v>
      </c>
      <c r="H284" s="5">
        <v>0.4</v>
      </c>
      <c r="I284" s="5">
        <v>0.05</v>
      </c>
      <c r="J284" s="6">
        <v>0.60344827586206895</v>
      </c>
      <c r="K284" s="6">
        <v>0.82628571428571418</v>
      </c>
      <c r="L284" s="6">
        <v>0.7062549953356303</v>
      </c>
      <c r="M284" s="4" t="s">
        <v>86</v>
      </c>
      <c r="N284" s="4">
        <v>0.1410185766108967</v>
      </c>
      <c r="O284" s="4">
        <v>0</v>
      </c>
    </row>
    <row r="285" spans="1:15" x14ac:dyDescent="0.3">
      <c r="A285" s="4">
        <v>284</v>
      </c>
      <c r="B285" s="4">
        <v>284000</v>
      </c>
      <c r="C285" s="4" t="s">
        <v>163</v>
      </c>
      <c r="D285" s="4" t="s">
        <v>16</v>
      </c>
      <c r="E285" s="4" t="s">
        <v>17</v>
      </c>
      <c r="F285" s="4" t="s">
        <v>18</v>
      </c>
      <c r="G285" s="5">
        <v>0.1</v>
      </c>
      <c r="H285" s="5">
        <v>0.4</v>
      </c>
      <c r="I285" s="5">
        <v>0.05</v>
      </c>
      <c r="J285" s="6">
        <v>0.61403508771929827</v>
      </c>
      <c r="K285" s="6">
        <v>0.82485714285714284</v>
      </c>
      <c r="L285" s="6">
        <v>0.70451062860925528</v>
      </c>
      <c r="M285" s="4" t="s">
        <v>86</v>
      </c>
      <c r="N285" s="4">
        <v>0.14066078601918999</v>
      </c>
      <c r="O285" s="4">
        <v>0</v>
      </c>
    </row>
    <row r="286" spans="1:15" x14ac:dyDescent="0.3">
      <c r="A286" s="4">
        <v>285</v>
      </c>
      <c r="B286" s="4">
        <v>285000</v>
      </c>
      <c r="C286" s="4" t="s">
        <v>163</v>
      </c>
      <c r="D286" s="4" t="s">
        <v>16</v>
      </c>
      <c r="E286" s="4" t="s">
        <v>17</v>
      </c>
      <c r="F286" s="4" t="s">
        <v>18</v>
      </c>
      <c r="G286" s="5">
        <v>0.1</v>
      </c>
      <c r="H286" s="5">
        <v>0.4</v>
      </c>
      <c r="I286" s="5">
        <v>0.05</v>
      </c>
      <c r="J286" s="6">
        <v>0.61403508771929827</v>
      </c>
      <c r="K286" s="6">
        <v>0.82685714285714274</v>
      </c>
      <c r="L286" s="6">
        <v>0.69227894786324884</v>
      </c>
      <c r="M286" s="4" t="s">
        <v>105</v>
      </c>
      <c r="N286" s="4">
        <v>0.1392272761593637</v>
      </c>
      <c r="O286" s="4">
        <v>0</v>
      </c>
    </row>
    <row r="287" spans="1:15" x14ac:dyDescent="0.3">
      <c r="A287" s="4">
        <v>286</v>
      </c>
      <c r="B287" s="4">
        <v>286000</v>
      </c>
      <c r="C287" s="4" t="s">
        <v>163</v>
      </c>
      <c r="D287" s="4" t="s">
        <v>16</v>
      </c>
      <c r="E287" s="4" t="s">
        <v>17</v>
      </c>
      <c r="F287" s="4" t="s">
        <v>18</v>
      </c>
      <c r="G287" s="5">
        <v>0.1</v>
      </c>
      <c r="H287" s="5">
        <v>0.4</v>
      </c>
      <c r="I287" s="5">
        <v>0.05</v>
      </c>
      <c r="J287" s="6">
        <v>0.60344827586206895</v>
      </c>
      <c r="K287" s="6">
        <v>0.82771428571428562</v>
      </c>
      <c r="L287" s="6">
        <v>0.68333157096531882</v>
      </c>
      <c r="M287" s="4" t="s">
        <v>34</v>
      </c>
      <c r="N287" s="4">
        <v>0.1429923067759811</v>
      </c>
      <c r="O287" s="4">
        <v>0</v>
      </c>
    </row>
    <row r="288" spans="1:15" x14ac:dyDescent="0.3">
      <c r="A288" s="4">
        <v>287</v>
      </c>
      <c r="B288" s="4">
        <v>287000</v>
      </c>
      <c r="C288" s="4" t="s">
        <v>163</v>
      </c>
      <c r="D288" s="4" t="s">
        <v>16</v>
      </c>
      <c r="E288" s="4" t="s">
        <v>17</v>
      </c>
      <c r="F288" s="4" t="s">
        <v>18</v>
      </c>
      <c r="G288" s="5">
        <v>0.1</v>
      </c>
      <c r="H288" s="5">
        <v>0.4</v>
      </c>
      <c r="I288" s="5">
        <v>0.05</v>
      </c>
      <c r="J288" s="6">
        <v>0.60344827586206895</v>
      </c>
      <c r="K288" s="6">
        <v>0.81628571428571406</v>
      </c>
      <c r="L288" s="6">
        <v>0.68740171070867651</v>
      </c>
      <c r="M288" s="4" t="s">
        <v>122</v>
      </c>
      <c r="N288" s="4">
        <v>0.14648738556292179</v>
      </c>
      <c r="O288" s="4">
        <v>0</v>
      </c>
    </row>
    <row r="289" spans="1:15" x14ac:dyDescent="0.3">
      <c r="A289" s="4">
        <v>288</v>
      </c>
      <c r="B289" s="4">
        <v>288000</v>
      </c>
      <c r="C289" s="4" t="s">
        <v>163</v>
      </c>
      <c r="D289" s="4" t="s">
        <v>16</v>
      </c>
      <c r="E289" s="4" t="s">
        <v>17</v>
      </c>
      <c r="F289" s="4" t="s">
        <v>18</v>
      </c>
      <c r="G289" s="5">
        <v>0.1</v>
      </c>
      <c r="H289" s="5">
        <v>0.4</v>
      </c>
      <c r="I289" s="5">
        <v>0.05</v>
      </c>
      <c r="J289" s="6">
        <v>0.60344827586206895</v>
      </c>
      <c r="K289" s="6">
        <v>0.81142857142857117</v>
      </c>
      <c r="L289" s="6">
        <v>0.68818019175632628</v>
      </c>
      <c r="M289" s="4" t="s">
        <v>96</v>
      </c>
      <c r="N289" s="4">
        <v>0.1503312133022208</v>
      </c>
      <c r="O289" s="4">
        <v>1</v>
      </c>
    </row>
    <row r="290" spans="1:15" x14ac:dyDescent="0.3">
      <c r="A290" s="4">
        <v>289</v>
      </c>
      <c r="B290" s="4">
        <v>289000</v>
      </c>
      <c r="C290" s="4" t="s">
        <v>163</v>
      </c>
      <c r="D290" s="4" t="s">
        <v>16</v>
      </c>
      <c r="E290" s="4" t="s">
        <v>17</v>
      </c>
      <c r="F290" s="4" t="s">
        <v>18</v>
      </c>
      <c r="G290" s="5">
        <v>0.1</v>
      </c>
      <c r="H290" s="5">
        <v>0.4</v>
      </c>
      <c r="I290" s="5">
        <v>0.05</v>
      </c>
      <c r="J290" s="6">
        <v>0.60344827586206895</v>
      </c>
      <c r="K290" s="6">
        <v>0.80714285714285683</v>
      </c>
      <c r="L290" s="6">
        <v>0.6891633022801873</v>
      </c>
      <c r="M290" s="4" t="s">
        <v>208</v>
      </c>
      <c r="N290" s="4">
        <v>1.476486936055952E-2</v>
      </c>
      <c r="O290" s="4">
        <v>0</v>
      </c>
    </row>
    <row r="291" spans="1:15" x14ac:dyDescent="0.3">
      <c r="A291" s="4">
        <v>290</v>
      </c>
      <c r="B291" s="4">
        <v>290000</v>
      </c>
      <c r="C291" s="4" t="s">
        <v>163</v>
      </c>
      <c r="D291" s="4" t="s">
        <v>16</v>
      </c>
      <c r="E291" s="4" t="s">
        <v>17</v>
      </c>
      <c r="F291" s="4" t="s">
        <v>18</v>
      </c>
      <c r="G291" s="5">
        <v>0.1</v>
      </c>
      <c r="H291" s="5">
        <v>0.4</v>
      </c>
      <c r="I291" s="5">
        <v>0.05</v>
      </c>
      <c r="J291" s="6">
        <v>0.6071428571428571</v>
      </c>
      <c r="K291" s="6">
        <v>0.82676470588235274</v>
      </c>
      <c r="L291" s="6">
        <v>0.73112911091849087</v>
      </c>
      <c r="M291" s="4" t="s">
        <v>209</v>
      </c>
      <c r="N291" s="4">
        <v>3.2789939992155903E-2</v>
      </c>
      <c r="O291" s="4">
        <v>0</v>
      </c>
    </row>
    <row r="292" spans="1:15" x14ac:dyDescent="0.3">
      <c r="A292" s="4">
        <v>291</v>
      </c>
      <c r="B292" s="4">
        <v>291000</v>
      </c>
      <c r="C292" s="4" t="s">
        <v>163</v>
      </c>
      <c r="D292" s="4" t="s">
        <v>16</v>
      </c>
      <c r="E292" s="4" t="s">
        <v>17</v>
      </c>
      <c r="F292" s="4" t="s">
        <v>18</v>
      </c>
      <c r="G292" s="5">
        <v>0.1</v>
      </c>
      <c r="H292" s="5">
        <v>0.4</v>
      </c>
      <c r="I292" s="5">
        <v>0.05</v>
      </c>
      <c r="J292" s="6">
        <v>0.6071428571428571</v>
      </c>
      <c r="K292" s="6">
        <v>0.8255882352941174</v>
      </c>
      <c r="L292" s="6">
        <v>0.73020166904934103</v>
      </c>
      <c r="M292" s="4" t="s">
        <v>203</v>
      </c>
      <c r="N292" s="4">
        <v>3.5219863300281401E-2</v>
      </c>
      <c r="O292" s="4">
        <v>0</v>
      </c>
    </row>
    <row r="293" spans="1:15" x14ac:dyDescent="0.3">
      <c r="A293" s="4">
        <v>292</v>
      </c>
      <c r="B293" s="4">
        <v>292000</v>
      </c>
      <c r="C293" s="4" t="s">
        <v>163</v>
      </c>
      <c r="D293" s="4" t="s">
        <v>16</v>
      </c>
      <c r="E293" s="4" t="s">
        <v>17</v>
      </c>
      <c r="F293" s="4" t="s">
        <v>18</v>
      </c>
      <c r="G293" s="5">
        <v>0.1</v>
      </c>
      <c r="H293" s="5">
        <v>0.4</v>
      </c>
      <c r="I293" s="5">
        <v>0.05</v>
      </c>
      <c r="J293" s="6">
        <v>0.6071428571428571</v>
      </c>
      <c r="K293" s="6">
        <v>0.82705882352941162</v>
      </c>
      <c r="L293" s="6">
        <v>0.72873878555257288</v>
      </c>
      <c r="M293" s="4" t="s">
        <v>204</v>
      </c>
      <c r="N293" s="4">
        <v>3.8631936734404772E-2</v>
      </c>
      <c r="O293" s="4">
        <v>0</v>
      </c>
    </row>
    <row r="294" spans="1:15" x14ac:dyDescent="0.3">
      <c r="A294" s="4">
        <v>293</v>
      </c>
      <c r="B294" s="4">
        <v>293000</v>
      </c>
      <c r="C294" s="4" t="s">
        <v>163</v>
      </c>
      <c r="D294" s="4" t="s">
        <v>16</v>
      </c>
      <c r="E294" s="4" t="s">
        <v>17</v>
      </c>
      <c r="F294" s="4" t="s">
        <v>18</v>
      </c>
      <c r="G294" s="5">
        <v>0.1</v>
      </c>
      <c r="H294" s="5">
        <v>0.4</v>
      </c>
      <c r="I294" s="5">
        <v>0.05</v>
      </c>
      <c r="J294" s="6">
        <v>0.6071428571428571</v>
      </c>
      <c r="K294" s="6">
        <v>0.82794117647058807</v>
      </c>
      <c r="L294" s="6">
        <v>0.72980633675375439</v>
      </c>
      <c r="M294" s="4" t="s">
        <v>210</v>
      </c>
      <c r="N294" s="4">
        <v>4.1735030744088963E-2</v>
      </c>
      <c r="O294" s="4">
        <v>0</v>
      </c>
    </row>
    <row r="295" spans="1:15" x14ac:dyDescent="0.3">
      <c r="A295" s="4">
        <v>294</v>
      </c>
      <c r="B295" s="4">
        <v>294000</v>
      </c>
      <c r="C295" s="4" t="s">
        <v>163</v>
      </c>
      <c r="D295" s="4" t="s">
        <v>16</v>
      </c>
      <c r="E295" s="4" t="s">
        <v>17</v>
      </c>
      <c r="F295" s="4" t="s">
        <v>18</v>
      </c>
      <c r="G295" s="5">
        <v>0.1</v>
      </c>
      <c r="H295" s="5">
        <v>0.4</v>
      </c>
      <c r="I295" s="5">
        <v>0.05</v>
      </c>
      <c r="J295" s="6">
        <v>0.625</v>
      </c>
      <c r="K295" s="6">
        <v>0.84171428571428564</v>
      </c>
      <c r="L295" s="6">
        <v>0.75865177864325839</v>
      </c>
      <c r="M295" s="4" t="s">
        <v>193</v>
      </c>
      <c r="N295" s="4">
        <v>4.7509123173672181E-2</v>
      </c>
      <c r="O295" s="4">
        <v>0</v>
      </c>
    </row>
    <row r="296" spans="1:15" x14ac:dyDescent="0.3">
      <c r="A296" s="4">
        <v>295</v>
      </c>
      <c r="B296" s="4">
        <v>295000</v>
      </c>
      <c r="C296" s="4" t="s">
        <v>163</v>
      </c>
      <c r="D296" s="4" t="s">
        <v>16</v>
      </c>
      <c r="E296" s="4" t="s">
        <v>17</v>
      </c>
      <c r="F296" s="4" t="s">
        <v>18</v>
      </c>
      <c r="G296" s="5">
        <v>0.1</v>
      </c>
      <c r="H296" s="5">
        <v>0.4</v>
      </c>
      <c r="I296" s="5">
        <v>0.05</v>
      </c>
      <c r="J296" s="6">
        <v>0.6071428571428571</v>
      </c>
      <c r="K296" s="6">
        <v>0.84382352941176464</v>
      </c>
      <c r="L296" s="6">
        <v>0.72786195215536975</v>
      </c>
      <c r="M296" s="4" t="s">
        <v>181</v>
      </c>
      <c r="N296" s="4">
        <v>4.5789990711005077E-2</v>
      </c>
      <c r="O296" s="4">
        <v>0</v>
      </c>
    </row>
    <row r="297" spans="1:15" x14ac:dyDescent="0.3">
      <c r="A297" s="4">
        <v>296</v>
      </c>
      <c r="B297" s="4">
        <v>296000</v>
      </c>
      <c r="C297" s="4" t="s">
        <v>163</v>
      </c>
      <c r="D297" s="4" t="s">
        <v>16</v>
      </c>
      <c r="E297" s="4" t="s">
        <v>17</v>
      </c>
      <c r="F297" s="4" t="s">
        <v>18</v>
      </c>
      <c r="G297" s="5">
        <v>0.1</v>
      </c>
      <c r="H297" s="5">
        <v>0.4</v>
      </c>
      <c r="I297" s="5">
        <v>0.05</v>
      </c>
      <c r="J297" s="6">
        <v>0.6071428571428571</v>
      </c>
      <c r="K297" s="6">
        <v>0.84588235294117631</v>
      </c>
      <c r="L297" s="6">
        <v>0.72633295804867326</v>
      </c>
      <c r="M297" s="4" t="s">
        <v>193</v>
      </c>
      <c r="N297" s="4">
        <v>4.8379376475742759E-2</v>
      </c>
      <c r="O297" s="4">
        <v>0</v>
      </c>
    </row>
    <row r="298" spans="1:15" x14ac:dyDescent="0.3">
      <c r="A298" s="4">
        <v>297</v>
      </c>
      <c r="B298" s="4">
        <v>297000</v>
      </c>
      <c r="C298" s="4" t="s">
        <v>163</v>
      </c>
      <c r="D298" s="4" t="s">
        <v>16</v>
      </c>
      <c r="E298" s="4" t="s">
        <v>17</v>
      </c>
      <c r="F298" s="4" t="s">
        <v>18</v>
      </c>
      <c r="G298" s="5">
        <v>0.1</v>
      </c>
      <c r="H298" s="5">
        <v>0.4</v>
      </c>
      <c r="I298" s="5">
        <v>0.05</v>
      </c>
      <c r="J298" s="6">
        <v>0.63157894736842102</v>
      </c>
      <c r="K298" s="6">
        <v>0.83722222222222209</v>
      </c>
      <c r="L298" s="6">
        <v>0.65458566726726397</v>
      </c>
      <c r="M298" s="4" t="s">
        <v>211</v>
      </c>
      <c r="N298" s="4">
        <v>4.9420545143651143E-2</v>
      </c>
      <c r="O298" s="4">
        <v>0</v>
      </c>
    </row>
    <row r="299" spans="1:15" x14ac:dyDescent="0.3">
      <c r="A299" s="4">
        <v>298</v>
      </c>
      <c r="B299" s="4">
        <v>298000</v>
      </c>
      <c r="C299" s="4" t="s">
        <v>163</v>
      </c>
      <c r="D299" s="4" t="s">
        <v>16</v>
      </c>
      <c r="E299" s="4" t="s">
        <v>17</v>
      </c>
      <c r="F299" s="4" t="s">
        <v>18</v>
      </c>
      <c r="G299" s="5">
        <v>0.1</v>
      </c>
      <c r="H299" s="5">
        <v>0.4</v>
      </c>
      <c r="I299" s="5">
        <v>0.05</v>
      </c>
      <c r="J299" s="6">
        <v>0.6607142857142857</v>
      </c>
      <c r="K299" s="6">
        <v>0.83378378378378359</v>
      </c>
      <c r="L299" s="6">
        <v>0.69196939870172502</v>
      </c>
      <c r="M299" s="4" t="s">
        <v>205</v>
      </c>
      <c r="N299" s="4">
        <v>5.5721838311996397E-2</v>
      </c>
      <c r="O299" s="4">
        <v>0</v>
      </c>
    </row>
    <row r="300" spans="1:15" x14ac:dyDescent="0.3">
      <c r="A300" s="4">
        <v>299</v>
      </c>
      <c r="B300" s="4">
        <v>299000</v>
      </c>
      <c r="C300" s="4" t="s">
        <v>163</v>
      </c>
      <c r="D300" s="4" t="s">
        <v>16</v>
      </c>
      <c r="E300" s="4" t="s">
        <v>17</v>
      </c>
      <c r="F300" s="4" t="s">
        <v>18</v>
      </c>
      <c r="G300" s="5">
        <v>0.1</v>
      </c>
      <c r="H300" s="5">
        <v>0.4</v>
      </c>
      <c r="I300" s="5">
        <v>0.05</v>
      </c>
      <c r="J300" s="6">
        <v>0.6607142857142857</v>
      </c>
      <c r="K300" s="6">
        <v>0.83945945945945943</v>
      </c>
      <c r="L300" s="6">
        <v>0.68721514365511083</v>
      </c>
      <c r="M300" s="4" t="s">
        <v>175</v>
      </c>
      <c r="N300" s="4">
        <v>5.751878791078989E-2</v>
      </c>
      <c r="O300" s="4">
        <v>0</v>
      </c>
    </row>
    <row r="301" spans="1:15" x14ac:dyDescent="0.3">
      <c r="A301" s="4">
        <v>300</v>
      </c>
      <c r="B301" s="4">
        <v>300000</v>
      </c>
      <c r="C301" s="4" t="s">
        <v>163</v>
      </c>
      <c r="D301" s="4" t="s">
        <v>16</v>
      </c>
      <c r="E301" s="4" t="s">
        <v>17</v>
      </c>
      <c r="F301" s="4" t="s">
        <v>18</v>
      </c>
      <c r="G301" s="5">
        <v>0.1</v>
      </c>
      <c r="H301" s="5">
        <v>0.4</v>
      </c>
      <c r="I301" s="5">
        <v>0.05</v>
      </c>
      <c r="J301" s="6">
        <v>0.6071428571428571</v>
      </c>
      <c r="K301" s="6">
        <v>0.8344117647058823</v>
      </c>
      <c r="L301" s="6">
        <v>0.68644005358560356</v>
      </c>
      <c r="M301" s="4" t="s">
        <v>206</v>
      </c>
      <c r="N301" s="4">
        <v>5.7378260995127058E-2</v>
      </c>
      <c r="O301" s="4">
        <v>0</v>
      </c>
    </row>
    <row r="302" spans="1:15" x14ac:dyDescent="0.3">
      <c r="A302" s="4">
        <v>301</v>
      </c>
      <c r="B302" s="4">
        <v>301000</v>
      </c>
      <c r="C302" s="4" t="s">
        <v>163</v>
      </c>
      <c r="D302" s="4" t="s">
        <v>16</v>
      </c>
      <c r="E302" s="4" t="s">
        <v>17</v>
      </c>
      <c r="F302" s="4" t="s">
        <v>18</v>
      </c>
      <c r="G302" s="5">
        <v>0.1</v>
      </c>
      <c r="H302" s="5">
        <v>0.4</v>
      </c>
      <c r="I302" s="5">
        <v>0.05</v>
      </c>
      <c r="J302" s="6">
        <v>0.57894736842105265</v>
      </c>
      <c r="K302" s="6">
        <v>0.84272727272727255</v>
      </c>
      <c r="L302" s="6">
        <v>0.6906918067618133</v>
      </c>
      <c r="M302" s="4" t="s">
        <v>186</v>
      </c>
      <c r="N302" s="4">
        <v>6.5060231628651113E-2</v>
      </c>
      <c r="O302" s="4">
        <v>0</v>
      </c>
    </row>
    <row r="303" spans="1:15" x14ac:dyDescent="0.3">
      <c r="A303" s="4">
        <v>302</v>
      </c>
      <c r="B303" s="4">
        <v>302000</v>
      </c>
      <c r="C303" s="4" t="s">
        <v>163</v>
      </c>
      <c r="D303" s="4" t="s">
        <v>16</v>
      </c>
      <c r="E303" s="4" t="s">
        <v>17</v>
      </c>
      <c r="F303" s="4" t="s">
        <v>18</v>
      </c>
      <c r="G303" s="5">
        <v>0.1</v>
      </c>
      <c r="H303" s="5">
        <v>0.4</v>
      </c>
      <c r="I303" s="5">
        <v>0.05</v>
      </c>
      <c r="J303" s="6">
        <v>0.57894736842105265</v>
      </c>
      <c r="K303" s="6">
        <v>0.84333333333333327</v>
      </c>
      <c r="L303" s="6">
        <v>0.69122704594483897</v>
      </c>
      <c r="M303" s="4" t="s">
        <v>26</v>
      </c>
      <c r="N303" s="4">
        <v>6.5651771229809086E-2</v>
      </c>
      <c r="O303" s="4">
        <v>0</v>
      </c>
    </row>
    <row r="304" spans="1:15" x14ac:dyDescent="0.3">
      <c r="A304" s="4">
        <v>303</v>
      </c>
      <c r="B304" s="4">
        <v>303000</v>
      </c>
      <c r="C304" s="4" t="s">
        <v>163</v>
      </c>
      <c r="D304" s="4" t="s">
        <v>16</v>
      </c>
      <c r="E304" s="4" t="s">
        <v>17</v>
      </c>
      <c r="F304" s="4" t="s">
        <v>18</v>
      </c>
      <c r="G304" s="5">
        <v>0.1</v>
      </c>
      <c r="H304" s="5">
        <v>0.4</v>
      </c>
      <c r="I304" s="5">
        <v>0.05</v>
      </c>
      <c r="J304" s="6">
        <v>0.57894736842105265</v>
      </c>
      <c r="K304" s="6">
        <v>0.839090909090909</v>
      </c>
      <c r="L304" s="6">
        <v>0.69218768285148113</v>
      </c>
      <c r="M304" s="4" t="s">
        <v>67</v>
      </c>
      <c r="N304" s="4">
        <v>7.1639932901500739E-2</v>
      </c>
      <c r="O304" s="4">
        <v>0</v>
      </c>
    </row>
    <row r="305" spans="1:15" x14ac:dyDescent="0.3">
      <c r="A305" s="4">
        <v>304</v>
      </c>
      <c r="B305" s="4">
        <v>304000</v>
      </c>
      <c r="C305" s="4" t="s">
        <v>163</v>
      </c>
      <c r="D305" s="4" t="s">
        <v>16</v>
      </c>
      <c r="E305" s="4" t="s">
        <v>17</v>
      </c>
      <c r="F305" s="4" t="s">
        <v>18</v>
      </c>
      <c r="G305" s="5">
        <v>0.1</v>
      </c>
      <c r="H305" s="5">
        <v>0.4</v>
      </c>
      <c r="I305" s="5">
        <v>0.05</v>
      </c>
      <c r="J305" s="6">
        <v>0.59649122807017541</v>
      </c>
      <c r="K305" s="6">
        <v>0.84499999999999986</v>
      </c>
      <c r="L305" s="6">
        <v>0.72709110669912369</v>
      </c>
      <c r="M305" s="4" t="s">
        <v>67</v>
      </c>
      <c r="N305" s="4">
        <v>7.1902460956052683E-2</v>
      </c>
      <c r="O305" s="4">
        <v>0</v>
      </c>
    </row>
    <row r="306" spans="1:15" x14ac:dyDescent="0.3">
      <c r="A306" s="4">
        <v>305</v>
      </c>
      <c r="B306" s="4">
        <v>305000</v>
      </c>
      <c r="C306" s="4" t="s">
        <v>163</v>
      </c>
      <c r="D306" s="4" t="s">
        <v>16</v>
      </c>
      <c r="E306" s="4" t="s">
        <v>17</v>
      </c>
      <c r="F306" s="4" t="s">
        <v>18</v>
      </c>
      <c r="G306" s="5">
        <v>0.1</v>
      </c>
      <c r="H306" s="5">
        <v>0.4</v>
      </c>
      <c r="I306" s="5">
        <v>0.05</v>
      </c>
      <c r="J306" s="6">
        <v>0.59649122807017541</v>
      </c>
      <c r="K306" s="6">
        <v>0.8394117647058823</v>
      </c>
      <c r="L306" s="6">
        <v>0.79489390524139791</v>
      </c>
      <c r="M306" s="4" t="s">
        <v>46</v>
      </c>
      <c r="N306" s="4">
        <v>7.910416032287261E-2</v>
      </c>
      <c r="O306" s="4">
        <v>0</v>
      </c>
    </row>
    <row r="307" spans="1:15" x14ac:dyDescent="0.3">
      <c r="A307" s="4">
        <v>306</v>
      </c>
      <c r="B307" s="4">
        <v>306000</v>
      </c>
      <c r="C307" s="4" t="s">
        <v>163</v>
      </c>
      <c r="D307" s="4" t="s">
        <v>16</v>
      </c>
      <c r="E307" s="4" t="s">
        <v>17</v>
      </c>
      <c r="F307" s="4" t="s">
        <v>18</v>
      </c>
      <c r="G307" s="5">
        <v>0.1</v>
      </c>
      <c r="H307" s="5">
        <v>0.4</v>
      </c>
      <c r="I307" s="5">
        <v>0.05</v>
      </c>
      <c r="J307" s="6">
        <v>0.59649122807017541</v>
      </c>
      <c r="K307" s="6">
        <v>0.83823529411764697</v>
      </c>
      <c r="L307" s="6">
        <v>0.7963423986033169</v>
      </c>
      <c r="M307" s="4" t="s">
        <v>106</v>
      </c>
      <c r="N307" s="4">
        <v>8.2177834137644679E-2</v>
      </c>
      <c r="O307" s="4">
        <v>0</v>
      </c>
    </row>
    <row r="308" spans="1:15" x14ac:dyDescent="0.3">
      <c r="A308" s="4">
        <v>307</v>
      </c>
      <c r="B308" s="4">
        <v>307000</v>
      </c>
      <c r="C308" s="4" t="s">
        <v>163</v>
      </c>
      <c r="D308" s="4" t="s">
        <v>16</v>
      </c>
      <c r="E308" s="4" t="s">
        <v>17</v>
      </c>
      <c r="F308" s="4" t="s">
        <v>18</v>
      </c>
      <c r="G308" s="5">
        <v>0.1</v>
      </c>
      <c r="H308" s="5">
        <v>0.4</v>
      </c>
      <c r="I308" s="5">
        <v>0.05</v>
      </c>
      <c r="J308" s="6">
        <v>0.6071428571428571</v>
      </c>
      <c r="K308" s="6">
        <v>0.83617647058823519</v>
      </c>
      <c r="L308" s="6">
        <v>0.79328417379379035</v>
      </c>
      <c r="M308" s="4" t="s">
        <v>21</v>
      </c>
      <c r="N308" s="4">
        <v>8.4466420618536125E-2</v>
      </c>
      <c r="O308" s="4">
        <v>0</v>
      </c>
    </row>
    <row r="309" spans="1:15" x14ac:dyDescent="0.3">
      <c r="A309" s="4">
        <v>308</v>
      </c>
      <c r="B309" s="4">
        <v>308000</v>
      </c>
      <c r="C309" s="4" t="s">
        <v>163</v>
      </c>
      <c r="D309" s="4" t="s">
        <v>16</v>
      </c>
      <c r="E309" s="4" t="s">
        <v>17</v>
      </c>
      <c r="F309" s="4" t="s">
        <v>18</v>
      </c>
      <c r="G309" s="5">
        <v>0.1</v>
      </c>
      <c r="H309" s="5">
        <v>0.4</v>
      </c>
      <c r="I309" s="5">
        <v>0.05</v>
      </c>
      <c r="J309" s="6">
        <v>0.59649122807017541</v>
      </c>
      <c r="K309" s="6">
        <v>0.84058823529411764</v>
      </c>
      <c r="L309" s="6">
        <v>0.78869353768848505</v>
      </c>
      <c r="M309" s="4" t="s">
        <v>97</v>
      </c>
      <c r="N309" s="4">
        <v>8.5983650676934406E-2</v>
      </c>
      <c r="O309" s="4">
        <v>0</v>
      </c>
    </row>
    <row r="310" spans="1:15" x14ac:dyDescent="0.3">
      <c r="A310" s="4">
        <v>309</v>
      </c>
      <c r="B310" s="4">
        <v>309000</v>
      </c>
      <c r="C310" s="4" t="s">
        <v>163</v>
      </c>
      <c r="D310" s="4" t="s">
        <v>16</v>
      </c>
      <c r="E310" s="4" t="s">
        <v>17</v>
      </c>
      <c r="F310" s="4" t="s">
        <v>18</v>
      </c>
      <c r="G310" s="5">
        <v>0.1</v>
      </c>
      <c r="H310" s="5">
        <v>0.4</v>
      </c>
      <c r="I310" s="5">
        <v>0.05</v>
      </c>
      <c r="J310" s="6">
        <v>0.59649122807017541</v>
      </c>
      <c r="K310" s="6">
        <v>0.84058823529411741</v>
      </c>
      <c r="L310" s="6">
        <v>0.78750194969577147</v>
      </c>
      <c r="M310" s="4" t="s">
        <v>50</v>
      </c>
      <c r="N310" s="4">
        <v>8.5184653316507264E-2</v>
      </c>
      <c r="O310" s="4">
        <v>0</v>
      </c>
    </row>
    <row r="311" spans="1:15" x14ac:dyDescent="0.3">
      <c r="A311" s="4">
        <v>310</v>
      </c>
      <c r="B311" s="4">
        <v>310000</v>
      </c>
      <c r="C311" s="4" t="s">
        <v>163</v>
      </c>
      <c r="D311" s="4" t="s">
        <v>16</v>
      </c>
      <c r="E311" s="4" t="s">
        <v>17</v>
      </c>
      <c r="F311" s="4" t="s">
        <v>18</v>
      </c>
      <c r="G311" s="5">
        <v>0.1</v>
      </c>
      <c r="H311" s="5">
        <v>0.4</v>
      </c>
      <c r="I311" s="5">
        <v>0.05</v>
      </c>
      <c r="J311" s="6">
        <v>0.61403508771929827</v>
      </c>
      <c r="K311" s="6">
        <v>0.83685714285714263</v>
      </c>
      <c r="L311" s="6">
        <v>0.7888240198648</v>
      </c>
      <c r="M311" s="4" t="s">
        <v>50</v>
      </c>
      <c r="N311" s="4">
        <v>8.5227089927248798E-2</v>
      </c>
      <c r="O311" s="4">
        <v>0</v>
      </c>
    </row>
    <row r="312" spans="1:15" x14ac:dyDescent="0.3">
      <c r="A312" s="4">
        <v>311</v>
      </c>
      <c r="B312" s="4">
        <v>311000</v>
      </c>
      <c r="C312" s="4" t="s">
        <v>163</v>
      </c>
      <c r="D312" s="4" t="s">
        <v>16</v>
      </c>
      <c r="E312" s="4" t="s">
        <v>17</v>
      </c>
      <c r="F312" s="4" t="s">
        <v>18</v>
      </c>
      <c r="G312" s="5">
        <v>0.1</v>
      </c>
      <c r="H312" s="5">
        <v>0.4</v>
      </c>
      <c r="I312" s="5">
        <v>0.05</v>
      </c>
      <c r="J312" s="6">
        <v>0.61403508771929827</v>
      </c>
      <c r="K312" s="6">
        <v>0.84199999999999986</v>
      </c>
      <c r="L312" s="6">
        <v>0.78816194843880505</v>
      </c>
      <c r="M312" s="4" t="s">
        <v>118</v>
      </c>
      <c r="N312" s="4">
        <v>8.7306293094315826E-2</v>
      </c>
      <c r="O312" s="4">
        <v>0</v>
      </c>
    </row>
    <row r="313" spans="1:15" x14ac:dyDescent="0.3">
      <c r="A313" s="4">
        <v>312</v>
      </c>
      <c r="B313" s="4">
        <v>312000</v>
      </c>
      <c r="C313" s="4" t="s">
        <v>163</v>
      </c>
      <c r="D313" s="4" t="s">
        <v>16</v>
      </c>
      <c r="E313" s="4" t="s">
        <v>17</v>
      </c>
      <c r="F313" s="4" t="s">
        <v>18</v>
      </c>
      <c r="G313" s="5">
        <v>0.1</v>
      </c>
      <c r="H313" s="5">
        <v>0.4</v>
      </c>
      <c r="I313" s="5">
        <v>0.05</v>
      </c>
      <c r="J313" s="6">
        <v>0.60344827586206895</v>
      </c>
      <c r="K313" s="6">
        <v>0.83571428571428563</v>
      </c>
      <c r="L313" s="6">
        <v>0.78716351078476476</v>
      </c>
      <c r="M313" s="4" t="s">
        <v>118</v>
      </c>
      <c r="N313" s="4">
        <v>8.7128121960622501E-2</v>
      </c>
      <c r="O313" s="4">
        <v>0</v>
      </c>
    </row>
    <row r="314" spans="1:15" x14ac:dyDescent="0.3">
      <c r="A314" s="4">
        <v>313</v>
      </c>
      <c r="B314" s="4">
        <v>313000</v>
      </c>
      <c r="C314" s="4" t="s">
        <v>163</v>
      </c>
      <c r="D314" s="4" t="s">
        <v>16</v>
      </c>
      <c r="E314" s="4" t="s">
        <v>17</v>
      </c>
      <c r="F314" s="4" t="s">
        <v>18</v>
      </c>
      <c r="G314" s="5">
        <v>0.1</v>
      </c>
      <c r="H314" s="5">
        <v>0.4</v>
      </c>
      <c r="I314" s="5">
        <v>0.05</v>
      </c>
      <c r="J314" s="6">
        <v>0.61016949152542377</v>
      </c>
      <c r="K314" s="6">
        <v>0.82416666666666649</v>
      </c>
      <c r="L314" s="6">
        <v>0.72435969714740922</v>
      </c>
      <c r="M314" s="4" t="s">
        <v>118</v>
      </c>
      <c r="N314" s="4">
        <v>8.663558180408204E-2</v>
      </c>
      <c r="O314" s="4">
        <v>0</v>
      </c>
    </row>
    <row r="315" spans="1:15" x14ac:dyDescent="0.3">
      <c r="A315" s="4">
        <v>314</v>
      </c>
      <c r="B315" s="4">
        <v>314000</v>
      </c>
      <c r="C315" s="4" t="s">
        <v>163</v>
      </c>
      <c r="D315" s="4" t="s">
        <v>16</v>
      </c>
      <c r="E315" s="4" t="s">
        <v>17</v>
      </c>
      <c r="F315" s="4" t="s">
        <v>18</v>
      </c>
      <c r="G315" s="5">
        <v>0.1</v>
      </c>
      <c r="H315" s="5">
        <v>0.4</v>
      </c>
      <c r="I315" s="5">
        <v>0.05</v>
      </c>
      <c r="J315" s="6">
        <v>0.60344827586206895</v>
      </c>
      <c r="K315" s="6">
        <v>0.83457142857142841</v>
      </c>
      <c r="L315" s="6">
        <v>0.7482140117588082</v>
      </c>
      <c r="M315" s="4" t="s">
        <v>49</v>
      </c>
      <c r="N315" s="4">
        <v>8.9844582415424964E-2</v>
      </c>
      <c r="O315" s="4">
        <v>0</v>
      </c>
    </row>
    <row r="316" spans="1:15" x14ac:dyDescent="0.3">
      <c r="A316" s="4">
        <v>315</v>
      </c>
      <c r="B316" s="4">
        <v>315000</v>
      </c>
      <c r="C316" s="4" t="s">
        <v>163</v>
      </c>
      <c r="D316" s="4" t="s">
        <v>16</v>
      </c>
      <c r="E316" s="4" t="s">
        <v>17</v>
      </c>
      <c r="F316" s="4" t="s">
        <v>18</v>
      </c>
      <c r="G316" s="5">
        <v>0.1</v>
      </c>
      <c r="H316" s="5">
        <v>0.4</v>
      </c>
      <c r="I316" s="5">
        <v>0.05</v>
      </c>
      <c r="J316" s="6">
        <v>0.64912280701754388</v>
      </c>
      <c r="K316" s="6">
        <v>0.82162162162162145</v>
      </c>
      <c r="L316" s="6">
        <v>0.63682042155160201</v>
      </c>
      <c r="M316" s="4" t="s">
        <v>59</v>
      </c>
      <c r="N316" s="4">
        <v>9.1174252617537241E-2</v>
      </c>
      <c r="O316" s="4">
        <v>0</v>
      </c>
    </row>
    <row r="317" spans="1:15" x14ac:dyDescent="0.3">
      <c r="A317" s="4">
        <v>316</v>
      </c>
      <c r="B317" s="4">
        <v>316000</v>
      </c>
      <c r="C317" s="4" t="s">
        <v>163</v>
      </c>
      <c r="D317" s="4" t="s">
        <v>16</v>
      </c>
      <c r="E317" s="4" t="s">
        <v>17</v>
      </c>
      <c r="F317" s="4" t="s">
        <v>18</v>
      </c>
      <c r="G317" s="5">
        <v>0.1</v>
      </c>
      <c r="H317" s="5">
        <v>0.4</v>
      </c>
      <c r="I317" s="5">
        <v>0.05</v>
      </c>
      <c r="J317" s="6">
        <v>0.63157894736842102</v>
      </c>
      <c r="K317" s="6">
        <v>0.8258333333333332</v>
      </c>
      <c r="L317" s="6">
        <v>0.64255303768893934</v>
      </c>
      <c r="M317" s="4" t="s">
        <v>39</v>
      </c>
      <c r="N317" s="4">
        <v>9.2533324647101373E-2</v>
      </c>
      <c r="O317" s="4">
        <v>0</v>
      </c>
    </row>
    <row r="318" spans="1:15" x14ac:dyDescent="0.3">
      <c r="A318" s="4">
        <v>317</v>
      </c>
      <c r="B318" s="4">
        <v>317000</v>
      </c>
      <c r="C318" s="4" t="s">
        <v>163</v>
      </c>
      <c r="D318" s="4" t="s">
        <v>16</v>
      </c>
      <c r="E318" s="4" t="s">
        <v>17</v>
      </c>
      <c r="F318" s="4" t="s">
        <v>18</v>
      </c>
      <c r="G318" s="5">
        <v>0.1</v>
      </c>
      <c r="H318" s="5">
        <v>0.4</v>
      </c>
      <c r="I318" s="5">
        <v>0.05</v>
      </c>
      <c r="J318" s="6">
        <v>0.64912280701754388</v>
      </c>
      <c r="K318" s="6">
        <v>0.82216216216216187</v>
      </c>
      <c r="L318" s="6">
        <v>0.64334614588578687</v>
      </c>
      <c r="M318" s="4" t="s">
        <v>59</v>
      </c>
      <c r="N318" s="4">
        <v>9.0805618199171739E-2</v>
      </c>
      <c r="O318" s="4">
        <v>0</v>
      </c>
    </row>
    <row r="319" spans="1:15" x14ac:dyDescent="0.3">
      <c r="A319" s="4">
        <v>318</v>
      </c>
      <c r="B319" s="4">
        <v>318000</v>
      </c>
      <c r="C319" s="4" t="s">
        <v>163</v>
      </c>
      <c r="D319" s="4" t="s">
        <v>16</v>
      </c>
      <c r="E319" s="4" t="s">
        <v>17</v>
      </c>
      <c r="F319" s="4" t="s">
        <v>18</v>
      </c>
      <c r="G319" s="5">
        <v>0.1</v>
      </c>
      <c r="H319" s="5">
        <v>0.4</v>
      </c>
      <c r="I319" s="5">
        <v>0.05</v>
      </c>
      <c r="J319" s="6">
        <v>0.63157894736842102</v>
      </c>
      <c r="K319" s="6">
        <v>0.82749999999999979</v>
      </c>
      <c r="L319" s="6">
        <v>0.64530914845823995</v>
      </c>
      <c r="M319" s="4" t="s">
        <v>73</v>
      </c>
      <c r="N319" s="4">
        <v>9.196651237678187E-2</v>
      </c>
      <c r="O319" s="4">
        <v>0</v>
      </c>
    </row>
    <row r="320" spans="1:15" x14ac:dyDescent="0.3">
      <c r="A320" s="4">
        <v>319</v>
      </c>
      <c r="B320" s="4">
        <v>319000</v>
      </c>
      <c r="C320" s="4" t="s">
        <v>163</v>
      </c>
      <c r="D320" s="4" t="s">
        <v>16</v>
      </c>
      <c r="E320" s="4" t="s">
        <v>17</v>
      </c>
      <c r="F320" s="4" t="s">
        <v>18</v>
      </c>
      <c r="G320" s="5">
        <v>0.1</v>
      </c>
      <c r="H320" s="5">
        <v>0.4</v>
      </c>
      <c r="I320" s="5">
        <v>0.05</v>
      </c>
      <c r="J320" s="6">
        <v>0.63157894736842102</v>
      </c>
      <c r="K320" s="6">
        <v>0.82694444444444437</v>
      </c>
      <c r="L320" s="6">
        <v>0.63671120116586566</v>
      </c>
      <c r="M320" s="4" t="s">
        <v>150</v>
      </c>
      <c r="N320" s="4">
        <v>9.5486693124097077E-2</v>
      </c>
      <c r="O320" s="4">
        <v>0</v>
      </c>
    </row>
    <row r="321" spans="1:15" x14ac:dyDescent="0.3">
      <c r="A321" s="4">
        <v>320</v>
      </c>
      <c r="B321" s="4">
        <v>320000</v>
      </c>
      <c r="C321" s="4" t="s">
        <v>163</v>
      </c>
      <c r="D321" s="4" t="s">
        <v>16</v>
      </c>
      <c r="E321" s="4" t="s">
        <v>17</v>
      </c>
      <c r="F321" s="4" t="s">
        <v>18</v>
      </c>
      <c r="G321" s="5">
        <v>0.1</v>
      </c>
      <c r="H321" s="5">
        <v>0.4</v>
      </c>
      <c r="I321" s="5">
        <v>0.05</v>
      </c>
      <c r="J321" s="6">
        <v>0.62068965517241381</v>
      </c>
      <c r="K321" s="6">
        <v>0.82416666666666638</v>
      </c>
      <c r="L321" s="6">
        <v>0.65826784918222758</v>
      </c>
      <c r="M321" s="4" t="s">
        <v>82</v>
      </c>
      <c r="N321" s="4">
        <v>0.1022739159578798</v>
      </c>
      <c r="O321" s="4">
        <v>0</v>
      </c>
    </row>
    <row r="322" spans="1:15" x14ac:dyDescent="0.3">
      <c r="A322" s="4">
        <v>321</v>
      </c>
      <c r="B322" s="4">
        <v>321000</v>
      </c>
      <c r="C322" s="4" t="s">
        <v>163</v>
      </c>
      <c r="D322" s="4" t="s">
        <v>16</v>
      </c>
      <c r="E322" s="4" t="s">
        <v>17</v>
      </c>
      <c r="F322" s="4" t="s">
        <v>18</v>
      </c>
      <c r="G322" s="5">
        <v>0.1</v>
      </c>
      <c r="H322" s="5">
        <v>0.4</v>
      </c>
      <c r="I322" s="5">
        <v>0.05</v>
      </c>
      <c r="J322" s="6">
        <v>0.62068965517241381</v>
      </c>
      <c r="K322" s="6">
        <v>0.82555555555555538</v>
      </c>
      <c r="L322" s="6">
        <v>0.62205593830437034</v>
      </c>
      <c r="M322" s="4" t="s">
        <v>82</v>
      </c>
      <c r="N322" s="4">
        <v>0.1016452870339586</v>
      </c>
      <c r="O322" s="4">
        <v>0</v>
      </c>
    </row>
    <row r="323" spans="1:15" x14ac:dyDescent="0.3">
      <c r="A323" s="4">
        <v>322</v>
      </c>
      <c r="B323" s="4">
        <v>322000</v>
      </c>
      <c r="C323" s="4" t="s">
        <v>163</v>
      </c>
      <c r="D323" s="4" t="s">
        <v>16</v>
      </c>
      <c r="E323" s="4" t="s">
        <v>17</v>
      </c>
      <c r="F323" s="4" t="s">
        <v>18</v>
      </c>
      <c r="G323" s="5">
        <v>0.1</v>
      </c>
      <c r="H323" s="5">
        <v>0.4</v>
      </c>
      <c r="I323" s="5">
        <v>0.05</v>
      </c>
      <c r="J323" s="6">
        <v>0.61016949152542377</v>
      </c>
      <c r="K323" s="6">
        <v>0.82888888888888901</v>
      </c>
      <c r="L323" s="6">
        <v>0.60857891691755728</v>
      </c>
      <c r="M323" s="4" t="s">
        <v>79</v>
      </c>
      <c r="N323" s="4">
        <v>0.1037117766766783</v>
      </c>
      <c r="O323" s="4">
        <v>0</v>
      </c>
    </row>
    <row r="324" spans="1:15" x14ac:dyDescent="0.3">
      <c r="A324" s="4">
        <v>323</v>
      </c>
      <c r="B324" s="4">
        <v>323000</v>
      </c>
      <c r="C324" s="4" t="s">
        <v>163</v>
      </c>
      <c r="D324" s="4" t="s">
        <v>16</v>
      </c>
      <c r="E324" s="4" t="s">
        <v>17</v>
      </c>
      <c r="F324" s="4" t="s">
        <v>18</v>
      </c>
      <c r="G324" s="5">
        <v>0.1</v>
      </c>
      <c r="H324" s="5">
        <v>0.4</v>
      </c>
      <c r="I324" s="5">
        <v>0.05</v>
      </c>
      <c r="J324" s="6">
        <v>0.65</v>
      </c>
      <c r="K324" s="6">
        <v>0.80333333333333345</v>
      </c>
      <c r="L324" s="6">
        <v>0.62716388972494597</v>
      </c>
      <c r="M324" s="4" t="s">
        <v>136</v>
      </c>
      <c r="N324" s="4">
        <v>0.1055337255974506</v>
      </c>
      <c r="O324" s="4">
        <v>0</v>
      </c>
    </row>
    <row r="325" spans="1:15" x14ac:dyDescent="0.3">
      <c r="A325" s="4">
        <v>324</v>
      </c>
      <c r="B325" s="4">
        <v>324000</v>
      </c>
      <c r="C325" s="4" t="s">
        <v>163</v>
      </c>
      <c r="D325" s="4" t="s">
        <v>16</v>
      </c>
      <c r="E325" s="4" t="s">
        <v>17</v>
      </c>
      <c r="F325" s="4" t="s">
        <v>18</v>
      </c>
      <c r="G325" s="5">
        <v>0.1</v>
      </c>
      <c r="H325" s="5">
        <v>0.4</v>
      </c>
      <c r="I325" s="5">
        <v>0.05</v>
      </c>
      <c r="J325" s="6">
        <v>0.62295081967213117</v>
      </c>
      <c r="K325" s="6">
        <v>0.79973684210526319</v>
      </c>
      <c r="L325" s="6">
        <v>0.62824516453770329</v>
      </c>
      <c r="M325" s="4" t="s">
        <v>142</v>
      </c>
      <c r="N325" s="4">
        <v>0.1103722050613479</v>
      </c>
      <c r="O325" s="4">
        <v>0</v>
      </c>
    </row>
    <row r="326" spans="1:15" x14ac:dyDescent="0.3">
      <c r="A326" s="4">
        <v>325</v>
      </c>
      <c r="B326" s="4">
        <v>325000</v>
      </c>
      <c r="C326" s="4" t="s">
        <v>163</v>
      </c>
      <c r="D326" s="4" t="s">
        <v>16</v>
      </c>
      <c r="E326" s="4" t="s">
        <v>17</v>
      </c>
      <c r="F326" s="4" t="s">
        <v>18</v>
      </c>
      <c r="G326" s="5">
        <v>0.1</v>
      </c>
      <c r="H326" s="5">
        <v>0.4</v>
      </c>
      <c r="I326" s="5">
        <v>0.05</v>
      </c>
      <c r="J326" s="6">
        <v>0.60317460317460314</v>
      </c>
      <c r="K326" s="6">
        <v>0.79368421052631577</v>
      </c>
      <c r="L326" s="6">
        <v>0.62597713880149253</v>
      </c>
      <c r="M326" s="4" t="s">
        <v>84</v>
      </c>
      <c r="N326" s="4">
        <v>0.11363297580179781</v>
      </c>
      <c r="O326" s="4">
        <v>0</v>
      </c>
    </row>
    <row r="327" spans="1:15" x14ac:dyDescent="0.3">
      <c r="A327" s="4">
        <v>326</v>
      </c>
      <c r="B327" s="4">
        <v>326000</v>
      </c>
      <c r="C327" s="4" t="s">
        <v>163</v>
      </c>
      <c r="D327" s="4" t="s">
        <v>16</v>
      </c>
      <c r="E327" s="4" t="s">
        <v>17</v>
      </c>
      <c r="F327" s="4" t="s">
        <v>18</v>
      </c>
      <c r="G327" s="5">
        <v>0.1</v>
      </c>
      <c r="H327" s="5">
        <v>0.4</v>
      </c>
      <c r="I327" s="5">
        <v>0.05</v>
      </c>
      <c r="J327" s="6">
        <v>0.60317460317460314</v>
      </c>
      <c r="K327" s="6">
        <v>0.79394736842105262</v>
      </c>
      <c r="L327" s="6">
        <v>0.62728977485020621</v>
      </c>
      <c r="M327" s="4" t="s">
        <v>84</v>
      </c>
      <c r="N327" s="4">
        <v>0.11412623071543131</v>
      </c>
      <c r="O327" s="4">
        <v>0</v>
      </c>
    </row>
    <row r="328" spans="1:15" x14ac:dyDescent="0.3">
      <c r="A328" s="4">
        <v>327</v>
      </c>
      <c r="B328" s="4">
        <v>327000</v>
      </c>
      <c r="C328" s="4" t="s">
        <v>163</v>
      </c>
      <c r="D328" s="4" t="s">
        <v>16</v>
      </c>
      <c r="E328" s="4" t="s">
        <v>17</v>
      </c>
      <c r="F328" s="4" t="s">
        <v>18</v>
      </c>
      <c r="G328" s="5">
        <v>0.1</v>
      </c>
      <c r="H328" s="5">
        <v>0.4</v>
      </c>
      <c r="I328" s="5">
        <v>0.05</v>
      </c>
      <c r="J328" s="6">
        <v>0.625</v>
      </c>
      <c r="K328" s="6">
        <v>0.78125</v>
      </c>
      <c r="L328" s="6">
        <v>0.61966302644064053</v>
      </c>
      <c r="M328" s="4" t="s">
        <v>207</v>
      </c>
      <c r="N328" s="4">
        <v>0.1166958320133043</v>
      </c>
      <c r="O328" s="4">
        <v>0</v>
      </c>
    </row>
    <row r="329" spans="1:15" x14ac:dyDescent="0.3">
      <c r="A329" s="4">
        <v>328</v>
      </c>
      <c r="B329" s="4">
        <v>328000</v>
      </c>
      <c r="C329" s="4" t="s">
        <v>163</v>
      </c>
      <c r="D329" s="4" t="s">
        <v>16</v>
      </c>
      <c r="E329" s="4" t="s">
        <v>17</v>
      </c>
      <c r="F329" s="4" t="s">
        <v>18</v>
      </c>
      <c r="G329" s="5">
        <v>0.1</v>
      </c>
      <c r="H329" s="5">
        <v>0.4</v>
      </c>
      <c r="I329" s="5">
        <v>0.05</v>
      </c>
      <c r="J329" s="6">
        <v>0.59677419354838712</v>
      </c>
      <c r="K329" s="6">
        <v>0.79027027027027019</v>
      </c>
      <c r="L329" s="6">
        <v>0.57547828827063552</v>
      </c>
      <c r="M329" s="4" t="s">
        <v>68</v>
      </c>
      <c r="N329" s="4">
        <v>0.11768518628258801</v>
      </c>
      <c r="O329" s="4">
        <v>0</v>
      </c>
    </row>
    <row r="330" spans="1:15" x14ac:dyDescent="0.3">
      <c r="A330" s="4">
        <v>329</v>
      </c>
      <c r="B330" s="4">
        <v>329000</v>
      </c>
      <c r="C330" s="4" t="s">
        <v>163</v>
      </c>
      <c r="D330" s="4" t="s">
        <v>16</v>
      </c>
      <c r="E330" s="4" t="s">
        <v>17</v>
      </c>
      <c r="F330" s="4" t="s">
        <v>18</v>
      </c>
      <c r="G330" s="5">
        <v>0.1</v>
      </c>
      <c r="H330" s="5">
        <v>0.4</v>
      </c>
      <c r="I330" s="5">
        <v>0.05</v>
      </c>
      <c r="J330" s="6">
        <v>0.5714285714285714</v>
      </c>
      <c r="K330" s="6">
        <v>0.78722222222222216</v>
      </c>
      <c r="L330" s="6">
        <v>0.56359316977659379</v>
      </c>
      <c r="M330" s="4" t="s">
        <v>108</v>
      </c>
      <c r="N330" s="4">
        <v>0.115057810863714</v>
      </c>
      <c r="O330" s="4">
        <v>0</v>
      </c>
    </row>
    <row r="331" spans="1:15" x14ac:dyDescent="0.3">
      <c r="A331" s="4">
        <v>330</v>
      </c>
      <c r="B331" s="4">
        <v>330000</v>
      </c>
      <c r="C331" s="4" t="s">
        <v>163</v>
      </c>
      <c r="D331" s="4" t="s">
        <v>16</v>
      </c>
      <c r="E331" s="4" t="s">
        <v>17</v>
      </c>
      <c r="F331" s="4" t="s">
        <v>18</v>
      </c>
      <c r="G331" s="5">
        <v>0.1</v>
      </c>
      <c r="H331" s="5">
        <v>0.4</v>
      </c>
      <c r="I331" s="5">
        <v>0.05</v>
      </c>
      <c r="J331" s="6">
        <v>0.5714285714285714</v>
      </c>
      <c r="K331" s="6">
        <v>0.7847222222222221</v>
      </c>
      <c r="L331" s="6">
        <v>0.55969657256902106</v>
      </c>
      <c r="M331" s="4" t="s">
        <v>36</v>
      </c>
      <c r="N331" s="4">
        <v>0.11619539077842719</v>
      </c>
      <c r="O331" s="4">
        <v>0</v>
      </c>
    </row>
    <row r="332" spans="1:15" x14ac:dyDescent="0.3">
      <c r="A332" s="4">
        <v>331</v>
      </c>
      <c r="B332" s="4">
        <v>331000</v>
      </c>
      <c r="C332" s="4" t="s">
        <v>163</v>
      </c>
      <c r="D332" s="4" t="s">
        <v>16</v>
      </c>
      <c r="E332" s="4" t="s">
        <v>17</v>
      </c>
      <c r="F332" s="4" t="s">
        <v>18</v>
      </c>
      <c r="G332" s="5">
        <v>0.1</v>
      </c>
      <c r="H332" s="5">
        <v>0.4</v>
      </c>
      <c r="I332" s="5">
        <v>0.05</v>
      </c>
      <c r="J332" s="6">
        <v>0.59677419354838712</v>
      </c>
      <c r="K332" s="6">
        <v>0.785135135135135</v>
      </c>
      <c r="L332" s="6">
        <v>0.57294364850272861</v>
      </c>
      <c r="M332" s="4" t="s">
        <v>29</v>
      </c>
      <c r="N332" s="4">
        <v>0.1210447993139962</v>
      </c>
      <c r="O332" s="4">
        <v>0</v>
      </c>
    </row>
    <row r="333" spans="1:15" x14ac:dyDescent="0.3">
      <c r="A333" s="4">
        <v>332</v>
      </c>
      <c r="B333" s="4">
        <v>332000</v>
      </c>
      <c r="C333" s="4" t="s">
        <v>163</v>
      </c>
      <c r="D333" s="4" t="s">
        <v>16</v>
      </c>
      <c r="E333" s="4" t="s">
        <v>17</v>
      </c>
      <c r="F333" s="4" t="s">
        <v>18</v>
      </c>
      <c r="G333" s="5">
        <v>0.1</v>
      </c>
      <c r="H333" s="5">
        <v>0.4</v>
      </c>
      <c r="I333" s="5">
        <v>0.05</v>
      </c>
      <c r="J333" s="6">
        <v>0.59677419354838712</v>
      </c>
      <c r="K333" s="6">
        <v>0.77675675675675659</v>
      </c>
      <c r="L333" s="6">
        <v>0.56690802332354273</v>
      </c>
      <c r="M333" s="4" t="s">
        <v>29</v>
      </c>
      <c r="N333" s="4">
        <v>0.12121923001424841</v>
      </c>
      <c r="O333" s="4">
        <v>0</v>
      </c>
    </row>
    <row r="334" spans="1:15" x14ac:dyDescent="0.3">
      <c r="A334" s="4">
        <v>333</v>
      </c>
      <c r="B334" s="4">
        <v>333000</v>
      </c>
      <c r="C334" s="4" t="s">
        <v>163</v>
      </c>
      <c r="D334" s="4" t="s">
        <v>16</v>
      </c>
      <c r="E334" s="4" t="s">
        <v>17</v>
      </c>
      <c r="F334" s="4" t="s">
        <v>18</v>
      </c>
      <c r="G334" s="5">
        <v>0.1</v>
      </c>
      <c r="H334" s="5">
        <v>0.4</v>
      </c>
      <c r="I334" s="5">
        <v>0.05</v>
      </c>
      <c r="J334" s="6">
        <v>0.59677419354838712</v>
      </c>
      <c r="K334" s="6">
        <v>0.77621621621621606</v>
      </c>
      <c r="L334" s="6">
        <v>0.56064850040946523</v>
      </c>
      <c r="M334" s="4" t="s">
        <v>112</v>
      </c>
      <c r="N334" s="4">
        <v>0.1233924144370379</v>
      </c>
      <c r="O334" s="4">
        <v>0</v>
      </c>
    </row>
    <row r="335" spans="1:15" x14ac:dyDescent="0.3">
      <c r="A335" s="4">
        <v>334</v>
      </c>
      <c r="B335" s="4">
        <v>334000</v>
      </c>
      <c r="C335" s="4" t="s">
        <v>163</v>
      </c>
      <c r="D335" s="4" t="s">
        <v>16</v>
      </c>
      <c r="E335" s="4" t="s">
        <v>17</v>
      </c>
      <c r="F335" s="4" t="s">
        <v>18</v>
      </c>
      <c r="G335" s="5">
        <v>0.1</v>
      </c>
      <c r="H335" s="5">
        <v>0.4</v>
      </c>
      <c r="I335" s="5">
        <v>0.05</v>
      </c>
      <c r="J335" s="6">
        <v>0.6</v>
      </c>
      <c r="K335" s="6">
        <v>0.77472222222222209</v>
      </c>
      <c r="L335" s="6">
        <v>0.5508683806629725</v>
      </c>
      <c r="M335" s="4" t="s">
        <v>112</v>
      </c>
      <c r="N335" s="4">
        <v>0.1228325250900188</v>
      </c>
      <c r="O335" s="4">
        <v>0</v>
      </c>
    </row>
    <row r="336" spans="1:15" x14ac:dyDescent="0.3">
      <c r="A336" s="4">
        <v>335</v>
      </c>
      <c r="B336" s="4">
        <v>335000</v>
      </c>
      <c r="C336" s="4" t="s">
        <v>163</v>
      </c>
      <c r="D336" s="4" t="s">
        <v>16</v>
      </c>
      <c r="E336" s="4" t="s">
        <v>17</v>
      </c>
      <c r="F336" s="4" t="s">
        <v>18</v>
      </c>
      <c r="G336" s="5">
        <v>0.1</v>
      </c>
      <c r="H336" s="5">
        <v>0.4</v>
      </c>
      <c r="I336" s="5">
        <v>0.05</v>
      </c>
      <c r="J336" s="6">
        <v>0.60655737704918034</v>
      </c>
      <c r="K336" s="6">
        <v>0.76243243243243231</v>
      </c>
      <c r="L336" s="6">
        <v>0.55029304258188683</v>
      </c>
      <c r="M336" s="4" t="s">
        <v>29</v>
      </c>
      <c r="N336" s="4">
        <v>0.12148338221947159</v>
      </c>
      <c r="O336" s="4">
        <v>0</v>
      </c>
    </row>
    <row r="337" spans="1:15" x14ac:dyDescent="0.3">
      <c r="A337" s="4">
        <v>336</v>
      </c>
      <c r="B337" s="4">
        <v>336000</v>
      </c>
      <c r="C337" s="4" t="s">
        <v>163</v>
      </c>
      <c r="D337" s="4" t="s">
        <v>16</v>
      </c>
      <c r="E337" s="4" t="s">
        <v>17</v>
      </c>
      <c r="F337" s="4" t="s">
        <v>18</v>
      </c>
      <c r="G337" s="5">
        <v>0.1</v>
      </c>
      <c r="H337" s="5">
        <v>0.4</v>
      </c>
      <c r="I337" s="5">
        <v>0.05</v>
      </c>
      <c r="J337" s="6">
        <v>0.60655737704918034</v>
      </c>
      <c r="K337" s="6">
        <v>0.76378378378378353</v>
      </c>
      <c r="L337" s="6">
        <v>0.55007924743165992</v>
      </c>
      <c r="M337" s="4" t="s">
        <v>64</v>
      </c>
      <c r="N337" s="4">
        <v>0.12197068911911629</v>
      </c>
      <c r="O337" s="4">
        <v>0</v>
      </c>
    </row>
    <row r="338" spans="1:15" x14ac:dyDescent="0.3">
      <c r="A338" s="4">
        <v>337</v>
      </c>
      <c r="B338" s="4">
        <v>337000</v>
      </c>
      <c r="C338" s="4" t="s">
        <v>163</v>
      </c>
      <c r="D338" s="4" t="s">
        <v>16</v>
      </c>
      <c r="E338" s="4" t="s">
        <v>17</v>
      </c>
      <c r="F338" s="4" t="s">
        <v>18</v>
      </c>
      <c r="G338" s="5">
        <v>0.1</v>
      </c>
      <c r="H338" s="5">
        <v>0.4</v>
      </c>
      <c r="I338" s="5">
        <v>0.05</v>
      </c>
      <c r="J338" s="6">
        <v>0.61016949152542377</v>
      </c>
      <c r="K338" s="6">
        <v>0.78055555555555534</v>
      </c>
      <c r="L338" s="6">
        <v>0.58244661154438515</v>
      </c>
      <c r="M338" s="4" t="s">
        <v>58</v>
      </c>
      <c r="N338" s="4">
        <v>0.12483518481516991</v>
      </c>
      <c r="O338" s="4">
        <v>0</v>
      </c>
    </row>
    <row r="339" spans="1:15" x14ac:dyDescent="0.3">
      <c r="A339" s="4">
        <v>338</v>
      </c>
      <c r="B339" s="4">
        <v>338000</v>
      </c>
      <c r="C339" s="4" t="s">
        <v>163</v>
      </c>
      <c r="D339" s="4" t="s">
        <v>16</v>
      </c>
      <c r="E339" s="4" t="s">
        <v>17</v>
      </c>
      <c r="F339" s="4" t="s">
        <v>18</v>
      </c>
      <c r="G339" s="5">
        <v>0.1</v>
      </c>
      <c r="H339" s="5">
        <v>0.4</v>
      </c>
      <c r="I339" s="5">
        <v>0.05</v>
      </c>
      <c r="J339" s="6">
        <v>0.6166666666666667</v>
      </c>
      <c r="K339" s="6">
        <v>0.75783783783783765</v>
      </c>
      <c r="L339" s="6">
        <v>0.5438058402948075</v>
      </c>
      <c r="M339" s="4" t="s">
        <v>112</v>
      </c>
      <c r="N339" s="4">
        <v>0.1234221461250347</v>
      </c>
      <c r="O339" s="4">
        <v>0</v>
      </c>
    </row>
    <row r="340" spans="1:15" x14ac:dyDescent="0.3">
      <c r="A340" s="4">
        <v>339</v>
      </c>
      <c r="B340" s="4">
        <v>339000</v>
      </c>
      <c r="C340" s="4" t="s">
        <v>163</v>
      </c>
      <c r="D340" s="4" t="s">
        <v>16</v>
      </c>
      <c r="E340" s="4" t="s">
        <v>17</v>
      </c>
      <c r="F340" s="4" t="s">
        <v>18</v>
      </c>
      <c r="G340" s="5">
        <v>0.1</v>
      </c>
      <c r="H340" s="5">
        <v>0.4</v>
      </c>
      <c r="I340" s="5">
        <v>0.05</v>
      </c>
      <c r="J340" s="6">
        <v>0.64912280701754388</v>
      </c>
      <c r="K340" s="6">
        <v>0.77567567567567541</v>
      </c>
      <c r="L340" s="6">
        <v>0.63456821186659673</v>
      </c>
      <c r="M340" s="4" t="s">
        <v>19</v>
      </c>
      <c r="N340" s="4">
        <v>1</v>
      </c>
      <c r="O340" s="4">
        <v>1</v>
      </c>
    </row>
    <row r="341" spans="1:15" x14ac:dyDescent="0.3">
      <c r="A341" s="4">
        <v>340</v>
      </c>
      <c r="B341" s="4">
        <v>340000</v>
      </c>
      <c r="C341" s="4" t="s">
        <v>163</v>
      </c>
      <c r="D341" s="4" t="s">
        <v>16</v>
      </c>
      <c r="E341" s="4" t="s">
        <v>17</v>
      </c>
      <c r="F341" s="4" t="s">
        <v>18</v>
      </c>
      <c r="G341" s="5">
        <v>0.1</v>
      </c>
      <c r="H341" s="5">
        <v>0.4</v>
      </c>
      <c r="I341" s="5">
        <v>0.05</v>
      </c>
      <c r="J341" s="6">
        <v>0.6271186440677966</v>
      </c>
      <c r="K341" s="6">
        <v>0.77405405405405392</v>
      </c>
      <c r="L341" s="6">
        <v>0.63193315911863146</v>
      </c>
      <c r="M341" s="4" t="s">
        <v>212</v>
      </c>
      <c r="N341" s="4">
        <v>2.9326570783646248E-2</v>
      </c>
      <c r="O341" s="4">
        <v>0</v>
      </c>
    </row>
    <row r="342" spans="1:15" x14ac:dyDescent="0.3">
      <c r="A342" s="4">
        <v>341</v>
      </c>
      <c r="B342" s="4">
        <v>341000</v>
      </c>
      <c r="C342" s="4" t="s">
        <v>163</v>
      </c>
      <c r="D342" s="4" t="s">
        <v>16</v>
      </c>
      <c r="E342" s="4" t="s">
        <v>17</v>
      </c>
      <c r="F342" s="4" t="s">
        <v>18</v>
      </c>
      <c r="G342" s="5">
        <v>0.1</v>
      </c>
      <c r="H342" s="5">
        <v>0.4</v>
      </c>
      <c r="I342" s="5">
        <v>0.05</v>
      </c>
      <c r="J342" s="6">
        <v>0.6271186440677966</v>
      </c>
      <c r="K342" s="6">
        <v>0.77702702702702686</v>
      </c>
      <c r="L342" s="6">
        <v>0.62779510074480183</v>
      </c>
      <c r="M342" s="4" t="s">
        <v>165</v>
      </c>
      <c r="N342" s="4">
        <v>3.4499452108247328E-2</v>
      </c>
      <c r="O342" s="4">
        <v>0</v>
      </c>
    </row>
    <row r="343" spans="1:15" x14ac:dyDescent="0.3">
      <c r="A343" s="4">
        <v>342</v>
      </c>
      <c r="B343" s="4">
        <v>342000</v>
      </c>
      <c r="C343" s="4" t="s">
        <v>163</v>
      </c>
      <c r="D343" s="4" t="s">
        <v>16</v>
      </c>
      <c r="E343" s="4" t="s">
        <v>17</v>
      </c>
      <c r="F343" s="4" t="s">
        <v>18</v>
      </c>
      <c r="G343" s="5">
        <v>0.1</v>
      </c>
      <c r="H343" s="5">
        <v>0.4</v>
      </c>
      <c r="I343" s="5">
        <v>0.05</v>
      </c>
      <c r="J343" s="6">
        <v>0.6271186440677966</v>
      </c>
      <c r="K343" s="6">
        <v>0.77729729729729713</v>
      </c>
      <c r="L343" s="6">
        <v>0.63102998670801314</v>
      </c>
      <c r="M343" s="4" t="s">
        <v>174</v>
      </c>
      <c r="N343" s="4">
        <v>4.0005475809567689E-2</v>
      </c>
      <c r="O343" s="4">
        <v>0</v>
      </c>
    </row>
    <row r="344" spans="1:15" x14ac:dyDescent="0.3">
      <c r="A344" s="4">
        <v>343</v>
      </c>
      <c r="B344" s="4">
        <v>343000</v>
      </c>
      <c r="C344" s="4" t="s">
        <v>163</v>
      </c>
      <c r="D344" s="4" t="s">
        <v>16</v>
      </c>
      <c r="E344" s="4" t="s">
        <v>17</v>
      </c>
      <c r="F344" s="4" t="s">
        <v>18</v>
      </c>
      <c r="G344" s="5">
        <v>0.1</v>
      </c>
      <c r="H344" s="5">
        <v>0.4</v>
      </c>
      <c r="I344" s="5">
        <v>0.05</v>
      </c>
      <c r="J344" s="6">
        <v>0.6166666666666667</v>
      </c>
      <c r="K344" s="6">
        <v>0.77540540540540526</v>
      </c>
      <c r="L344" s="6">
        <v>0.63290261334917408</v>
      </c>
      <c r="M344" s="4" t="s">
        <v>210</v>
      </c>
      <c r="N344" s="4">
        <v>4.1608038630684942E-2</v>
      </c>
      <c r="O344" s="4">
        <v>0</v>
      </c>
    </row>
    <row r="345" spans="1:15" x14ac:dyDescent="0.3">
      <c r="A345" s="4">
        <v>344</v>
      </c>
      <c r="B345" s="4">
        <v>344000</v>
      </c>
      <c r="C345" s="4" t="s">
        <v>163</v>
      </c>
      <c r="D345" s="4" t="s">
        <v>16</v>
      </c>
      <c r="E345" s="4" t="s">
        <v>17</v>
      </c>
      <c r="F345" s="4" t="s">
        <v>18</v>
      </c>
      <c r="G345" s="5">
        <v>0.1</v>
      </c>
      <c r="H345" s="5">
        <v>0.4</v>
      </c>
      <c r="I345" s="5">
        <v>0.05</v>
      </c>
      <c r="J345" s="6">
        <v>0.60317460317460314</v>
      </c>
      <c r="K345" s="6">
        <v>0.76789473684210507</v>
      </c>
      <c r="L345" s="6">
        <v>0.63022949653141147</v>
      </c>
      <c r="M345" s="4" t="s">
        <v>19</v>
      </c>
      <c r="N345" s="4">
        <v>1</v>
      </c>
      <c r="O345" s="4">
        <v>1</v>
      </c>
    </row>
    <row r="346" spans="1:15" x14ac:dyDescent="0.3">
      <c r="A346" s="4">
        <v>345</v>
      </c>
      <c r="B346" s="4">
        <v>345000</v>
      </c>
      <c r="C346" s="4" t="s">
        <v>163</v>
      </c>
      <c r="D346" s="4" t="s">
        <v>16</v>
      </c>
      <c r="E346" s="4" t="s">
        <v>17</v>
      </c>
      <c r="F346" s="4" t="s">
        <v>18</v>
      </c>
      <c r="G346" s="5">
        <v>0.1</v>
      </c>
      <c r="H346" s="5">
        <v>0.4</v>
      </c>
      <c r="I346" s="5">
        <v>0.05</v>
      </c>
      <c r="J346" s="6">
        <v>0.61290322580645162</v>
      </c>
      <c r="K346" s="6">
        <v>0.76526315789473665</v>
      </c>
      <c r="L346" s="6">
        <v>0.63221938636968145</v>
      </c>
      <c r="M346" s="4" t="s">
        <v>213</v>
      </c>
      <c r="N346" s="4">
        <v>2.424750151967859E-2</v>
      </c>
      <c r="O346" s="4">
        <v>0</v>
      </c>
    </row>
    <row r="347" spans="1:15" x14ac:dyDescent="0.3">
      <c r="A347" s="4">
        <v>346</v>
      </c>
      <c r="B347" s="4">
        <v>346000</v>
      </c>
      <c r="C347" s="4" t="s">
        <v>163</v>
      </c>
      <c r="D347" s="4" t="s">
        <v>16</v>
      </c>
      <c r="E347" s="4" t="s">
        <v>17</v>
      </c>
      <c r="F347" s="4" t="s">
        <v>18</v>
      </c>
      <c r="G347" s="5">
        <v>0.1</v>
      </c>
      <c r="H347" s="5">
        <v>0.4</v>
      </c>
      <c r="I347" s="5">
        <v>0.05</v>
      </c>
      <c r="J347" s="6">
        <v>0.62295081967213117</v>
      </c>
      <c r="K347" s="6">
        <v>0.76421052631578923</v>
      </c>
      <c r="L347" s="6">
        <v>0.63086036107377941</v>
      </c>
      <c r="M347" s="4" t="s">
        <v>178</v>
      </c>
      <c r="N347" s="4">
        <v>3.195535200982532E-2</v>
      </c>
      <c r="O347" s="4">
        <v>0</v>
      </c>
    </row>
    <row r="348" spans="1:15" x14ac:dyDescent="0.3">
      <c r="A348" s="4">
        <v>347</v>
      </c>
      <c r="B348" s="4">
        <v>347000</v>
      </c>
      <c r="C348" s="4" t="s">
        <v>163</v>
      </c>
      <c r="D348" s="4" t="s">
        <v>16</v>
      </c>
      <c r="E348" s="4" t="s">
        <v>17</v>
      </c>
      <c r="F348" s="4" t="s">
        <v>18</v>
      </c>
      <c r="G348" s="5">
        <v>0.1</v>
      </c>
      <c r="H348" s="5">
        <v>0.4</v>
      </c>
      <c r="I348" s="5">
        <v>0.05</v>
      </c>
      <c r="J348" s="6">
        <v>0.61904761904761907</v>
      </c>
      <c r="K348" s="6">
        <v>0.75307692307692287</v>
      </c>
      <c r="L348" s="6">
        <v>0.62533570447308884</v>
      </c>
      <c r="M348" s="4" t="s">
        <v>191</v>
      </c>
      <c r="N348" s="4">
        <v>4.1083204862885143E-2</v>
      </c>
      <c r="O348" s="4">
        <v>0</v>
      </c>
    </row>
    <row r="349" spans="1:15" x14ac:dyDescent="0.3">
      <c r="A349" s="4">
        <v>348</v>
      </c>
      <c r="B349" s="4">
        <v>348000</v>
      </c>
      <c r="C349" s="4" t="s">
        <v>163</v>
      </c>
      <c r="D349" s="4" t="s">
        <v>16</v>
      </c>
      <c r="E349" s="4" t="s">
        <v>17</v>
      </c>
      <c r="F349" s="4" t="s">
        <v>18</v>
      </c>
      <c r="G349" s="5">
        <v>0.1</v>
      </c>
      <c r="H349" s="5">
        <v>0.4</v>
      </c>
      <c r="I349" s="5">
        <v>0.05</v>
      </c>
      <c r="J349" s="6">
        <v>0.61904761904761907</v>
      </c>
      <c r="K349" s="6">
        <v>0.74871794871794839</v>
      </c>
      <c r="L349" s="6">
        <v>0.62793190264383203</v>
      </c>
      <c r="M349" s="4" t="s">
        <v>191</v>
      </c>
      <c r="N349" s="4">
        <v>4.0645831174495203E-2</v>
      </c>
      <c r="O349" s="4">
        <v>0</v>
      </c>
    </row>
    <row r="350" spans="1:15" x14ac:dyDescent="0.3">
      <c r="A350" s="4">
        <v>349</v>
      </c>
      <c r="B350" s="4">
        <v>349000</v>
      </c>
      <c r="C350" s="4" t="s">
        <v>163</v>
      </c>
      <c r="D350" s="4" t="s">
        <v>16</v>
      </c>
      <c r="E350" s="4" t="s">
        <v>17</v>
      </c>
      <c r="F350" s="4" t="s">
        <v>18</v>
      </c>
      <c r="G350" s="5">
        <v>0.1</v>
      </c>
      <c r="H350" s="5">
        <v>0.4</v>
      </c>
      <c r="I350" s="5">
        <v>0.05</v>
      </c>
      <c r="J350" s="6">
        <v>0.60317460317460314</v>
      </c>
      <c r="K350" s="6">
        <v>0.76868421052631575</v>
      </c>
      <c r="L350" s="6">
        <v>0.64373148334661057</v>
      </c>
      <c r="M350" s="4" t="s">
        <v>191</v>
      </c>
      <c r="N350" s="4">
        <v>4.1045962199182107E-2</v>
      </c>
      <c r="O350" s="4">
        <v>0</v>
      </c>
    </row>
    <row r="351" spans="1:15" x14ac:dyDescent="0.3">
      <c r="A351" s="4">
        <v>350</v>
      </c>
      <c r="B351" s="4">
        <v>350000</v>
      </c>
      <c r="C351" s="4" t="s">
        <v>163</v>
      </c>
      <c r="D351" s="4" t="s">
        <v>16</v>
      </c>
      <c r="E351" s="4" t="s">
        <v>17</v>
      </c>
      <c r="F351" s="4" t="s">
        <v>18</v>
      </c>
      <c r="G351" s="5">
        <v>0.1</v>
      </c>
      <c r="H351" s="5">
        <v>0.4</v>
      </c>
      <c r="I351" s="5">
        <v>0.05</v>
      </c>
      <c r="J351" s="6">
        <v>0.61290322580645162</v>
      </c>
      <c r="K351" s="6">
        <v>0.76710526315789462</v>
      </c>
      <c r="L351" s="6">
        <v>0.6437439347816305</v>
      </c>
      <c r="M351" s="4" t="s">
        <v>193</v>
      </c>
      <c r="N351" s="4">
        <v>4.7851183074495457E-2</v>
      </c>
      <c r="O351" s="4">
        <v>0</v>
      </c>
    </row>
    <row r="352" spans="1:15" x14ac:dyDescent="0.3">
      <c r="A352" s="4">
        <v>351</v>
      </c>
      <c r="B352" s="4">
        <v>351000</v>
      </c>
      <c r="C352" s="4" t="s">
        <v>163</v>
      </c>
      <c r="D352" s="4" t="s">
        <v>16</v>
      </c>
      <c r="E352" s="4" t="s">
        <v>17</v>
      </c>
      <c r="F352" s="4" t="s">
        <v>18</v>
      </c>
      <c r="G352" s="5">
        <v>0.1</v>
      </c>
      <c r="H352" s="5">
        <v>0.4</v>
      </c>
      <c r="I352" s="5">
        <v>0.05</v>
      </c>
      <c r="J352" s="6">
        <v>0.5901639344262295</v>
      </c>
      <c r="K352" s="6">
        <v>0.77361111111111081</v>
      </c>
      <c r="L352" s="6">
        <v>0.63170661953497231</v>
      </c>
      <c r="M352" s="4" t="s">
        <v>211</v>
      </c>
      <c r="N352" s="4">
        <v>4.9392798201403937E-2</v>
      </c>
      <c r="O352" s="4">
        <v>0</v>
      </c>
    </row>
    <row r="353" spans="1:15" x14ac:dyDescent="0.3">
      <c r="A353" s="4">
        <v>352</v>
      </c>
      <c r="B353" s="4">
        <v>352000</v>
      </c>
      <c r="C353" s="4" t="s">
        <v>163</v>
      </c>
      <c r="D353" s="4" t="s">
        <v>16</v>
      </c>
      <c r="E353" s="4" t="s">
        <v>17</v>
      </c>
      <c r="F353" s="4" t="s">
        <v>18</v>
      </c>
      <c r="G353" s="5">
        <v>0.1</v>
      </c>
      <c r="H353" s="5">
        <v>0.4</v>
      </c>
      <c r="I353" s="5">
        <v>0.05</v>
      </c>
      <c r="J353" s="6">
        <v>0.61290322580645162</v>
      </c>
      <c r="K353" s="6">
        <v>0.76815789473684193</v>
      </c>
      <c r="L353" s="6">
        <v>0.64422711553348078</v>
      </c>
      <c r="M353" s="4" t="s">
        <v>214</v>
      </c>
      <c r="N353" s="4">
        <v>5.129783449010171E-2</v>
      </c>
      <c r="O353" s="4">
        <v>0</v>
      </c>
    </row>
    <row r="354" spans="1:15" x14ac:dyDescent="0.3">
      <c r="A354" s="4">
        <v>353</v>
      </c>
      <c r="B354" s="4">
        <v>353000</v>
      </c>
      <c r="C354" s="4" t="s">
        <v>163</v>
      </c>
      <c r="D354" s="4" t="s">
        <v>16</v>
      </c>
      <c r="E354" s="4" t="s">
        <v>17</v>
      </c>
      <c r="F354" s="4" t="s">
        <v>18</v>
      </c>
      <c r="G354" s="5">
        <v>0.1</v>
      </c>
      <c r="H354" s="5">
        <v>0.4</v>
      </c>
      <c r="I354" s="5">
        <v>0.05</v>
      </c>
      <c r="J354" s="6">
        <v>0.61290322580645162</v>
      </c>
      <c r="K354" s="6">
        <v>0.77157894736842092</v>
      </c>
      <c r="L354" s="6">
        <v>0.63975789263268745</v>
      </c>
      <c r="M354" s="4" t="s">
        <v>164</v>
      </c>
      <c r="N354" s="4">
        <v>5.2661051131022221E-2</v>
      </c>
      <c r="O354" s="4">
        <v>0</v>
      </c>
    </row>
    <row r="355" spans="1:15" x14ac:dyDescent="0.3">
      <c r="A355" s="4">
        <v>354</v>
      </c>
      <c r="B355" s="4">
        <v>354000</v>
      </c>
      <c r="C355" s="4" t="s">
        <v>163</v>
      </c>
      <c r="D355" s="4" t="s">
        <v>16</v>
      </c>
      <c r="E355" s="4" t="s">
        <v>17</v>
      </c>
      <c r="F355" s="4" t="s">
        <v>18</v>
      </c>
      <c r="G355" s="5">
        <v>0.1</v>
      </c>
      <c r="H355" s="5">
        <v>0.4</v>
      </c>
      <c r="I355" s="5">
        <v>0.05</v>
      </c>
      <c r="J355" s="6">
        <v>0.60317460317460314</v>
      </c>
      <c r="K355" s="6">
        <v>0.77342105263157879</v>
      </c>
      <c r="L355" s="6">
        <v>0.63870460738692825</v>
      </c>
      <c r="M355" s="4" t="s">
        <v>211</v>
      </c>
      <c r="N355" s="4">
        <v>4.881100202029813E-2</v>
      </c>
      <c r="O355" s="4">
        <v>0</v>
      </c>
    </row>
    <row r="356" spans="1:15" x14ac:dyDescent="0.3">
      <c r="A356" s="4">
        <v>355</v>
      </c>
      <c r="B356" s="4">
        <v>355000</v>
      </c>
      <c r="C356" s="4" t="s">
        <v>163</v>
      </c>
      <c r="D356" s="4" t="s">
        <v>16</v>
      </c>
      <c r="E356" s="4" t="s">
        <v>17</v>
      </c>
      <c r="F356" s="4" t="s">
        <v>18</v>
      </c>
      <c r="G356" s="5">
        <v>0.1</v>
      </c>
      <c r="H356" s="5">
        <v>0.4</v>
      </c>
      <c r="I356" s="5">
        <v>0.05</v>
      </c>
      <c r="J356" s="6">
        <v>0.6</v>
      </c>
      <c r="K356" s="6">
        <v>0.76871794871794841</v>
      </c>
      <c r="L356" s="6">
        <v>0.63795719709589671</v>
      </c>
      <c r="M356" s="4" t="s">
        <v>185</v>
      </c>
      <c r="N356" s="4">
        <v>5.9924442262459257E-2</v>
      </c>
      <c r="O356" s="4">
        <v>0</v>
      </c>
    </row>
    <row r="357" spans="1:15" x14ac:dyDescent="0.3">
      <c r="A357" s="4">
        <v>356</v>
      </c>
      <c r="B357" s="4">
        <v>356000</v>
      </c>
      <c r="C357" s="4" t="s">
        <v>163</v>
      </c>
      <c r="D357" s="4" t="s">
        <v>16</v>
      </c>
      <c r="E357" s="4" t="s">
        <v>17</v>
      </c>
      <c r="F357" s="4" t="s">
        <v>18</v>
      </c>
      <c r="G357" s="5">
        <v>0.1</v>
      </c>
      <c r="H357" s="5">
        <v>0.4</v>
      </c>
      <c r="I357" s="5">
        <v>0.05</v>
      </c>
      <c r="J357" s="6">
        <v>0.59375</v>
      </c>
      <c r="K357" s="6">
        <v>0.78578947368421037</v>
      </c>
      <c r="L357" s="6">
        <v>0.66963667452543718</v>
      </c>
      <c r="M357" s="4" t="s">
        <v>186</v>
      </c>
      <c r="N357" s="4">
        <v>6.5049724445928811E-2</v>
      </c>
      <c r="O357" s="4">
        <v>0</v>
      </c>
    </row>
    <row r="358" spans="1:15" x14ac:dyDescent="0.3">
      <c r="A358" s="4">
        <v>357</v>
      </c>
      <c r="B358" s="4">
        <v>357000</v>
      </c>
      <c r="C358" s="4" t="s">
        <v>163</v>
      </c>
      <c r="D358" s="4" t="s">
        <v>16</v>
      </c>
      <c r="E358" s="4" t="s">
        <v>17</v>
      </c>
      <c r="F358" s="4" t="s">
        <v>18</v>
      </c>
      <c r="G358" s="5">
        <v>0.1</v>
      </c>
      <c r="H358" s="5">
        <v>0.4</v>
      </c>
      <c r="I358" s="5">
        <v>0.05</v>
      </c>
      <c r="J358" s="6">
        <v>0.60317460317460314</v>
      </c>
      <c r="K358" s="6">
        <v>0.79052631578947352</v>
      </c>
      <c r="L358" s="6">
        <v>0.66989711033329535</v>
      </c>
      <c r="M358" s="4" t="s">
        <v>195</v>
      </c>
      <c r="N358" s="4">
        <v>6.9395902581364924E-2</v>
      </c>
      <c r="O358" s="4">
        <v>0</v>
      </c>
    </row>
    <row r="359" spans="1:15" x14ac:dyDescent="0.3">
      <c r="A359" s="4">
        <v>358</v>
      </c>
      <c r="B359" s="4">
        <v>358000</v>
      </c>
      <c r="C359" s="4" t="s">
        <v>163</v>
      </c>
      <c r="D359" s="4" t="s">
        <v>16</v>
      </c>
      <c r="E359" s="4" t="s">
        <v>17</v>
      </c>
      <c r="F359" s="4" t="s">
        <v>18</v>
      </c>
      <c r="G359" s="5">
        <v>0.1</v>
      </c>
      <c r="H359" s="5">
        <v>0.4</v>
      </c>
      <c r="I359" s="5">
        <v>0.05</v>
      </c>
      <c r="J359" s="6">
        <v>0.59375</v>
      </c>
      <c r="K359" s="6">
        <v>0.77210526315789452</v>
      </c>
      <c r="L359" s="6">
        <v>0.67364905300887679</v>
      </c>
      <c r="M359" s="4" t="s">
        <v>176</v>
      </c>
      <c r="N359" s="4">
        <v>7.3806973542497781E-2</v>
      </c>
      <c r="O359" s="4">
        <v>0</v>
      </c>
    </row>
    <row r="360" spans="1:15" x14ac:dyDescent="0.3">
      <c r="A360" s="4">
        <v>359</v>
      </c>
      <c r="B360" s="4">
        <v>359000</v>
      </c>
      <c r="C360" s="4" t="s">
        <v>163</v>
      </c>
      <c r="D360" s="4" t="s">
        <v>16</v>
      </c>
      <c r="E360" s="4" t="s">
        <v>17</v>
      </c>
      <c r="F360" s="4" t="s">
        <v>18</v>
      </c>
      <c r="G360" s="5">
        <v>0.1</v>
      </c>
      <c r="H360" s="5">
        <v>0.4</v>
      </c>
      <c r="I360" s="5">
        <v>0.05</v>
      </c>
      <c r="J360" s="6">
        <v>0.578125</v>
      </c>
      <c r="K360" s="6">
        <v>0.79540540540540516</v>
      </c>
      <c r="L360" s="6">
        <v>0.70006848992324866</v>
      </c>
      <c r="M360" s="4" t="s">
        <v>140</v>
      </c>
      <c r="N360" s="4">
        <v>7.776526645019062E-2</v>
      </c>
      <c r="O360" s="4">
        <v>0</v>
      </c>
    </row>
    <row r="361" spans="1:15" x14ac:dyDescent="0.3">
      <c r="A361" s="4">
        <v>360</v>
      </c>
      <c r="B361" s="4">
        <v>360000</v>
      </c>
      <c r="C361" s="4" t="s">
        <v>163</v>
      </c>
      <c r="D361" s="4" t="s">
        <v>16</v>
      </c>
      <c r="E361" s="4" t="s">
        <v>17</v>
      </c>
      <c r="F361" s="4" t="s">
        <v>18</v>
      </c>
      <c r="G361" s="5">
        <v>0.1</v>
      </c>
      <c r="H361" s="5">
        <v>0.4</v>
      </c>
      <c r="I361" s="5">
        <v>0.05</v>
      </c>
      <c r="J361" s="6">
        <v>0.58730158730158732</v>
      </c>
      <c r="K361" s="6">
        <v>0.79621621621621597</v>
      </c>
      <c r="L361" s="6">
        <v>0.69557461510463092</v>
      </c>
      <c r="M361" s="4" t="s">
        <v>170</v>
      </c>
      <c r="N361" s="4">
        <v>8.0532828154469688E-2</v>
      </c>
      <c r="O361" s="4">
        <v>0</v>
      </c>
    </row>
    <row r="362" spans="1:15" x14ac:dyDescent="0.3">
      <c r="A362" s="4">
        <v>361</v>
      </c>
      <c r="B362" s="4">
        <v>361000</v>
      </c>
      <c r="C362" s="4" t="s">
        <v>163</v>
      </c>
      <c r="D362" s="4" t="s">
        <v>16</v>
      </c>
      <c r="E362" s="4" t="s">
        <v>17</v>
      </c>
      <c r="F362" s="4" t="s">
        <v>18</v>
      </c>
      <c r="G362" s="5">
        <v>0.1</v>
      </c>
      <c r="H362" s="5">
        <v>0.4</v>
      </c>
      <c r="I362" s="5">
        <v>0.05</v>
      </c>
      <c r="J362" s="6">
        <v>0.58461538461538465</v>
      </c>
      <c r="K362" s="6">
        <v>0.78710526315789442</v>
      </c>
      <c r="L362" s="6">
        <v>0.72793596475004185</v>
      </c>
      <c r="M362" s="4" t="s">
        <v>106</v>
      </c>
      <c r="N362" s="4">
        <v>8.2295468985214934E-2</v>
      </c>
      <c r="O362" s="4">
        <v>0</v>
      </c>
    </row>
    <row r="363" spans="1:15" x14ac:dyDescent="0.3">
      <c r="A363" s="4">
        <v>362</v>
      </c>
      <c r="B363" s="4">
        <v>362000</v>
      </c>
      <c r="C363" s="4" t="s">
        <v>163</v>
      </c>
      <c r="D363" s="4" t="s">
        <v>16</v>
      </c>
      <c r="E363" s="4" t="s">
        <v>17</v>
      </c>
      <c r="F363" s="4" t="s">
        <v>18</v>
      </c>
      <c r="G363" s="5">
        <v>0.1</v>
      </c>
      <c r="H363" s="5">
        <v>0.4</v>
      </c>
      <c r="I363" s="5">
        <v>0.05</v>
      </c>
      <c r="J363" s="6">
        <v>0.5757575757575758</v>
      </c>
      <c r="K363" s="6">
        <v>0.78999999999999981</v>
      </c>
      <c r="L363" s="6">
        <v>0.7306506921273711</v>
      </c>
      <c r="M363" s="4" t="s">
        <v>170</v>
      </c>
      <c r="N363" s="4">
        <v>8.0635268200058979E-2</v>
      </c>
      <c r="O363" s="4">
        <v>0</v>
      </c>
    </row>
    <row r="364" spans="1:15" x14ac:dyDescent="0.3">
      <c r="A364" s="4">
        <v>363</v>
      </c>
      <c r="B364" s="4">
        <v>363000</v>
      </c>
      <c r="C364" s="4" t="s">
        <v>163</v>
      </c>
      <c r="D364" s="4" t="s">
        <v>16</v>
      </c>
      <c r="E364" s="4" t="s">
        <v>17</v>
      </c>
      <c r="F364" s="4" t="s">
        <v>18</v>
      </c>
      <c r="G364" s="5">
        <v>0.1</v>
      </c>
      <c r="H364" s="5">
        <v>0.4</v>
      </c>
      <c r="I364" s="5">
        <v>0.05</v>
      </c>
      <c r="J364" s="6">
        <v>0.5757575757575758</v>
      </c>
      <c r="K364" s="6">
        <v>0.78657894736842093</v>
      </c>
      <c r="L364" s="6">
        <v>0.73057119408833504</v>
      </c>
      <c r="M364" s="4" t="s">
        <v>21</v>
      </c>
      <c r="N364" s="4">
        <v>8.4109063180659444E-2</v>
      </c>
      <c r="O364" s="4">
        <v>0</v>
      </c>
    </row>
    <row r="365" spans="1:15" x14ac:dyDescent="0.3">
      <c r="A365" s="4">
        <v>364</v>
      </c>
      <c r="B365" s="4">
        <v>364000</v>
      </c>
      <c r="C365" s="4" t="s">
        <v>163</v>
      </c>
      <c r="D365" s="4" t="s">
        <v>16</v>
      </c>
      <c r="E365" s="4" t="s">
        <v>17</v>
      </c>
      <c r="F365" s="4" t="s">
        <v>18</v>
      </c>
      <c r="G365" s="5">
        <v>0.1</v>
      </c>
      <c r="H365" s="5">
        <v>0.4</v>
      </c>
      <c r="I365" s="5">
        <v>0.05</v>
      </c>
      <c r="J365" s="6">
        <v>0.61194029850746268</v>
      </c>
      <c r="K365" s="6">
        <v>0.75560975609756076</v>
      </c>
      <c r="L365" s="6">
        <v>0.69751240922844782</v>
      </c>
      <c r="M365" s="4" t="s">
        <v>97</v>
      </c>
      <c r="N365" s="4">
        <v>8.6104511163083458E-2</v>
      </c>
      <c r="O365" s="4">
        <v>0</v>
      </c>
    </row>
    <row r="366" spans="1:15" x14ac:dyDescent="0.3">
      <c r="A366" s="4">
        <v>365</v>
      </c>
      <c r="B366" s="4">
        <v>365000</v>
      </c>
      <c r="C366" s="4" t="s">
        <v>163</v>
      </c>
      <c r="D366" s="4" t="s">
        <v>16</v>
      </c>
      <c r="E366" s="4" t="s">
        <v>17</v>
      </c>
      <c r="F366" s="4" t="s">
        <v>18</v>
      </c>
      <c r="G366" s="5">
        <v>0.1</v>
      </c>
      <c r="H366" s="5">
        <v>0.4</v>
      </c>
      <c r="I366" s="5">
        <v>0.05</v>
      </c>
      <c r="J366" s="6">
        <v>0.59701492537313428</v>
      </c>
      <c r="K366" s="6">
        <v>0.77449999999999997</v>
      </c>
      <c r="L366" s="6">
        <v>0.70549776696458222</v>
      </c>
      <c r="M366" s="4" t="s">
        <v>97</v>
      </c>
      <c r="N366" s="4">
        <v>8.5991998527447266E-2</v>
      </c>
      <c r="O366" s="4">
        <v>0</v>
      </c>
    </row>
    <row r="367" spans="1:15" x14ac:dyDescent="0.3">
      <c r="A367" s="4">
        <v>366</v>
      </c>
      <c r="B367" s="4">
        <v>366000</v>
      </c>
      <c r="C367" s="4" t="s">
        <v>163</v>
      </c>
      <c r="D367" s="4" t="s">
        <v>16</v>
      </c>
      <c r="E367" s="4" t="s">
        <v>17</v>
      </c>
      <c r="F367" s="4" t="s">
        <v>18</v>
      </c>
      <c r="G367" s="5">
        <v>0.1</v>
      </c>
      <c r="H367" s="5">
        <v>0.4</v>
      </c>
      <c r="I367" s="5">
        <v>0.05</v>
      </c>
      <c r="J367" s="6">
        <v>0.58208955223880599</v>
      </c>
      <c r="K367" s="6">
        <v>0.7782051282051281</v>
      </c>
      <c r="L367" s="6">
        <v>0.6762802949933121</v>
      </c>
      <c r="M367" s="4" t="s">
        <v>97</v>
      </c>
      <c r="N367" s="4">
        <v>8.621433580574675E-2</v>
      </c>
      <c r="O367" s="4">
        <v>0</v>
      </c>
    </row>
    <row r="368" spans="1:15" x14ac:dyDescent="0.3">
      <c r="A368" s="4">
        <v>367</v>
      </c>
      <c r="B368" s="4">
        <v>367000</v>
      </c>
      <c r="C368" s="4" t="s">
        <v>163</v>
      </c>
      <c r="D368" s="4" t="s">
        <v>16</v>
      </c>
      <c r="E368" s="4" t="s">
        <v>17</v>
      </c>
      <c r="F368" s="4" t="s">
        <v>18</v>
      </c>
      <c r="G368" s="5">
        <v>0.1</v>
      </c>
      <c r="H368" s="5">
        <v>0.4</v>
      </c>
      <c r="I368" s="5">
        <v>0.05</v>
      </c>
      <c r="J368" s="6">
        <v>0.58208955223880599</v>
      </c>
      <c r="K368" s="6">
        <v>0.78051282051282034</v>
      </c>
      <c r="L368" s="6">
        <v>0.67225574027382473</v>
      </c>
      <c r="M368" s="4" t="s">
        <v>49</v>
      </c>
      <c r="N368" s="4">
        <v>8.9752119291166402E-2</v>
      </c>
      <c r="O368" s="4">
        <v>0</v>
      </c>
    </row>
    <row r="369" spans="1:15" x14ac:dyDescent="0.3">
      <c r="A369" s="4">
        <v>368</v>
      </c>
      <c r="B369" s="4">
        <v>368000</v>
      </c>
      <c r="C369" s="4" t="s">
        <v>163</v>
      </c>
      <c r="D369" s="4" t="s">
        <v>16</v>
      </c>
      <c r="E369" s="4" t="s">
        <v>17</v>
      </c>
      <c r="F369" s="4" t="s">
        <v>18</v>
      </c>
      <c r="G369" s="5">
        <v>0.1</v>
      </c>
      <c r="H369" s="5">
        <v>0.4</v>
      </c>
      <c r="I369" s="5">
        <v>0.05</v>
      </c>
      <c r="J369" s="6">
        <v>0.61194029850746268</v>
      </c>
      <c r="K369" s="6">
        <v>0.7678048780487805</v>
      </c>
      <c r="L369" s="6">
        <v>0.66006324613102907</v>
      </c>
      <c r="M369" s="4" t="s">
        <v>74</v>
      </c>
      <c r="N369" s="4">
        <v>8.9264930768587866E-2</v>
      </c>
      <c r="O369" s="4">
        <v>0</v>
      </c>
    </row>
    <row r="370" spans="1:15" x14ac:dyDescent="0.3">
      <c r="A370" s="4">
        <v>369</v>
      </c>
      <c r="B370" s="4">
        <v>369000</v>
      </c>
      <c r="C370" s="4" t="s">
        <v>163</v>
      </c>
      <c r="D370" s="4" t="s">
        <v>16</v>
      </c>
      <c r="E370" s="4" t="s">
        <v>17</v>
      </c>
      <c r="F370" s="4" t="s">
        <v>18</v>
      </c>
      <c r="G370" s="5">
        <v>0.1</v>
      </c>
      <c r="H370" s="5">
        <v>0.4</v>
      </c>
      <c r="I370" s="5">
        <v>0.05</v>
      </c>
      <c r="J370" s="6">
        <v>0.62121212121212122</v>
      </c>
      <c r="K370" s="6">
        <v>0.77073170731707308</v>
      </c>
      <c r="L370" s="6">
        <v>0.67055376067353256</v>
      </c>
      <c r="M370" s="4" t="s">
        <v>49</v>
      </c>
      <c r="N370" s="4">
        <v>9.0072172397283962E-2</v>
      </c>
      <c r="O370" s="4">
        <v>0</v>
      </c>
    </row>
    <row r="371" spans="1:15" x14ac:dyDescent="0.3">
      <c r="A371" s="4">
        <v>370</v>
      </c>
      <c r="B371" s="4">
        <v>370000</v>
      </c>
      <c r="C371" s="4" t="s">
        <v>163</v>
      </c>
      <c r="D371" s="4" t="s">
        <v>16</v>
      </c>
      <c r="E371" s="4" t="s">
        <v>17</v>
      </c>
      <c r="F371" s="4" t="s">
        <v>18</v>
      </c>
      <c r="G371" s="5">
        <v>0.1</v>
      </c>
      <c r="H371" s="5">
        <v>0.4</v>
      </c>
      <c r="I371" s="5">
        <v>0.05</v>
      </c>
      <c r="J371" s="6">
        <v>0.61538461538461542</v>
      </c>
      <c r="K371" s="6">
        <v>0.76624999999999988</v>
      </c>
      <c r="L371" s="6">
        <v>0.62703334968289659</v>
      </c>
      <c r="M371" s="4" t="s">
        <v>73</v>
      </c>
      <c r="N371" s="4">
        <v>9.2243639346206885E-2</v>
      </c>
      <c r="O371" s="4">
        <v>0</v>
      </c>
    </row>
    <row r="372" spans="1:15" x14ac:dyDescent="0.3">
      <c r="A372" s="4">
        <v>371</v>
      </c>
      <c r="B372" s="4">
        <v>371000</v>
      </c>
      <c r="C372" s="4" t="s">
        <v>163</v>
      </c>
      <c r="D372" s="4" t="s">
        <v>16</v>
      </c>
      <c r="E372" s="4" t="s">
        <v>17</v>
      </c>
      <c r="F372" s="4" t="s">
        <v>18</v>
      </c>
      <c r="G372" s="5">
        <v>0.1</v>
      </c>
      <c r="H372" s="5">
        <v>0.4</v>
      </c>
      <c r="I372" s="5">
        <v>0.05</v>
      </c>
      <c r="J372" s="6">
        <v>0.63492063492063489</v>
      </c>
      <c r="K372" s="6">
        <v>0.78899999999999992</v>
      </c>
      <c r="L372" s="6">
        <v>0.7096701672682395</v>
      </c>
      <c r="M372" s="4" t="s">
        <v>73</v>
      </c>
      <c r="N372" s="4">
        <v>9.2009868496999797E-2</v>
      </c>
      <c r="O372" s="4">
        <v>0</v>
      </c>
    </row>
    <row r="373" spans="1:15" x14ac:dyDescent="0.3">
      <c r="A373" s="4">
        <v>372</v>
      </c>
      <c r="B373" s="4">
        <v>372000</v>
      </c>
      <c r="C373" s="4" t="s">
        <v>163</v>
      </c>
      <c r="D373" s="4" t="s">
        <v>16</v>
      </c>
      <c r="E373" s="4" t="s">
        <v>17</v>
      </c>
      <c r="F373" s="4" t="s">
        <v>18</v>
      </c>
      <c r="G373" s="5">
        <v>0.1</v>
      </c>
      <c r="H373" s="5">
        <v>0.4</v>
      </c>
      <c r="I373" s="5">
        <v>0.05</v>
      </c>
      <c r="J373" s="6">
        <v>0.61904761904761907</v>
      </c>
      <c r="K373" s="6">
        <v>0.78769230769230758</v>
      </c>
      <c r="L373" s="6">
        <v>0.67105637273615715</v>
      </c>
      <c r="M373" s="4" t="s">
        <v>22</v>
      </c>
      <c r="N373" s="4">
        <v>9.4472394917221397E-2</v>
      </c>
      <c r="O373" s="4">
        <v>0</v>
      </c>
    </row>
    <row r="374" spans="1:15" x14ac:dyDescent="0.3">
      <c r="A374" s="4">
        <v>373</v>
      </c>
      <c r="B374" s="4">
        <v>373000</v>
      </c>
      <c r="C374" s="4" t="s">
        <v>163</v>
      </c>
      <c r="D374" s="4" t="s">
        <v>16</v>
      </c>
      <c r="E374" s="4" t="s">
        <v>17</v>
      </c>
      <c r="F374" s="4" t="s">
        <v>18</v>
      </c>
      <c r="G374" s="5">
        <v>0.1</v>
      </c>
      <c r="H374" s="5">
        <v>0.4</v>
      </c>
      <c r="I374" s="5">
        <v>0.05</v>
      </c>
      <c r="J374" s="6">
        <v>0.61290322580645162</v>
      </c>
      <c r="K374" s="6">
        <v>0.78631578947368397</v>
      </c>
      <c r="L374" s="6">
        <v>0.67399498213675624</v>
      </c>
      <c r="M374" s="4" t="s">
        <v>150</v>
      </c>
      <c r="N374" s="4">
        <v>9.5230294669032461E-2</v>
      </c>
      <c r="O374" s="4">
        <v>0</v>
      </c>
    </row>
    <row r="375" spans="1:15" x14ac:dyDescent="0.3">
      <c r="A375" s="4">
        <v>374</v>
      </c>
      <c r="B375" s="4">
        <v>374000</v>
      </c>
      <c r="C375" s="4" t="s">
        <v>163</v>
      </c>
      <c r="D375" s="4" t="s">
        <v>16</v>
      </c>
      <c r="E375" s="4" t="s">
        <v>17</v>
      </c>
      <c r="F375" s="4" t="s">
        <v>18</v>
      </c>
      <c r="G375" s="5">
        <v>0.1</v>
      </c>
      <c r="H375" s="5">
        <v>0.4</v>
      </c>
      <c r="I375" s="5">
        <v>0.05</v>
      </c>
      <c r="J375" s="6">
        <v>0.63934426229508201</v>
      </c>
      <c r="K375" s="6">
        <v>0.77333333333333321</v>
      </c>
      <c r="L375" s="6">
        <v>0.64294195915352548</v>
      </c>
      <c r="M375" s="4" t="s">
        <v>154</v>
      </c>
      <c r="N375" s="4">
        <v>9.7793280961553847E-2</v>
      </c>
      <c r="O375" s="4">
        <v>0</v>
      </c>
    </row>
    <row r="376" spans="1:15" x14ac:dyDescent="0.3">
      <c r="A376" s="4">
        <v>375</v>
      </c>
      <c r="B376" s="4">
        <v>375000</v>
      </c>
      <c r="C376" s="4" t="s">
        <v>163</v>
      </c>
      <c r="D376" s="4" t="s">
        <v>16</v>
      </c>
      <c r="E376" s="4" t="s">
        <v>17</v>
      </c>
      <c r="F376" s="4" t="s">
        <v>18</v>
      </c>
      <c r="G376" s="5">
        <v>0.1</v>
      </c>
      <c r="H376" s="5">
        <v>0.4</v>
      </c>
      <c r="I376" s="5">
        <v>0.05</v>
      </c>
      <c r="J376" s="6">
        <v>0.63934426229508201</v>
      </c>
      <c r="K376" s="6">
        <v>0.77307692307692299</v>
      </c>
      <c r="L376" s="6">
        <v>0.64312833313038964</v>
      </c>
      <c r="M376" s="4" t="s">
        <v>154</v>
      </c>
      <c r="N376" s="4">
        <v>9.7780247720005098E-2</v>
      </c>
      <c r="O376" s="4">
        <v>0</v>
      </c>
    </row>
    <row r="377" spans="1:15" x14ac:dyDescent="0.3">
      <c r="A377" s="4">
        <v>376</v>
      </c>
      <c r="B377" s="4">
        <v>376000</v>
      </c>
      <c r="C377" s="4" t="s">
        <v>163</v>
      </c>
      <c r="D377" s="4" t="s">
        <v>16</v>
      </c>
      <c r="E377" s="4" t="s">
        <v>17</v>
      </c>
      <c r="F377" s="4" t="s">
        <v>18</v>
      </c>
      <c r="G377" s="5">
        <v>0.1</v>
      </c>
      <c r="H377" s="5">
        <v>0.4</v>
      </c>
      <c r="I377" s="5">
        <v>0.05</v>
      </c>
      <c r="J377" s="6">
        <v>0.63934426229508201</v>
      </c>
      <c r="K377" s="6">
        <v>0.77307692307692299</v>
      </c>
      <c r="L377" s="6">
        <v>0.64007183667388168</v>
      </c>
      <c r="M377" s="4" t="s">
        <v>129</v>
      </c>
      <c r="N377" s="4">
        <v>9.6570716109835739E-2</v>
      </c>
      <c r="O377" s="4">
        <v>0</v>
      </c>
    </row>
    <row r="378" spans="1:15" x14ac:dyDescent="0.3">
      <c r="A378" s="4">
        <v>377</v>
      </c>
      <c r="B378" s="4">
        <v>377000</v>
      </c>
      <c r="C378" s="4" t="s">
        <v>163</v>
      </c>
      <c r="D378" s="4" t="s">
        <v>16</v>
      </c>
      <c r="E378" s="4" t="s">
        <v>17</v>
      </c>
      <c r="F378" s="4" t="s">
        <v>18</v>
      </c>
      <c r="G378" s="5">
        <v>0.1</v>
      </c>
      <c r="H378" s="5">
        <v>0.4</v>
      </c>
      <c r="I378" s="5">
        <v>0.05</v>
      </c>
      <c r="J378" s="6">
        <v>0.63934426229508201</v>
      </c>
      <c r="K378" s="6">
        <v>0.77461538461538437</v>
      </c>
      <c r="L378" s="6">
        <v>0.64060484087471437</v>
      </c>
      <c r="M378" s="4" t="s">
        <v>156</v>
      </c>
      <c r="N378" s="4">
        <v>9.9336006795498699E-2</v>
      </c>
      <c r="O378" s="4">
        <v>0</v>
      </c>
    </row>
    <row r="379" spans="1:15" x14ac:dyDescent="0.3">
      <c r="A379" s="4">
        <v>378</v>
      </c>
      <c r="B379" s="4">
        <v>378000</v>
      </c>
      <c r="C379" s="4" t="s">
        <v>163</v>
      </c>
      <c r="D379" s="4" t="s">
        <v>16</v>
      </c>
      <c r="E379" s="4" t="s">
        <v>17</v>
      </c>
      <c r="F379" s="4" t="s">
        <v>18</v>
      </c>
      <c r="G379" s="5">
        <v>0.1</v>
      </c>
      <c r="H379" s="5">
        <v>0.4</v>
      </c>
      <c r="I379" s="5">
        <v>0.05</v>
      </c>
      <c r="J379" s="6">
        <v>0.66101694915254239</v>
      </c>
      <c r="K379" s="6">
        <v>0.7851282051282048</v>
      </c>
      <c r="L379" s="6">
        <v>0.63750705414271192</v>
      </c>
      <c r="M379" s="4" t="s">
        <v>156</v>
      </c>
      <c r="N379" s="4">
        <v>9.8720422096618549E-2</v>
      </c>
      <c r="O379" s="4">
        <v>0</v>
      </c>
    </row>
    <row r="380" spans="1:15" x14ac:dyDescent="0.3">
      <c r="A380" s="4">
        <v>379</v>
      </c>
      <c r="B380" s="4">
        <v>379000</v>
      </c>
      <c r="C380" s="4" t="s">
        <v>163</v>
      </c>
      <c r="D380" s="4" t="s">
        <v>16</v>
      </c>
      <c r="E380" s="4" t="s">
        <v>17</v>
      </c>
      <c r="F380" s="4" t="s">
        <v>18</v>
      </c>
      <c r="G380" s="5">
        <v>0.1</v>
      </c>
      <c r="H380" s="5">
        <v>0.4</v>
      </c>
      <c r="I380" s="5">
        <v>0.05</v>
      </c>
      <c r="J380" s="6">
        <v>0.65</v>
      </c>
      <c r="K380" s="6">
        <v>0.78589743589743566</v>
      </c>
      <c r="L380" s="6">
        <v>0.64188022246081411</v>
      </c>
      <c r="M380" s="4" t="s">
        <v>160</v>
      </c>
      <c r="N380" s="4">
        <v>9.9688697662211709E-2</v>
      </c>
      <c r="O380" s="4">
        <v>0</v>
      </c>
    </row>
    <row r="381" spans="1:15" x14ac:dyDescent="0.3">
      <c r="A381" s="4">
        <v>380</v>
      </c>
      <c r="B381" s="4">
        <v>380000</v>
      </c>
      <c r="C381" s="4" t="s">
        <v>163</v>
      </c>
      <c r="D381" s="4" t="s">
        <v>16</v>
      </c>
      <c r="E381" s="4" t="s">
        <v>17</v>
      </c>
      <c r="F381" s="4" t="s">
        <v>18</v>
      </c>
      <c r="G381" s="5">
        <v>0.1</v>
      </c>
      <c r="H381" s="5">
        <v>0.4</v>
      </c>
      <c r="I381" s="5">
        <v>0.05</v>
      </c>
      <c r="J381" s="6">
        <v>0.66666666666666663</v>
      </c>
      <c r="K381" s="6">
        <v>0.78774999999999984</v>
      </c>
      <c r="L381" s="6">
        <v>0.68268836070446259</v>
      </c>
      <c r="M381" s="4" t="s">
        <v>156</v>
      </c>
      <c r="N381" s="4">
        <v>9.9250460907746349E-2</v>
      </c>
      <c r="O381" s="4">
        <v>0</v>
      </c>
    </row>
    <row r="382" spans="1:15" x14ac:dyDescent="0.3">
      <c r="A382" s="4">
        <v>381</v>
      </c>
      <c r="B382" s="4">
        <v>381000</v>
      </c>
      <c r="C382" s="4" t="s">
        <v>163</v>
      </c>
      <c r="D382" s="4" t="s">
        <v>16</v>
      </c>
      <c r="E382" s="4" t="s">
        <v>17</v>
      </c>
      <c r="F382" s="4" t="s">
        <v>18</v>
      </c>
      <c r="G382" s="5">
        <v>0.1</v>
      </c>
      <c r="H382" s="5">
        <v>0.4</v>
      </c>
      <c r="I382" s="5">
        <v>0.05</v>
      </c>
      <c r="J382" s="6">
        <v>0.66101694915254239</v>
      </c>
      <c r="K382" s="6">
        <v>0.78435897435897428</v>
      </c>
      <c r="L382" s="6">
        <v>0.64618606406436663</v>
      </c>
      <c r="M382" s="4" t="s">
        <v>129</v>
      </c>
      <c r="N382" s="4">
        <v>9.6709435142421307E-2</v>
      </c>
      <c r="O382" s="4">
        <v>0</v>
      </c>
    </row>
    <row r="383" spans="1:15" x14ac:dyDescent="0.3">
      <c r="A383" s="4">
        <v>382</v>
      </c>
      <c r="B383" s="4">
        <v>382000</v>
      </c>
      <c r="C383" s="4" t="s">
        <v>163</v>
      </c>
      <c r="D383" s="4" t="s">
        <v>16</v>
      </c>
      <c r="E383" s="4" t="s">
        <v>17</v>
      </c>
      <c r="F383" s="4" t="s">
        <v>18</v>
      </c>
      <c r="G383" s="5">
        <v>0.1</v>
      </c>
      <c r="H383" s="5">
        <v>0.4</v>
      </c>
      <c r="I383" s="5">
        <v>0.05</v>
      </c>
      <c r="J383" s="6">
        <v>0.66101694915254239</v>
      </c>
      <c r="K383" s="6">
        <v>0.78333333333333321</v>
      </c>
      <c r="L383" s="6">
        <v>0.64546136147508648</v>
      </c>
      <c r="M383" s="4" t="s">
        <v>78</v>
      </c>
      <c r="N383" s="4">
        <v>9.6395800927672345E-2</v>
      </c>
      <c r="O383" s="4">
        <v>0</v>
      </c>
    </row>
    <row r="384" spans="1:15" x14ac:dyDescent="0.3">
      <c r="A384" s="4">
        <v>383</v>
      </c>
      <c r="B384" s="4">
        <v>383000</v>
      </c>
      <c r="C384" s="4" t="s">
        <v>163</v>
      </c>
      <c r="D384" s="4" t="s">
        <v>16</v>
      </c>
      <c r="E384" s="4" t="s">
        <v>17</v>
      </c>
      <c r="F384" s="4" t="s">
        <v>18</v>
      </c>
      <c r="G384" s="5">
        <v>0.1</v>
      </c>
      <c r="H384" s="5">
        <v>0.4</v>
      </c>
      <c r="I384" s="5">
        <v>0.05</v>
      </c>
      <c r="J384" s="6">
        <v>0.67796610169491522</v>
      </c>
      <c r="K384" s="6">
        <v>0.78524999999999989</v>
      </c>
      <c r="L384" s="6">
        <v>0.68458612041015443</v>
      </c>
      <c r="M384" s="4" t="s">
        <v>129</v>
      </c>
      <c r="N384" s="4">
        <v>9.679626729839326E-2</v>
      </c>
      <c r="O384" s="4">
        <v>0</v>
      </c>
    </row>
    <row r="385" spans="1:15" x14ac:dyDescent="0.3">
      <c r="A385" s="4">
        <v>384</v>
      </c>
      <c r="B385" s="4">
        <v>384000</v>
      </c>
      <c r="C385" s="4" t="s">
        <v>163</v>
      </c>
      <c r="D385" s="4" t="s">
        <v>16</v>
      </c>
      <c r="E385" s="4" t="s">
        <v>17</v>
      </c>
      <c r="F385" s="4" t="s">
        <v>18</v>
      </c>
      <c r="G385" s="5">
        <v>0.1</v>
      </c>
      <c r="H385" s="5">
        <v>0.4</v>
      </c>
      <c r="I385" s="5">
        <v>0.05</v>
      </c>
      <c r="J385" s="6">
        <v>0.68333333333333335</v>
      </c>
      <c r="K385" s="6">
        <v>0.78024390243902431</v>
      </c>
      <c r="L385" s="6">
        <v>0.68734582693431001</v>
      </c>
      <c r="M385" s="4" t="s">
        <v>154</v>
      </c>
      <c r="N385" s="4">
        <v>9.8303496710009236E-2</v>
      </c>
      <c r="O385" s="4">
        <v>0</v>
      </c>
    </row>
    <row r="386" spans="1:15" x14ac:dyDescent="0.3">
      <c r="A386" s="4">
        <v>385</v>
      </c>
      <c r="B386" s="4">
        <v>385000</v>
      </c>
      <c r="C386" s="4" t="s">
        <v>163</v>
      </c>
      <c r="D386" s="4" t="s">
        <v>16</v>
      </c>
      <c r="E386" s="4" t="s">
        <v>17</v>
      </c>
      <c r="F386" s="4" t="s">
        <v>18</v>
      </c>
      <c r="G386" s="5">
        <v>0.1</v>
      </c>
      <c r="H386" s="5">
        <v>0.4</v>
      </c>
      <c r="I386" s="5">
        <v>0.05</v>
      </c>
      <c r="J386" s="6">
        <v>0.68333333333333335</v>
      </c>
      <c r="K386" s="6">
        <v>0.77951219512195102</v>
      </c>
      <c r="L386" s="6">
        <v>0.68619953163866843</v>
      </c>
      <c r="M386" s="4" t="s">
        <v>160</v>
      </c>
      <c r="N386" s="4">
        <v>0.1002608887235934</v>
      </c>
      <c r="O386" s="4">
        <v>0</v>
      </c>
    </row>
    <row r="387" spans="1:15" x14ac:dyDescent="0.3">
      <c r="A387" s="4">
        <v>386</v>
      </c>
      <c r="B387" s="4">
        <v>386000</v>
      </c>
      <c r="C387" s="4" t="s">
        <v>163</v>
      </c>
      <c r="D387" s="4" t="s">
        <v>16</v>
      </c>
      <c r="E387" s="4" t="s">
        <v>17</v>
      </c>
      <c r="F387" s="4" t="s">
        <v>18</v>
      </c>
      <c r="G387" s="5">
        <v>0.1</v>
      </c>
      <c r="H387" s="5">
        <v>0.4</v>
      </c>
      <c r="I387" s="5">
        <v>0.05</v>
      </c>
      <c r="J387" s="6">
        <v>0.7</v>
      </c>
      <c r="K387" s="6">
        <v>0.7873809523809524</v>
      </c>
      <c r="L387" s="6">
        <v>0.72395699695366644</v>
      </c>
      <c r="M387" s="4" t="s">
        <v>60</v>
      </c>
      <c r="N387" s="4">
        <v>0.10688633280176529</v>
      </c>
      <c r="O387" s="4">
        <v>0</v>
      </c>
    </row>
    <row r="388" spans="1:15" x14ac:dyDescent="0.3">
      <c r="A388" s="4">
        <v>387</v>
      </c>
      <c r="B388" s="4">
        <v>387000</v>
      </c>
      <c r="C388" s="4" t="s">
        <v>163</v>
      </c>
      <c r="D388" s="4" t="s">
        <v>16</v>
      </c>
      <c r="E388" s="4" t="s">
        <v>17</v>
      </c>
      <c r="F388" s="4" t="s">
        <v>18</v>
      </c>
      <c r="G388" s="5">
        <v>0.1</v>
      </c>
      <c r="H388" s="5">
        <v>0.4</v>
      </c>
      <c r="I388" s="5">
        <v>0.05</v>
      </c>
      <c r="J388" s="6">
        <v>0.7</v>
      </c>
      <c r="K388" s="6">
        <v>0.78333333333333333</v>
      </c>
      <c r="L388" s="6">
        <v>0.72568110351195847</v>
      </c>
      <c r="M388" s="4" t="s">
        <v>93</v>
      </c>
      <c r="N388" s="4">
        <v>0.10544621484760459</v>
      </c>
      <c r="O388" s="4">
        <v>0</v>
      </c>
    </row>
    <row r="389" spans="1:15" x14ac:dyDescent="0.3">
      <c r="A389" s="4">
        <v>388</v>
      </c>
      <c r="B389" s="4">
        <v>388000</v>
      </c>
      <c r="C389" s="4" t="s">
        <v>163</v>
      </c>
      <c r="D389" s="4" t="s">
        <v>16</v>
      </c>
      <c r="E389" s="4" t="s">
        <v>17</v>
      </c>
      <c r="F389" s="4" t="s">
        <v>18</v>
      </c>
      <c r="G389" s="5">
        <v>0.1</v>
      </c>
      <c r="H389" s="5">
        <v>0.4</v>
      </c>
      <c r="I389" s="5">
        <v>0.05</v>
      </c>
      <c r="J389" s="6">
        <v>0.68333333333333335</v>
      </c>
      <c r="K389" s="6">
        <v>0.77658536585365834</v>
      </c>
      <c r="L389" s="6">
        <v>0.69428529677866746</v>
      </c>
      <c r="M389" s="4" t="s">
        <v>136</v>
      </c>
      <c r="N389" s="4">
        <v>0.1055210546534622</v>
      </c>
      <c r="O389" s="4">
        <v>0</v>
      </c>
    </row>
    <row r="390" spans="1:15" x14ac:dyDescent="0.3">
      <c r="A390" s="4">
        <v>389</v>
      </c>
      <c r="B390" s="4">
        <v>389000</v>
      </c>
      <c r="C390" s="4" t="s">
        <v>163</v>
      </c>
      <c r="D390" s="4" t="s">
        <v>16</v>
      </c>
      <c r="E390" s="4" t="s">
        <v>17</v>
      </c>
      <c r="F390" s="4" t="s">
        <v>18</v>
      </c>
      <c r="G390" s="5">
        <v>0.1</v>
      </c>
      <c r="H390" s="5">
        <v>0.4</v>
      </c>
      <c r="I390" s="5">
        <v>0.05</v>
      </c>
      <c r="J390" s="6">
        <v>0.67796610169491522</v>
      </c>
      <c r="K390" s="6">
        <v>0.78124999999999989</v>
      </c>
      <c r="L390" s="6">
        <v>0.68586701473122502</v>
      </c>
      <c r="M390" s="4" t="s">
        <v>160</v>
      </c>
      <c r="N390" s="4">
        <v>0.1004547437020387</v>
      </c>
      <c r="O390" s="4">
        <v>0</v>
      </c>
    </row>
    <row r="391" spans="1:15" x14ac:dyDescent="0.3">
      <c r="A391" s="4">
        <v>390</v>
      </c>
      <c r="B391" s="4">
        <v>390000</v>
      </c>
      <c r="C391" s="4" t="s">
        <v>163</v>
      </c>
      <c r="D391" s="4" t="s">
        <v>16</v>
      </c>
      <c r="E391" s="4" t="s">
        <v>17</v>
      </c>
      <c r="F391" s="4" t="s">
        <v>18</v>
      </c>
      <c r="G391" s="5">
        <v>0.1</v>
      </c>
      <c r="H391" s="5">
        <v>0.4</v>
      </c>
      <c r="I391" s="5">
        <v>0.05</v>
      </c>
      <c r="J391" s="6">
        <v>0.68852459016393441</v>
      </c>
      <c r="K391" s="6">
        <v>0.77333333333333321</v>
      </c>
      <c r="L391" s="6">
        <v>0.67310413493293919</v>
      </c>
      <c r="M391" s="4" t="s">
        <v>160</v>
      </c>
      <c r="N391" s="4">
        <v>0.1000760988644824</v>
      </c>
      <c r="O391" s="4">
        <v>0</v>
      </c>
    </row>
    <row r="392" spans="1:15" x14ac:dyDescent="0.3">
      <c r="A392" s="4">
        <v>391</v>
      </c>
      <c r="B392" s="4">
        <v>391000</v>
      </c>
      <c r="C392" s="4" t="s">
        <v>163</v>
      </c>
      <c r="D392" s="4" t="s">
        <v>16</v>
      </c>
      <c r="E392" s="4" t="s">
        <v>17</v>
      </c>
      <c r="F392" s="4" t="s">
        <v>18</v>
      </c>
      <c r="G392" s="5">
        <v>0.1</v>
      </c>
      <c r="H392" s="5">
        <v>0.4</v>
      </c>
      <c r="I392" s="5">
        <v>0.05</v>
      </c>
      <c r="J392" s="6">
        <v>0.68333333333333335</v>
      </c>
      <c r="K392" s="6">
        <v>0.7880487804878048</v>
      </c>
      <c r="L392" s="6">
        <v>0.67384533880303565</v>
      </c>
      <c r="M392" s="4" t="s">
        <v>78</v>
      </c>
      <c r="N392" s="4">
        <v>9.629864293702492E-2</v>
      </c>
      <c r="O392" s="4">
        <v>0</v>
      </c>
    </row>
    <row r="393" spans="1:15" x14ac:dyDescent="0.3">
      <c r="A393" s="4">
        <v>392</v>
      </c>
      <c r="B393" s="4">
        <v>392000</v>
      </c>
      <c r="C393" s="4" t="s">
        <v>163</v>
      </c>
      <c r="D393" s="4" t="s">
        <v>16</v>
      </c>
      <c r="E393" s="4" t="s">
        <v>17</v>
      </c>
      <c r="F393" s="4" t="s">
        <v>18</v>
      </c>
      <c r="G393" s="5">
        <v>0.1</v>
      </c>
      <c r="H393" s="5">
        <v>0.4</v>
      </c>
      <c r="I393" s="5">
        <v>0.05</v>
      </c>
      <c r="J393" s="6">
        <v>0.67796610169491522</v>
      </c>
      <c r="K393" s="6">
        <v>0.78524999999999989</v>
      </c>
      <c r="L393" s="6">
        <v>0.65909410790412082</v>
      </c>
      <c r="M393" s="4" t="s">
        <v>39</v>
      </c>
      <c r="N393" s="4">
        <v>9.3459885264362427E-2</v>
      </c>
      <c r="O393" s="4">
        <v>0</v>
      </c>
    </row>
    <row r="394" spans="1:15" x14ac:dyDescent="0.3">
      <c r="A394" s="4">
        <v>393</v>
      </c>
      <c r="B394" s="4">
        <v>393000</v>
      </c>
      <c r="C394" s="4" t="s">
        <v>163</v>
      </c>
      <c r="D394" s="4" t="s">
        <v>16</v>
      </c>
      <c r="E394" s="4" t="s">
        <v>17</v>
      </c>
      <c r="F394" s="4" t="s">
        <v>18</v>
      </c>
      <c r="G394" s="5">
        <v>0.1</v>
      </c>
      <c r="H394" s="5">
        <v>0.4</v>
      </c>
      <c r="I394" s="5">
        <v>0.05</v>
      </c>
      <c r="J394" s="6">
        <v>0.68965517241379315</v>
      </c>
      <c r="K394" s="6">
        <v>0.78924999999999979</v>
      </c>
      <c r="L394" s="6">
        <v>0.65214560932001597</v>
      </c>
      <c r="M394" s="4" t="s">
        <v>22</v>
      </c>
      <c r="N394" s="4">
        <v>9.4190904465548106E-2</v>
      </c>
      <c r="O394" s="4">
        <v>0</v>
      </c>
    </row>
    <row r="395" spans="1:15" x14ac:dyDescent="0.3">
      <c r="A395" s="4">
        <v>394</v>
      </c>
      <c r="B395" s="4">
        <v>394000</v>
      </c>
      <c r="C395" s="4" t="s">
        <v>163</v>
      </c>
      <c r="D395" s="4" t="s">
        <v>16</v>
      </c>
      <c r="E395" s="4" t="s">
        <v>17</v>
      </c>
      <c r="F395" s="4" t="s">
        <v>18</v>
      </c>
      <c r="G395" s="5">
        <v>0.1</v>
      </c>
      <c r="H395" s="5">
        <v>0.4</v>
      </c>
      <c r="I395" s="5">
        <v>0.05</v>
      </c>
      <c r="J395" s="6">
        <v>0.66101694915254239</v>
      </c>
      <c r="K395" s="6">
        <v>0.78461538461538449</v>
      </c>
      <c r="L395" s="6">
        <v>0.67707835040705888</v>
      </c>
      <c r="M395" s="4" t="s">
        <v>22</v>
      </c>
      <c r="N395" s="4">
        <v>9.3738445586726282E-2</v>
      </c>
      <c r="O395" s="4">
        <v>0</v>
      </c>
    </row>
    <row r="396" spans="1:15" x14ac:dyDescent="0.3">
      <c r="A396" s="4">
        <v>395</v>
      </c>
      <c r="B396" s="4">
        <v>395000</v>
      </c>
      <c r="C396" s="4" t="s">
        <v>163</v>
      </c>
      <c r="D396" s="4" t="s">
        <v>16</v>
      </c>
      <c r="E396" s="4" t="s">
        <v>17</v>
      </c>
      <c r="F396" s="4" t="s">
        <v>18</v>
      </c>
      <c r="G396" s="5">
        <v>0.1</v>
      </c>
      <c r="H396" s="5">
        <v>0.4</v>
      </c>
      <c r="I396" s="5">
        <v>0.05</v>
      </c>
      <c r="J396" s="6">
        <v>0.66101694915254239</v>
      </c>
      <c r="K396" s="6">
        <v>0.7782051282051281</v>
      </c>
      <c r="L396" s="6">
        <v>0.64405684554543718</v>
      </c>
      <c r="M396" s="4" t="s">
        <v>73</v>
      </c>
      <c r="N396" s="4">
        <v>9.1683396148126831E-2</v>
      </c>
      <c r="O396" s="4">
        <v>0</v>
      </c>
    </row>
    <row r="397" spans="1:15" x14ac:dyDescent="0.3">
      <c r="A397" s="4">
        <v>396</v>
      </c>
      <c r="B397" s="4">
        <v>396000</v>
      </c>
      <c r="C397" s="4" t="s">
        <v>163</v>
      </c>
      <c r="D397" s="4" t="s">
        <v>16</v>
      </c>
      <c r="E397" s="4" t="s">
        <v>17</v>
      </c>
      <c r="F397" s="4" t="s">
        <v>18</v>
      </c>
      <c r="G397" s="5">
        <v>0.1</v>
      </c>
      <c r="H397" s="5">
        <v>0.4</v>
      </c>
      <c r="I397" s="5">
        <v>0.05</v>
      </c>
      <c r="J397" s="6">
        <v>0.66101694915254239</v>
      </c>
      <c r="K397" s="6">
        <v>0.77897435897435874</v>
      </c>
      <c r="L397" s="6">
        <v>0.64436941644461232</v>
      </c>
      <c r="M397" s="4" t="s">
        <v>73</v>
      </c>
      <c r="N397" s="4">
        <v>9.2129217499314658E-2</v>
      </c>
      <c r="O397" s="4">
        <v>0</v>
      </c>
    </row>
    <row r="398" spans="1:15" x14ac:dyDescent="0.3">
      <c r="A398" s="4">
        <v>397</v>
      </c>
      <c r="B398" s="4">
        <v>397000</v>
      </c>
      <c r="C398" s="4" t="s">
        <v>163</v>
      </c>
      <c r="D398" s="4" t="s">
        <v>16</v>
      </c>
      <c r="E398" s="4" t="s">
        <v>17</v>
      </c>
      <c r="F398" s="4" t="s">
        <v>18</v>
      </c>
      <c r="G398" s="5">
        <v>0.1</v>
      </c>
      <c r="H398" s="5">
        <v>0.4</v>
      </c>
      <c r="I398" s="5">
        <v>0.05</v>
      </c>
      <c r="J398" s="6">
        <v>0.67796610169491522</v>
      </c>
      <c r="K398" s="6">
        <v>0.77649999999999986</v>
      </c>
      <c r="L398" s="6">
        <v>0.67997449468181992</v>
      </c>
      <c r="M398" s="4" t="s">
        <v>74</v>
      </c>
      <c r="N398" s="4">
        <v>8.8681977561082162E-2</v>
      </c>
      <c r="O398" s="4">
        <v>0</v>
      </c>
    </row>
    <row r="399" spans="1:15" x14ac:dyDescent="0.3">
      <c r="A399" s="4">
        <v>398</v>
      </c>
      <c r="B399" s="4">
        <v>398000</v>
      </c>
      <c r="C399" s="4" t="s">
        <v>163</v>
      </c>
      <c r="D399" s="4" t="s">
        <v>16</v>
      </c>
      <c r="E399" s="4" t="s">
        <v>17</v>
      </c>
      <c r="F399" s="4" t="s">
        <v>18</v>
      </c>
      <c r="G399" s="5">
        <v>0.1</v>
      </c>
      <c r="H399" s="5">
        <v>0.4</v>
      </c>
      <c r="I399" s="5">
        <v>0.05</v>
      </c>
      <c r="J399" s="6">
        <v>0.68965517241379315</v>
      </c>
      <c r="K399" s="6">
        <v>0.77499999999999991</v>
      </c>
      <c r="L399" s="6">
        <v>0.68115521909313392</v>
      </c>
      <c r="M399" s="4" t="s">
        <v>49</v>
      </c>
      <c r="N399" s="4">
        <v>9.0419865047754983E-2</v>
      </c>
      <c r="O399" s="4">
        <v>0</v>
      </c>
    </row>
    <row r="400" spans="1:15" x14ac:dyDescent="0.3">
      <c r="A400" s="4">
        <v>399</v>
      </c>
      <c r="B400" s="4">
        <v>399000</v>
      </c>
      <c r="C400" s="4" t="s">
        <v>163</v>
      </c>
      <c r="D400" s="4" t="s">
        <v>16</v>
      </c>
      <c r="E400" s="4" t="s">
        <v>17</v>
      </c>
      <c r="F400" s="4" t="s">
        <v>18</v>
      </c>
      <c r="G400" s="5">
        <v>0.1</v>
      </c>
      <c r="H400" s="5">
        <v>0.4</v>
      </c>
      <c r="I400" s="5">
        <v>0.05</v>
      </c>
      <c r="J400" s="6">
        <v>0.68333333333333335</v>
      </c>
      <c r="K400" s="6">
        <v>0.76292682926829269</v>
      </c>
      <c r="L400" s="6">
        <v>0.6717258209126391</v>
      </c>
      <c r="M400" s="4" t="s">
        <v>118</v>
      </c>
      <c r="N400" s="4">
        <v>8.7160065323925326E-2</v>
      </c>
      <c r="O400" s="4">
        <v>0</v>
      </c>
    </row>
    <row r="401" spans="1:15" x14ac:dyDescent="0.3">
      <c r="A401" s="4">
        <v>400</v>
      </c>
      <c r="B401" s="4">
        <v>400000</v>
      </c>
      <c r="C401" s="4" t="s">
        <v>163</v>
      </c>
      <c r="D401" s="4" t="s">
        <v>16</v>
      </c>
      <c r="E401" s="4" t="s">
        <v>17</v>
      </c>
      <c r="F401" s="4" t="s">
        <v>18</v>
      </c>
      <c r="G401" s="5">
        <v>0.1</v>
      </c>
      <c r="H401" s="5">
        <v>0.4</v>
      </c>
      <c r="I401" s="5">
        <v>0.05</v>
      </c>
      <c r="J401" s="6">
        <v>0.64516129032258063</v>
      </c>
      <c r="K401" s="6">
        <v>0.75824999999999998</v>
      </c>
      <c r="L401" s="6">
        <v>0.69001219729031649</v>
      </c>
      <c r="M401" s="4" t="s">
        <v>50</v>
      </c>
      <c r="N401" s="4">
        <v>8.4706895831074533E-2</v>
      </c>
      <c r="O401" s="4">
        <v>0</v>
      </c>
    </row>
    <row r="402" spans="1:15" x14ac:dyDescent="0.3">
      <c r="A402" s="4">
        <v>401</v>
      </c>
      <c r="B402" s="4">
        <v>401000</v>
      </c>
      <c r="C402" s="4" t="s">
        <v>163</v>
      </c>
      <c r="D402" s="4" t="s">
        <v>16</v>
      </c>
      <c r="E402" s="4" t="s">
        <v>17</v>
      </c>
      <c r="F402" s="4" t="s">
        <v>18</v>
      </c>
      <c r="G402" s="5">
        <v>0.1</v>
      </c>
      <c r="H402" s="5">
        <v>0.4</v>
      </c>
      <c r="I402" s="5">
        <v>0.05</v>
      </c>
      <c r="J402" s="6">
        <v>0.625</v>
      </c>
      <c r="K402" s="6">
        <v>0.75149999999999983</v>
      </c>
      <c r="L402" s="6">
        <v>0.68959884723897136</v>
      </c>
      <c r="M402" s="4" t="s">
        <v>74</v>
      </c>
      <c r="N402" s="4">
        <v>8.8915911503275866E-2</v>
      </c>
      <c r="O402" s="4">
        <v>0</v>
      </c>
    </row>
    <row r="403" spans="1:15" x14ac:dyDescent="0.3">
      <c r="A403" s="4">
        <v>402</v>
      </c>
      <c r="B403" s="4">
        <v>402000</v>
      </c>
      <c r="C403" s="4" t="s">
        <v>163</v>
      </c>
      <c r="D403" s="4" t="s">
        <v>16</v>
      </c>
      <c r="E403" s="4" t="s">
        <v>17</v>
      </c>
      <c r="F403" s="4" t="s">
        <v>18</v>
      </c>
      <c r="G403" s="5">
        <v>0.1</v>
      </c>
      <c r="H403" s="5">
        <v>0.4</v>
      </c>
      <c r="I403" s="5">
        <v>0.05</v>
      </c>
      <c r="J403" s="6">
        <v>0.63076923076923075</v>
      </c>
      <c r="K403" s="6">
        <v>0.74536585365853647</v>
      </c>
      <c r="L403" s="6">
        <v>0.69468666821010194</v>
      </c>
      <c r="M403" s="4" t="s">
        <v>74</v>
      </c>
      <c r="N403" s="4">
        <v>8.9469812895236131E-2</v>
      </c>
      <c r="O403" s="4">
        <v>0</v>
      </c>
    </row>
    <row r="404" spans="1:15" x14ac:dyDescent="0.3">
      <c r="A404" s="4">
        <v>403</v>
      </c>
      <c r="B404" s="4">
        <v>403000</v>
      </c>
      <c r="C404" s="4" t="s">
        <v>163</v>
      </c>
      <c r="D404" s="4" t="s">
        <v>16</v>
      </c>
      <c r="E404" s="4" t="s">
        <v>17</v>
      </c>
      <c r="F404" s="4" t="s">
        <v>18</v>
      </c>
      <c r="G404" s="5">
        <v>0.1</v>
      </c>
      <c r="H404" s="5">
        <v>0.4</v>
      </c>
      <c r="I404" s="5">
        <v>0.05</v>
      </c>
      <c r="J404" s="6">
        <v>0.62121212121212122</v>
      </c>
      <c r="K404" s="6">
        <v>0.74341463414634135</v>
      </c>
      <c r="L404" s="6">
        <v>0.69050237639057022</v>
      </c>
      <c r="M404" s="4" t="s">
        <v>22</v>
      </c>
      <c r="N404" s="4">
        <v>9.3755003848717725E-2</v>
      </c>
      <c r="O404" s="4">
        <v>0</v>
      </c>
    </row>
    <row r="405" spans="1:15" x14ac:dyDescent="0.3">
      <c r="A405" s="4">
        <v>404</v>
      </c>
      <c r="B405" s="4">
        <v>404000</v>
      </c>
      <c r="C405" s="4" t="s">
        <v>163</v>
      </c>
      <c r="D405" s="4" t="s">
        <v>16</v>
      </c>
      <c r="E405" s="4" t="s">
        <v>17</v>
      </c>
      <c r="F405" s="4" t="s">
        <v>18</v>
      </c>
      <c r="G405" s="5">
        <v>0.1</v>
      </c>
      <c r="H405" s="5">
        <v>0.4</v>
      </c>
      <c r="I405" s="5">
        <v>0.05</v>
      </c>
      <c r="J405" s="6">
        <v>0.62121212121212122</v>
      </c>
      <c r="K405" s="6">
        <v>0.74878048780487805</v>
      </c>
      <c r="L405" s="6">
        <v>0.67808518150142649</v>
      </c>
      <c r="M405" s="4" t="s">
        <v>154</v>
      </c>
      <c r="N405" s="4">
        <v>9.8025144797205088E-2</v>
      </c>
      <c r="O405" s="4">
        <v>0</v>
      </c>
    </row>
    <row r="406" spans="1:15" x14ac:dyDescent="0.3">
      <c r="A406" s="4">
        <v>405</v>
      </c>
      <c r="B406" s="4">
        <v>405000</v>
      </c>
      <c r="C406" s="4" t="s">
        <v>163</v>
      </c>
      <c r="D406" s="4" t="s">
        <v>16</v>
      </c>
      <c r="E406" s="4" t="s">
        <v>17</v>
      </c>
      <c r="F406" s="4" t="s">
        <v>18</v>
      </c>
      <c r="G406" s="5">
        <v>0.1</v>
      </c>
      <c r="H406" s="5">
        <v>0.4</v>
      </c>
      <c r="I406" s="5">
        <v>0.05</v>
      </c>
      <c r="J406" s="6">
        <v>0.61538461538461542</v>
      </c>
      <c r="K406" s="6">
        <v>0.76749999999999996</v>
      </c>
      <c r="L406" s="6">
        <v>0.69453080089751695</v>
      </c>
      <c r="M406" s="4" t="s">
        <v>99</v>
      </c>
      <c r="N406" s="4">
        <v>0.1025397342347116</v>
      </c>
      <c r="O406" s="4">
        <v>0</v>
      </c>
    </row>
    <row r="407" spans="1:15" x14ac:dyDescent="0.3">
      <c r="A407" s="4">
        <v>406</v>
      </c>
      <c r="B407" s="4">
        <v>406000</v>
      </c>
      <c r="C407" s="4" t="s">
        <v>163</v>
      </c>
      <c r="D407" s="4" t="s">
        <v>16</v>
      </c>
      <c r="E407" s="4" t="s">
        <v>17</v>
      </c>
      <c r="F407" s="4" t="s">
        <v>18</v>
      </c>
      <c r="G407" s="5">
        <v>0.1</v>
      </c>
      <c r="H407" s="5">
        <v>0.4</v>
      </c>
      <c r="I407" s="5">
        <v>0.05</v>
      </c>
      <c r="J407" s="6">
        <v>0.63076923076923075</v>
      </c>
      <c r="K407" s="6">
        <v>0.75146341463414634</v>
      </c>
      <c r="L407" s="6">
        <v>0.65134622044424395</v>
      </c>
      <c r="M407" s="4" t="s">
        <v>82</v>
      </c>
      <c r="N407" s="4">
        <v>0.1022180754870254</v>
      </c>
      <c r="O407" s="4">
        <v>0</v>
      </c>
    </row>
    <row r="408" spans="1:15" x14ac:dyDescent="0.3">
      <c r="A408" s="4">
        <v>407</v>
      </c>
      <c r="B408" s="4">
        <v>407000</v>
      </c>
      <c r="C408" s="4" t="s">
        <v>163</v>
      </c>
      <c r="D408" s="4" t="s">
        <v>16</v>
      </c>
      <c r="E408" s="4" t="s">
        <v>17</v>
      </c>
      <c r="F408" s="4" t="s">
        <v>18</v>
      </c>
      <c r="G408" s="5">
        <v>0.1</v>
      </c>
      <c r="H408" s="5">
        <v>0.4</v>
      </c>
      <c r="I408" s="5">
        <v>0.05</v>
      </c>
      <c r="J408" s="6">
        <v>0.64615384615384619</v>
      </c>
      <c r="K408" s="6">
        <v>0.75476190476190463</v>
      </c>
      <c r="L408" s="6">
        <v>0.66140807958136016</v>
      </c>
      <c r="M408" s="4" t="s">
        <v>82</v>
      </c>
      <c r="N408" s="4">
        <v>0.10246659214129521</v>
      </c>
      <c r="O408" s="4">
        <v>0</v>
      </c>
    </row>
    <row r="409" spans="1:15" x14ac:dyDescent="0.3">
      <c r="A409" s="4">
        <v>408</v>
      </c>
      <c r="B409" s="4">
        <v>408000</v>
      </c>
      <c r="C409" s="4" t="s">
        <v>163</v>
      </c>
      <c r="D409" s="4" t="s">
        <v>16</v>
      </c>
      <c r="E409" s="4" t="s">
        <v>17</v>
      </c>
      <c r="F409" s="4" t="s">
        <v>18</v>
      </c>
      <c r="G409" s="5">
        <v>0.1</v>
      </c>
      <c r="H409" s="5">
        <v>0.4</v>
      </c>
      <c r="I409" s="5">
        <v>0.05</v>
      </c>
      <c r="J409" s="6">
        <v>0.63636363636363635</v>
      </c>
      <c r="K409" s="6">
        <v>0.75285714285714289</v>
      </c>
      <c r="L409" s="6">
        <v>0.66277048628311663</v>
      </c>
      <c r="M409" s="4" t="s">
        <v>28</v>
      </c>
      <c r="N409" s="4">
        <v>0.10119091920970751</v>
      </c>
      <c r="O409" s="4">
        <v>0</v>
      </c>
    </row>
    <row r="410" spans="1:15" x14ac:dyDescent="0.3">
      <c r="A410" s="4">
        <v>409</v>
      </c>
      <c r="B410" s="4">
        <v>409000</v>
      </c>
      <c r="C410" s="4" t="s">
        <v>163</v>
      </c>
      <c r="D410" s="4" t="s">
        <v>16</v>
      </c>
      <c r="E410" s="4" t="s">
        <v>17</v>
      </c>
      <c r="F410" s="4" t="s">
        <v>18</v>
      </c>
      <c r="G410" s="5">
        <v>0.1</v>
      </c>
      <c r="H410" s="5">
        <v>0.4</v>
      </c>
      <c r="I410" s="5">
        <v>0.05</v>
      </c>
      <c r="J410" s="6">
        <v>0.65151515151515149</v>
      </c>
      <c r="K410" s="6">
        <v>0.7432558139534885</v>
      </c>
      <c r="L410" s="6">
        <v>0.64106046082980572</v>
      </c>
      <c r="M410" s="4" t="s">
        <v>28</v>
      </c>
      <c r="N410" s="4">
        <v>0.1014510229617302</v>
      </c>
      <c r="O410" s="4">
        <v>0</v>
      </c>
    </row>
    <row r="411" spans="1:15" x14ac:dyDescent="0.3">
      <c r="A411" s="4">
        <v>410</v>
      </c>
      <c r="B411" s="4">
        <v>410000</v>
      </c>
      <c r="C411" s="4" t="s">
        <v>163</v>
      </c>
      <c r="D411" s="4" t="s">
        <v>16</v>
      </c>
      <c r="E411" s="4" t="s">
        <v>17</v>
      </c>
      <c r="F411" s="4" t="s">
        <v>18</v>
      </c>
      <c r="G411" s="5">
        <v>0.1</v>
      </c>
      <c r="H411" s="5">
        <v>0.4</v>
      </c>
      <c r="I411" s="5">
        <v>0.05</v>
      </c>
      <c r="J411" s="6">
        <v>0.609375</v>
      </c>
      <c r="K411" s="6">
        <v>0.75589743589743585</v>
      </c>
      <c r="L411" s="6">
        <v>0.64782737716937633</v>
      </c>
      <c r="M411" s="4" t="s">
        <v>99</v>
      </c>
      <c r="N411" s="4">
        <v>0.1025725963635334</v>
      </c>
      <c r="O411" s="4">
        <v>0</v>
      </c>
    </row>
    <row r="412" spans="1:15" x14ac:dyDescent="0.3">
      <c r="A412" s="4">
        <v>411</v>
      </c>
      <c r="B412" s="4">
        <v>411000</v>
      </c>
      <c r="C412" s="4" t="s">
        <v>163</v>
      </c>
      <c r="D412" s="4" t="s">
        <v>16</v>
      </c>
      <c r="E412" s="4" t="s">
        <v>17</v>
      </c>
      <c r="F412" s="4" t="s">
        <v>18</v>
      </c>
      <c r="G412" s="5">
        <v>0.1</v>
      </c>
      <c r="H412" s="5">
        <v>0.4</v>
      </c>
      <c r="I412" s="5">
        <v>0.05</v>
      </c>
      <c r="J412" s="6">
        <v>0.61538461538461542</v>
      </c>
      <c r="K412" s="6">
        <v>0.74624999999999986</v>
      </c>
      <c r="L412" s="6">
        <v>0.65428614019849629</v>
      </c>
      <c r="M412" s="4" t="s">
        <v>160</v>
      </c>
      <c r="N412" s="4">
        <v>9.9803080898344623E-2</v>
      </c>
      <c r="O412" s="4">
        <v>0</v>
      </c>
    </row>
    <row r="413" spans="1:15" x14ac:dyDescent="0.3">
      <c r="A413" s="4">
        <v>412</v>
      </c>
      <c r="B413" s="4">
        <v>412000</v>
      </c>
      <c r="C413" s="4" t="s">
        <v>163</v>
      </c>
      <c r="D413" s="4" t="s">
        <v>16</v>
      </c>
      <c r="E413" s="4" t="s">
        <v>17</v>
      </c>
      <c r="F413" s="4" t="s">
        <v>18</v>
      </c>
      <c r="G413" s="5">
        <v>0.1</v>
      </c>
      <c r="H413" s="5">
        <v>0.4</v>
      </c>
      <c r="I413" s="5">
        <v>0.05</v>
      </c>
      <c r="J413" s="6">
        <v>0.61538461538461542</v>
      </c>
      <c r="K413" s="6">
        <v>0.7467499999999998</v>
      </c>
      <c r="L413" s="6">
        <v>0.65860060156869327</v>
      </c>
      <c r="M413" s="4" t="s">
        <v>160</v>
      </c>
      <c r="N413" s="4">
        <v>9.9639810052900485E-2</v>
      </c>
      <c r="O413" s="4">
        <v>0</v>
      </c>
    </row>
    <row r="414" spans="1:15" x14ac:dyDescent="0.3">
      <c r="A414" s="4">
        <v>413</v>
      </c>
      <c r="B414" s="4">
        <v>413000</v>
      </c>
      <c r="C414" s="4" t="s">
        <v>163</v>
      </c>
      <c r="D414" s="4" t="s">
        <v>16</v>
      </c>
      <c r="E414" s="4" t="s">
        <v>17</v>
      </c>
      <c r="F414" s="4" t="s">
        <v>18</v>
      </c>
      <c r="G414" s="5">
        <v>0.1</v>
      </c>
      <c r="H414" s="5">
        <v>0.4</v>
      </c>
      <c r="I414" s="5">
        <v>0.05</v>
      </c>
      <c r="J414" s="6">
        <v>0.609375</v>
      </c>
      <c r="K414" s="6">
        <v>0.75948717948717925</v>
      </c>
      <c r="L414" s="6">
        <v>0.68555569515448866</v>
      </c>
      <c r="M414" s="4" t="s">
        <v>136</v>
      </c>
      <c r="N414" s="4">
        <v>0.1058491072016749</v>
      </c>
      <c r="O414" s="4">
        <v>0</v>
      </c>
    </row>
    <row r="415" spans="1:15" x14ac:dyDescent="0.3">
      <c r="A415" s="4">
        <v>414</v>
      </c>
      <c r="B415" s="4">
        <v>414000</v>
      </c>
      <c r="C415" s="4" t="s">
        <v>163</v>
      </c>
      <c r="D415" s="4" t="s">
        <v>16</v>
      </c>
      <c r="E415" s="4" t="s">
        <v>17</v>
      </c>
      <c r="F415" s="4" t="s">
        <v>18</v>
      </c>
      <c r="G415" s="5">
        <v>0.1</v>
      </c>
      <c r="H415" s="5">
        <v>0.4</v>
      </c>
      <c r="I415" s="5">
        <v>0.05</v>
      </c>
      <c r="J415" s="6">
        <v>0.625</v>
      </c>
      <c r="K415" s="6">
        <v>0.76949999999999985</v>
      </c>
      <c r="L415" s="6">
        <v>0.69994597129896274</v>
      </c>
      <c r="M415" s="4" t="s">
        <v>79</v>
      </c>
      <c r="N415" s="4">
        <v>0.1038585017299084</v>
      </c>
      <c r="O415" s="4">
        <v>0</v>
      </c>
    </row>
    <row r="416" spans="1:15" x14ac:dyDescent="0.3">
      <c r="A416" s="4">
        <v>415</v>
      </c>
      <c r="B416" s="4">
        <v>415000</v>
      </c>
      <c r="C416" s="4" t="s">
        <v>163</v>
      </c>
      <c r="D416" s="4" t="s">
        <v>16</v>
      </c>
      <c r="E416" s="4" t="s">
        <v>17</v>
      </c>
      <c r="F416" s="4" t="s">
        <v>18</v>
      </c>
      <c r="G416" s="5">
        <v>0.1</v>
      </c>
      <c r="H416" s="5">
        <v>0.4</v>
      </c>
      <c r="I416" s="5">
        <v>0.05</v>
      </c>
      <c r="J416" s="6">
        <v>0.640625</v>
      </c>
      <c r="K416" s="6">
        <v>0.78097560975609759</v>
      </c>
      <c r="L416" s="6">
        <v>0.72805502028658675</v>
      </c>
      <c r="M416" s="4" t="s">
        <v>99</v>
      </c>
      <c r="N416" s="4">
        <v>0.1029078258988023</v>
      </c>
      <c r="O416" s="4">
        <v>0</v>
      </c>
    </row>
    <row r="417" spans="1:15" x14ac:dyDescent="0.3">
      <c r="A417" s="4">
        <v>416</v>
      </c>
      <c r="B417" s="4">
        <v>416000</v>
      </c>
      <c r="C417" s="4" t="s">
        <v>163</v>
      </c>
      <c r="D417" s="4" t="s">
        <v>16</v>
      </c>
      <c r="E417" s="4" t="s">
        <v>17</v>
      </c>
      <c r="F417" s="4" t="s">
        <v>18</v>
      </c>
      <c r="G417" s="5">
        <v>0.1</v>
      </c>
      <c r="H417" s="5">
        <v>0.4</v>
      </c>
      <c r="I417" s="5">
        <v>0.05</v>
      </c>
      <c r="J417" s="6">
        <v>0.625</v>
      </c>
      <c r="K417" s="6">
        <v>0.78024999999999989</v>
      </c>
      <c r="L417" s="6">
        <v>0.71637334964972499</v>
      </c>
      <c r="M417" s="4" t="s">
        <v>79</v>
      </c>
      <c r="N417" s="4">
        <v>0.1039897498720594</v>
      </c>
      <c r="O417" s="4">
        <v>0</v>
      </c>
    </row>
    <row r="418" spans="1:15" x14ac:dyDescent="0.3">
      <c r="A418" s="4">
        <v>417</v>
      </c>
      <c r="B418" s="4">
        <v>417000</v>
      </c>
      <c r="C418" s="4" t="s">
        <v>163</v>
      </c>
      <c r="D418" s="4" t="s">
        <v>16</v>
      </c>
      <c r="E418" s="4" t="s">
        <v>17</v>
      </c>
      <c r="F418" s="4" t="s">
        <v>18</v>
      </c>
      <c r="G418" s="5">
        <v>0.1</v>
      </c>
      <c r="H418" s="5">
        <v>0.4</v>
      </c>
      <c r="I418" s="5">
        <v>0.05</v>
      </c>
      <c r="J418" s="6">
        <v>0.625</v>
      </c>
      <c r="K418" s="6">
        <v>0.78024999999999989</v>
      </c>
      <c r="L418" s="6">
        <v>0.71702290312454464</v>
      </c>
      <c r="M418" s="4" t="s">
        <v>99</v>
      </c>
      <c r="N418" s="4">
        <v>0.10292048618404211</v>
      </c>
      <c r="O418" s="4">
        <v>0</v>
      </c>
    </row>
    <row r="419" spans="1:15" x14ac:dyDescent="0.3">
      <c r="A419" s="4">
        <v>418</v>
      </c>
      <c r="B419" s="4">
        <v>418000</v>
      </c>
      <c r="C419" s="4" t="s">
        <v>163</v>
      </c>
      <c r="D419" s="4" t="s">
        <v>16</v>
      </c>
      <c r="E419" s="4" t="s">
        <v>17</v>
      </c>
      <c r="F419" s="4" t="s">
        <v>18</v>
      </c>
      <c r="G419" s="5">
        <v>0.1</v>
      </c>
      <c r="H419" s="5">
        <v>0.4</v>
      </c>
      <c r="I419" s="5">
        <v>0.05</v>
      </c>
      <c r="J419" s="6">
        <v>0.625</v>
      </c>
      <c r="K419" s="6">
        <v>0.78075000000000006</v>
      </c>
      <c r="L419" s="6">
        <v>0.71709395073587168</v>
      </c>
      <c r="M419" s="4" t="s">
        <v>79</v>
      </c>
      <c r="N419" s="4">
        <v>0.10366876418117139</v>
      </c>
      <c r="O419" s="4">
        <v>0</v>
      </c>
    </row>
    <row r="420" spans="1:15" x14ac:dyDescent="0.3">
      <c r="A420" s="4">
        <v>419</v>
      </c>
      <c r="B420" s="4">
        <v>419000</v>
      </c>
      <c r="C420" s="4" t="s">
        <v>163</v>
      </c>
      <c r="D420" s="4" t="s">
        <v>16</v>
      </c>
      <c r="E420" s="4" t="s">
        <v>17</v>
      </c>
      <c r="F420" s="4" t="s">
        <v>18</v>
      </c>
      <c r="G420" s="5">
        <v>0.1</v>
      </c>
      <c r="H420" s="5">
        <v>0.4</v>
      </c>
      <c r="I420" s="5">
        <v>0.05</v>
      </c>
      <c r="J420" s="6">
        <v>0.625</v>
      </c>
      <c r="K420" s="6">
        <v>0.78475000000000006</v>
      </c>
      <c r="L420" s="6">
        <v>0.71574940990010316</v>
      </c>
      <c r="M420" s="4" t="s">
        <v>28</v>
      </c>
      <c r="N420" s="4">
        <v>0.10102205149452009</v>
      </c>
      <c r="O420" s="4">
        <v>0</v>
      </c>
    </row>
    <row r="421" spans="1:15" x14ac:dyDescent="0.3">
      <c r="A421" s="4">
        <v>420</v>
      </c>
      <c r="B421" s="4">
        <v>420000</v>
      </c>
      <c r="C421" s="4" t="s">
        <v>163</v>
      </c>
      <c r="D421" s="4" t="s">
        <v>16</v>
      </c>
      <c r="E421" s="4" t="s">
        <v>17</v>
      </c>
      <c r="F421" s="4" t="s">
        <v>18</v>
      </c>
      <c r="G421" s="5">
        <v>0.1</v>
      </c>
      <c r="H421" s="5">
        <v>0.4</v>
      </c>
      <c r="I421" s="5">
        <v>0.05</v>
      </c>
      <c r="J421" s="6">
        <v>0.625</v>
      </c>
      <c r="K421" s="6">
        <v>0.78374999999999995</v>
      </c>
      <c r="L421" s="6">
        <v>0.71182811511398991</v>
      </c>
      <c r="M421" s="4" t="s">
        <v>156</v>
      </c>
      <c r="N421" s="4">
        <v>9.8676404468665546E-2</v>
      </c>
      <c r="O421" s="4">
        <v>0</v>
      </c>
    </row>
    <row r="422" spans="1:15" x14ac:dyDescent="0.3">
      <c r="A422" s="4">
        <v>421</v>
      </c>
      <c r="B422" s="4">
        <v>421000</v>
      </c>
      <c r="C422" s="4" t="s">
        <v>163</v>
      </c>
      <c r="D422" s="4" t="s">
        <v>16</v>
      </c>
      <c r="E422" s="4" t="s">
        <v>17</v>
      </c>
      <c r="F422" s="4" t="s">
        <v>18</v>
      </c>
      <c r="G422" s="5">
        <v>0.1</v>
      </c>
      <c r="H422" s="5">
        <v>0.4</v>
      </c>
      <c r="I422" s="5">
        <v>0.05</v>
      </c>
      <c r="J422" s="6">
        <v>0.625</v>
      </c>
      <c r="K422" s="6">
        <v>0.78474999999999995</v>
      </c>
      <c r="L422" s="6">
        <v>0.70657049431960561</v>
      </c>
      <c r="M422" s="4" t="s">
        <v>160</v>
      </c>
      <c r="N422" s="4">
        <v>0.10023292235584851</v>
      </c>
      <c r="O422" s="4">
        <v>0</v>
      </c>
    </row>
    <row r="423" spans="1:15" x14ac:dyDescent="0.3">
      <c r="A423" s="4">
        <v>422</v>
      </c>
      <c r="B423" s="4">
        <v>422000</v>
      </c>
      <c r="C423" s="4" t="s">
        <v>163</v>
      </c>
      <c r="D423" s="4" t="s">
        <v>16</v>
      </c>
      <c r="E423" s="4" t="s">
        <v>17</v>
      </c>
      <c r="F423" s="4" t="s">
        <v>18</v>
      </c>
      <c r="G423" s="5">
        <v>0.1</v>
      </c>
      <c r="H423" s="5">
        <v>0.4</v>
      </c>
      <c r="I423" s="5">
        <v>0.05</v>
      </c>
      <c r="J423" s="6">
        <v>0.60317460317460314</v>
      </c>
      <c r="K423" s="6">
        <v>0.79421052631578948</v>
      </c>
      <c r="L423" s="6">
        <v>0.71691853896157876</v>
      </c>
      <c r="M423" s="4" t="s">
        <v>150</v>
      </c>
      <c r="N423" s="4">
        <v>9.5101651233005388E-2</v>
      </c>
      <c r="O423" s="4">
        <v>0</v>
      </c>
    </row>
    <row r="424" spans="1:15" x14ac:dyDescent="0.3">
      <c r="A424" s="4">
        <v>423</v>
      </c>
      <c r="B424" s="4">
        <v>423000</v>
      </c>
      <c r="C424" s="4" t="s">
        <v>163</v>
      </c>
      <c r="D424" s="4" t="s">
        <v>16</v>
      </c>
      <c r="E424" s="4" t="s">
        <v>17</v>
      </c>
      <c r="F424" s="4" t="s">
        <v>18</v>
      </c>
      <c r="G424" s="5">
        <v>0.1</v>
      </c>
      <c r="H424" s="5">
        <v>0.4</v>
      </c>
      <c r="I424" s="5">
        <v>0.05</v>
      </c>
      <c r="J424" s="6">
        <v>0.609375</v>
      </c>
      <c r="K424" s="6">
        <v>0.78692307692307695</v>
      </c>
      <c r="L424" s="6">
        <v>0.71745883624112206</v>
      </c>
      <c r="M424" s="4" t="s">
        <v>39</v>
      </c>
      <c r="N424" s="4">
        <v>9.2741279200694388E-2</v>
      </c>
      <c r="O424" s="4">
        <v>0</v>
      </c>
    </row>
    <row r="425" spans="1:15" x14ac:dyDescent="0.3">
      <c r="A425" s="4">
        <v>424</v>
      </c>
      <c r="B425" s="4">
        <v>424000</v>
      </c>
      <c r="C425" s="4" t="s">
        <v>163</v>
      </c>
      <c r="D425" s="4" t="s">
        <v>16</v>
      </c>
      <c r="E425" s="4" t="s">
        <v>17</v>
      </c>
      <c r="F425" s="4" t="s">
        <v>18</v>
      </c>
      <c r="G425" s="5">
        <v>0.1</v>
      </c>
      <c r="H425" s="5">
        <v>0.4</v>
      </c>
      <c r="I425" s="5">
        <v>0.05</v>
      </c>
      <c r="J425" s="6">
        <v>0.609375</v>
      </c>
      <c r="K425" s="6">
        <v>0.78205128205128205</v>
      </c>
      <c r="L425" s="6">
        <v>0.71929085221398004</v>
      </c>
      <c r="M425" s="4" t="s">
        <v>49</v>
      </c>
      <c r="N425" s="4">
        <v>9.0415425724048565E-2</v>
      </c>
      <c r="O425" s="4">
        <v>0</v>
      </c>
    </row>
    <row r="426" spans="1:15" x14ac:dyDescent="0.3">
      <c r="A426" s="4">
        <v>425</v>
      </c>
      <c r="B426" s="4">
        <v>425000</v>
      </c>
      <c r="C426" s="4" t="s">
        <v>163</v>
      </c>
      <c r="D426" s="4" t="s">
        <v>16</v>
      </c>
      <c r="E426" s="4" t="s">
        <v>17</v>
      </c>
      <c r="F426" s="4" t="s">
        <v>18</v>
      </c>
      <c r="G426" s="5">
        <v>0.1</v>
      </c>
      <c r="H426" s="5">
        <v>0.4</v>
      </c>
      <c r="I426" s="5">
        <v>0.05</v>
      </c>
      <c r="J426" s="6">
        <v>0.609375</v>
      </c>
      <c r="K426" s="6">
        <v>0.78076923076923077</v>
      </c>
      <c r="L426" s="6">
        <v>0.71877790793141905</v>
      </c>
      <c r="M426" s="4" t="s">
        <v>49</v>
      </c>
      <c r="N426" s="4">
        <v>9.0313080001259163E-2</v>
      </c>
      <c r="O426" s="4">
        <v>0</v>
      </c>
    </row>
    <row r="427" spans="1:15" x14ac:dyDescent="0.3">
      <c r="A427" s="4">
        <v>426</v>
      </c>
      <c r="B427" s="4">
        <v>426000</v>
      </c>
      <c r="C427" s="4" t="s">
        <v>163</v>
      </c>
      <c r="D427" s="4" t="s">
        <v>16</v>
      </c>
      <c r="E427" s="4" t="s">
        <v>17</v>
      </c>
      <c r="F427" s="4" t="s">
        <v>18</v>
      </c>
      <c r="G427" s="5">
        <v>0.1</v>
      </c>
      <c r="H427" s="5">
        <v>0.4</v>
      </c>
      <c r="I427" s="5">
        <v>0.05</v>
      </c>
      <c r="J427" s="6">
        <v>0.625</v>
      </c>
      <c r="K427" s="6">
        <v>0.79350000000000009</v>
      </c>
      <c r="L427" s="6">
        <v>0.74030098441828107</v>
      </c>
      <c r="M427" s="4" t="s">
        <v>22</v>
      </c>
      <c r="N427" s="4">
        <v>9.4364525917059613E-2</v>
      </c>
      <c r="O427" s="4">
        <v>0</v>
      </c>
    </row>
    <row r="428" spans="1:15" x14ac:dyDescent="0.3">
      <c r="A428" s="4">
        <v>427</v>
      </c>
      <c r="B428" s="4">
        <v>427000</v>
      </c>
      <c r="C428" s="4" t="s">
        <v>163</v>
      </c>
      <c r="D428" s="4" t="s">
        <v>16</v>
      </c>
      <c r="E428" s="4" t="s">
        <v>17</v>
      </c>
      <c r="F428" s="4" t="s">
        <v>18</v>
      </c>
      <c r="G428" s="5">
        <v>0.1</v>
      </c>
      <c r="H428" s="5">
        <v>0.4</v>
      </c>
      <c r="I428" s="5">
        <v>0.05</v>
      </c>
      <c r="J428" s="6">
        <v>0.625</v>
      </c>
      <c r="K428" s="6">
        <v>0.77999999999999992</v>
      </c>
      <c r="L428" s="6">
        <v>0.67587372347678398</v>
      </c>
      <c r="M428" s="4" t="s">
        <v>22</v>
      </c>
      <c r="N428" s="4">
        <v>9.439127516780968E-2</v>
      </c>
      <c r="O428" s="4">
        <v>0</v>
      </c>
    </row>
    <row r="429" spans="1:15" x14ac:dyDescent="0.3">
      <c r="A429" s="4">
        <v>428</v>
      </c>
      <c r="B429" s="4">
        <v>428000</v>
      </c>
      <c r="C429" s="4" t="s">
        <v>163</v>
      </c>
      <c r="D429" s="4" t="s">
        <v>16</v>
      </c>
      <c r="E429" s="4" t="s">
        <v>17</v>
      </c>
      <c r="F429" s="4" t="s">
        <v>18</v>
      </c>
      <c r="G429" s="5">
        <v>0.1</v>
      </c>
      <c r="H429" s="5">
        <v>0.4</v>
      </c>
      <c r="I429" s="5">
        <v>0.05</v>
      </c>
      <c r="J429" s="6">
        <v>0.65625</v>
      </c>
      <c r="K429" s="6">
        <v>0.76476190476190486</v>
      </c>
      <c r="L429" s="6">
        <v>0.64098972139761956</v>
      </c>
      <c r="M429" s="4" t="s">
        <v>78</v>
      </c>
      <c r="N429" s="4">
        <v>9.6197454626283666E-2</v>
      </c>
      <c r="O429" s="4">
        <v>0</v>
      </c>
    </row>
    <row r="430" spans="1:15" x14ac:dyDescent="0.3">
      <c r="A430" s="4">
        <v>429</v>
      </c>
      <c r="B430" s="4">
        <v>429000</v>
      </c>
      <c r="C430" s="4" t="s">
        <v>163</v>
      </c>
      <c r="D430" s="4" t="s">
        <v>16</v>
      </c>
      <c r="E430" s="4" t="s">
        <v>17</v>
      </c>
      <c r="F430" s="4" t="s">
        <v>18</v>
      </c>
      <c r="G430" s="5">
        <v>0.1</v>
      </c>
      <c r="H430" s="5">
        <v>0.4</v>
      </c>
      <c r="I430" s="5">
        <v>0.05</v>
      </c>
      <c r="J430" s="6">
        <v>0.671875</v>
      </c>
      <c r="K430" s="6">
        <v>0.76697674418604656</v>
      </c>
      <c r="L430" s="6">
        <v>0.66863707304329867</v>
      </c>
      <c r="M430" s="4" t="s">
        <v>78</v>
      </c>
      <c r="N430" s="4">
        <v>9.6105766413026344E-2</v>
      </c>
      <c r="O430" s="4">
        <v>0</v>
      </c>
    </row>
    <row r="431" spans="1:15" x14ac:dyDescent="0.3">
      <c r="A431" s="4">
        <v>430</v>
      </c>
      <c r="B431" s="4">
        <v>430000</v>
      </c>
      <c r="C431" s="4" t="s">
        <v>163</v>
      </c>
      <c r="D431" s="4" t="s">
        <v>16</v>
      </c>
      <c r="E431" s="4" t="s">
        <v>17</v>
      </c>
      <c r="F431" s="4" t="s">
        <v>18</v>
      </c>
      <c r="G431" s="5">
        <v>0.1</v>
      </c>
      <c r="H431" s="5">
        <v>0.4</v>
      </c>
      <c r="I431" s="5">
        <v>0.05</v>
      </c>
      <c r="J431" s="6">
        <v>0.625</v>
      </c>
      <c r="K431" s="6">
        <v>0.77799999999999991</v>
      </c>
      <c r="L431" s="6">
        <v>0.7014923219056064</v>
      </c>
      <c r="M431" s="4" t="s">
        <v>154</v>
      </c>
      <c r="N431" s="4">
        <v>9.7741725016325318E-2</v>
      </c>
      <c r="O431" s="4">
        <v>0</v>
      </c>
    </row>
    <row r="432" spans="1:15" x14ac:dyDescent="0.3">
      <c r="A432" s="4">
        <v>431</v>
      </c>
      <c r="B432" s="4">
        <v>431000</v>
      </c>
      <c r="C432" s="4" t="s">
        <v>163</v>
      </c>
      <c r="D432" s="4" t="s">
        <v>16</v>
      </c>
      <c r="E432" s="4" t="s">
        <v>17</v>
      </c>
      <c r="F432" s="4" t="s">
        <v>18</v>
      </c>
      <c r="G432" s="5">
        <v>0.1</v>
      </c>
      <c r="H432" s="5">
        <v>0.4</v>
      </c>
      <c r="I432" s="5">
        <v>0.05</v>
      </c>
      <c r="J432" s="6">
        <v>0.65625</v>
      </c>
      <c r="K432" s="6">
        <v>0.78452380952380962</v>
      </c>
      <c r="L432" s="6">
        <v>0.70484606706948449</v>
      </c>
      <c r="M432" s="4" t="s">
        <v>150</v>
      </c>
      <c r="N432" s="4">
        <v>9.5297538934214762E-2</v>
      </c>
      <c r="O432" s="4">
        <v>0</v>
      </c>
    </row>
    <row r="433" spans="1:15" x14ac:dyDescent="0.3">
      <c r="A433" s="4">
        <v>432</v>
      </c>
      <c r="B433" s="4">
        <v>432000</v>
      </c>
      <c r="C433" s="4" t="s">
        <v>163</v>
      </c>
      <c r="D433" s="4" t="s">
        <v>16</v>
      </c>
      <c r="E433" s="4" t="s">
        <v>17</v>
      </c>
      <c r="F433" s="4" t="s">
        <v>18</v>
      </c>
      <c r="G433" s="5">
        <v>0.1</v>
      </c>
      <c r="H433" s="5">
        <v>0.4</v>
      </c>
      <c r="I433" s="5">
        <v>0.05</v>
      </c>
      <c r="J433" s="6">
        <v>0.640625</v>
      </c>
      <c r="K433" s="6">
        <v>0.78170731707317065</v>
      </c>
      <c r="L433" s="6">
        <v>0.66686914171696698</v>
      </c>
      <c r="M433" s="4" t="s">
        <v>150</v>
      </c>
      <c r="N433" s="4">
        <v>9.5011959129496101E-2</v>
      </c>
      <c r="O433" s="4">
        <v>0</v>
      </c>
    </row>
    <row r="434" spans="1:15" x14ac:dyDescent="0.3">
      <c r="A434" s="4">
        <v>433</v>
      </c>
      <c r="B434" s="4">
        <v>433000</v>
      </c>
      <c r="C434" s="4" t="s">
        <v>163</v>
      </c>
      <c r="D434" s="4" t="s">
        <v>16</v>
      </c>
      <c r="E434" s="4" t="s">
        <v>17</v>
      </c>
      <c r="F434" s="4" t="s">
        <v>18</v>
      </c>
      <c r="G434" s="5">
        <v>0.1</v>
      </c>
      <c r="H434" s="5">
        <v>0.4</v>
      </c>
      <c r="I434" s="5">
        <v>0.05</v>
      </c>
      <c r="J434" s="6">
        <v>0.59090909090909094</v>
      </c>
      <c r="K434" s="6">
        <v>0.7684615384615382</v>
      </c>
      <c r="L434" s="6">
        <v>0.67291520844793362</v>
      </c>
      <c r="M434" s="4" t="s">
        <v>156</v>
      </c>
      <c r="N434" s="4">
        <v>9.9327399013480103E-2</v>
      </c>
      <c r="O434" s="4">
        <v>0</v>
      </c>
    </row>
    <row r="435" spans="1:15" x14ac:dyDescent="0.3">
      <c r="A435" s="4">
        <v>434</v>
      </c>
      <c r="B435" s="4">
        <v>434000</v>
      </c>
      <c r="C435" s="4" t="s">
        <v>163</v>
      </c>
      <c r="D435" s="4" t="s">
        <v>16</v>
      </c>
      <c r="E435" s="4" t="s">
        <v>17</v>
      </c>
      <c r="F435" s="4" t="s">
        <v>18</v>
      </c>
      <c r="G435" s="5">
        <v>0.1</v>
      </c>
      <c r="H435" s="5">
        <v>0.4</v>
      </c>
      <c r="I435" s="5">
        <v>0.05</v>
      </c>
      <c r="J435" s="6">
        <v>0.62121212121212122</v>
      </c>
      <c r="K435" s="6">
        <v>0.77487804878048772</v>
      </c>
      <c r="L435" s="6">
        <v>0.67974963398036048</v>
      </c>
      <c r="M435" s="4" t="s">
        <v>150</v>
      </c>
      <c r="N435" s="4">
        <v>9.4822493750161801E-2</v>
      </c>
      <c r="O435" s="4">
        <v>0</v>
      </c>
    </row>
    <row r="436" spans="1:15" x14ac:dyDescent="0.3">
      <c r="A436" s="4">
        <v>435</v>
      </c>
      <c r="B436" s="4">
        <v>435000</v>
      </c>
      <c r="C436" s="4" t="s">
        <v>163</v>
      </c>
      <c r="D436" s="4" t="s">
        <v>16</v>
      </c>
      <c r="E436" s="4" t="s">
        <v>17</v>
      </c>
      <c r="F436" s="4" t="s">
        <v>18</v>
      </c>
      <c r="G436" s="5">
        <v>0.1</v>
      </c>
      <c r="H436" s="5">
        <v>0.4</v>
      </c>
      <c r="I436" s="5">
        <v>0.05</v>
      </c>
      <c r="J436" s="6">
        <v>0.62121212121212122</v>
      </c>
      <c r="K436" s="6">
        <v>0.77414634146341454</v>
      </c>
      <c r="L436" s="6">
        <v>0.68342515660833558</v>
      </c>
      <c r="M436" s="4" t="s">
        <v>150</v>
      </c>
      <c r="N436" s="4">
        <v>9.483108599640834E-2</v>
      </c>
      <c r="O436" s="4">
        <v>0</v>
      </c>
    </row>
    <row r="437" spans="1:15" x14ac:dyDescent="0.3">
      <c r="A437" s="4">
        <v>436</v>
      </c>
      <c r="B437" s="4">
        <v>436000</v>
      </c>
      <c r="C437" s="4" t="s">
        <v>163</v>
      </c>
      <c r="D437" s="4" t="s">
        <v>16</v>
      </c>
      <c r="E437" s="4" t="s">
        <v>17</v>
      </c>
      <c r="F437" s="4" t="s">
        <v>18</v>
      </c>
      <c r="G437" s="5">
        <v>0.1</v>
      </c>
      <c r="H437" s="5">
        <v>0.4</v>
      </c>
      <c r="I437" s="5">
        <v>0.05</v>
      </c>
      <c r="J437" s="6">
        <v>0.63636363636363635</v>
      </c>
      <c r="K437" s="6">
        <v>0.75928571428571423</v>
      </c>
      <c r="L437" s="6">
        <v>0.63692645831593597</v>
      </c>
      <c r="M437" s="4" t="s">
        <v>22</v>
      </c>
      <c r="N437" s="4">
        <v>9.3582315321808426E-2</v>
      </c>
      <c r="O437" s="4">
        <v>0</v>
      </c>
    </row>
    <row r="438" spans="1:15" x14ac:dyDescent="0.3">
      <c r="A438" s="4">
        <v>437</v>
      </c>
      <c r="B438" s="4">
        <v>437000</v>
      </c>
      <c r="C438" s="4" t="s">
        <v>163</v>
      </c>
      <c r="D438" s="4" t="s">
        <v>16</v>
      </c>
      <c r="E438" s="4" t="s">
        <v>17</v>
      </c>
      <c r="F438" s="4" t="s">
        <v>18</v>
      </c>
      <c r="G438" s="5">
        <v>0.1</v>
      </c>
      <c r="H438" s="5">
        <v>0.4</v>
      </c>
      <c r="I438" s="5">
        <v>0.05</v>
      </c>
      <c r="J438" s="6">
        <v>0.64615384615384619</v>
      </c>
      <c r="K438" s="6">
        <v>0.76047619047619042</v>
      </c>
      <c r="L438" s="6">
        <v>0.63250428849722051</v>
      </c>
      <c r="M438" s="4" t="s">
        <v>129</v>
      </c>
      <c r="N438" s="4">
        <v>9.7489767892782145E-2</v>
      </c>
      <c r="O438" s="4">
        <v>0</v>
      </c>
    </row>
    <row r="439" spans="1:15" x14ac:dyDescent="0.3">
      <c r="A439" s="4">
        <v>438</v>
      </c>
      <c r="B439" s="4">
        <v>438000</v>
      </c>
      <c r="C439" s="4" t="s">
        <v>163</v>
      </c>
      <c r="D439" s="4" t="s">
        <v>16</v>
      </c>
      <c r="E439" s="4" t="s">
        <v>17</v>
      </c>
      <c r="F439" s="4" t="s">
        <v>18</v>
      </c>
      <c r="G439" s="5">
        <v>0.1</v>
      </c>
      <c r="H439" s="5">
        <v>0.4</v>
      </c>
      <c r="I439" s="5">
        <v>0.05</v>
      </c>
      <c r="J439" s="6">
        <v>0.66129032258064513</v>
      </c>
      <c r="K439" s="6">
        <v>0.79390243902439017</v>
      </c>
      <c r="L439" s="6">
        <v>0.71461338758352777</v>
      </c>
      <c r="M439" s="4" t="s">
        <v>160</v>
      </c>
      <c r="N439" s="4">
        <v>9.9701208264252855E-2</v>
      </c>
      <c r="O439" s="4">
        <v>0</v>
      </c>
    </row>
    <row r="440" spans="1:15" x14ac:dyDescent="0.3">
      <c r="A440" s="4">
        <v>439</v>
      </c>
      <c r="B440" s="4">
        <v>439000</v>
      </c>
      <c r="C440" s="4" t="s">
        <v>163</v>
      </c>
      <c r="D440" s="4" t="s">
        <v>16</v>
      </c>
      <c r="E440" s="4" t="s">
        <v>17</v>
      </c>
      <c r="F440" s="4" t="s">
        <v>18</v>
      </c>
      <c r="G440" s="5">
        <v>0.1</v>
      </c>
      <c r="H440" s="5">
        <v>0.4</v>
      </c>
      <c r="I440" s="5">
        <v>0.05</v>
      </c>
      <c r="J440" s="6">
        <v>0.66129032258064513</v>
      </c>
      <c r="K440" s="6">
        <v>0.7726829268292682</v>
      </c>
      <c r="L440" s="6">
        <v>0.68248970373463402</v>
      </c>
      <c r="M440" s="4" t="s">
        <v>22</v>
      </c>
      <c r="N440" s="4">
        <v>9.4294410829124542E-2</v>
      </c>
      <c r="O440" s="4">
        <v>0</v>
      </c>
    </row>
    <row r="441" spans="1:15" x14ac:dyDescent="0.3">
      <c r="A441" s="4">
        <v>440</v>
      </c>
      <c r="B441" s="4">
        <v>440000</v>
      </c>
      <c r="C441" s="4" t="s">
        <v>163</v>
      </c>
      <c r="D441" s="4" t="s">
        <v>16</v>
      </c>
      <c r="E441" s="4" t="s">
        <v>17</v>
      </c>
      <c r="F441" s="4" t="s">
        <v>18</v>
      </c>
      <c r="G441" s="5">
        <v>0.1</v>
      </c>
      <c r="H441" s="5">
        <v>0.4</v>
      </c>
      <c r="I441" s="5">
        <v>0.05</v>
      </c>
      <c r="J441" s="6">
        <v>0.66129032258064513</v>
      </c>
      <c r="K441" s="6">
        <v>0.77073170731707308</v>
      </c>
      <c r="L441" s="6">
        <v>0.68518988002215397</v>
      </c>
      <c r="M441" s="4" t="s">
        <v>22</v>
      </c>
      <c r="N441" s="4">
        <v>9.4135089729445995E-2</v>
      </c>
      <c r="O441" s="4">
        <v>0</v>
      </c>
    </row>
    <row r="442" spans="1:15" x14ac:dyDescent="0.3">
      <c r="A442" s="4">
        <v>441</v>
      </c>
      <c r="B442" s="4">
        <v>441000</v>
      </c>
      <c r="C442" s="4" t="s">
        <v>163</v>
      </c>
      <c r="D442" s="4" t="s">
        <v>16</v>
      </c>
      <c r="E442" s="4" t="s">
        <v>17</v>
      </c>
      <c r="F442" s="4" t="s">
        <v>18</v>
      </c>
      <c r="G442" s="5">
        <v>0.1</v>
      </c>
      <c r="H442" s="5">
        <v>0.4</v>
      </c>
      <c r="I442" s="5">
        <v>0.05</v>
      </c>
      <c r="J442" s="6">
        <v>0.67213114754098358</v>
      </c>
      <c r="K442" s="6">
        <v>0.77024390243902419</v>
      </c>
      <c r="L442" s="6">
        <v>0.6876214027903168</v>
      </c>
      <c r="M442" s="4" t="s">
        <v>39</v>
      </c>
      <c r="N442" s="4">
        <v>9.3052454997592182E-2</v>
      </c>
      <c r="O442" s="4">
        <v>0</v>
      </c>
    </row>
    <row r="443" spans="1:15" x14ac:dyDescent="0.3">
      <c r="A443" s="4">
        <v>442</v>
      </c>
      <c r="B443" s="4">
        <v>442000</v>
      </c>
      <c r="C443" s="4" t="s">
        <v>163</v>
      </c>
      <c r="D443" s="4" t="s">
        <v>16</v>
      </c>
      <c r="E443" s="4" t="s">
        <v>17</v>
      </c>
      <c r="F443" s="4" t="s">
        <v>18</v>
      </c>
      <c r="G443" s="5">
        <v>0.1</v>
      </c>
      <c r="H443" s="5">
        <v>0.4</v>
      </c>
      <c r="I443" s="5">
        <v>0.05</v>
      </c>
      <c r="J443" s="6">
        <v>0.67213114754098358</v>
      </c>
      <c r="K443" s="6">
        <v>0.77390243902439027</v>
      </c>
      <c r="L443" s="6">
        <v>0.68014897897095994</v>
      </c>
      <c r="M443" s="4" t="s">
        <v>78</v>
      </c>
      <c r="N443" s="4">
        <v>9.6082983243983872E-2</v>
      </c>
      <c r="O443" s="4">
        <v>0</v>
      </c>
    </row>
    <row r="444" spans="1:15" x14ac:dyDescent="0.3">
      <c r="A444" s="4">
        <v>443</v>
      </c>
      <c r="B444" s="4">
        <v>443000</v>
      </c>
      <c r="C444" s="4" t="s">
        <v>163</v>
      </c>
      <c r="D444" s="4" t="s">
        <v>16</v>
      </c>
      <c r="E444" s="4" t="s">
        <v>17</v>
      </c>
      <c r="F444" s="4" t="s">
        <v>18</v>
      </c>
      <c r="G444" s="5">
        <v>0.1</v>
      </c>
      <c r="H444" s="5">
        <v>0.4</v>
      </c>
      <c r="I444" s="5">
        <v>0.05</v>
      </c>
      <c r="J444" s="6">
        <v>0.67213114754098358</v>
      </c>
      <c r="K444" s="6">
        <v>0.78024390243902442</v>
      </c>
      <c r="L444" s="6">
        <v>0.68005987231902199</v>
      </c>
      <c r="M444" s="4" t="s">
        <v>156</v>
      </c>
      <c r="N444" s="4">
        <v>9.8578375193281317E-2</v>
      </c>
      <c r="O444" s="4">
        <v>0</v>
      </c>
    </row>
    <row r="445" spans="1:15" x14ac:dyDescent="0.3">
      <c r="A445" s="4">
        <v>444</v>
      </c>
      <c r="B445" s="4">
        <v>444000</v>
      </c>
      <c r="C445" s="4" t="s">
        <v>163</v>
      </c>
      <c r="D445" s="4" t="s">
        <v>16</v>
      </c>
      <c r="E445" s="4" t="s">
        <v>17</v>
      </c>
      <c r="F445" s="4" t="s">
        <v>18</v>
      </c>
      <c r="G445" s="5">
        <v>0.1</v>
      </c>
      <c r="H445" s="5">
        <v>0.4</v>
      </c>
      <c r="I445" s="5">
        <v>0.05</v>
      </c>
      <c r="J445" s="6">
        <v>0.68333333333333335</v>
      </c>
      <c r="K445" s="6">
        <v>0.77975609756097553</v>
      </c>
      <c r="L445" s="6">
        <v>0.67897532982895992</v>
      </c>
      <c r="M445" s="4" t="s">
        <v>156</v>
      </c>
      <c r="N445" s="4">
        <v>9.9375909217945396E-2</v>
      </c>
      <c r="O445" s="4">
        <v>0</v>
      </c>
    </row>
    <row r="446" spans="1:15" x14ac:dyDescent="0.3">
      <c r="A446" s="4">
        <v>445</v>
      </c>
      <c r="B446" s="4">
        <v>445000</v>
      </c>
      <c r="C446" s="4" t="s">
        <v>163</v>
      </c>
      <c r="D446" s="4" t="s">
        <v>16</v>
      </c>
      <c r="E446" s="4" t="s">
        <v>17</v>
      </c>
      <c r="F446" s="4" t="s">
        <v>18</v>
      </c>
      <c r="G446" s="5">
        <v>0.1</v>
      </c>
      <c r="H446" s="5">
        <v>0.4</v>
      </c>
      <c r="I446" s="5">
        <v>0.05</v>
      </c>
      <c r="J446" s="6">
        <v>0.68852459016393441</v>
      </c>
      <c r="K446" s="6">
        <v>0.7695238095238095</v>
      </c>
      <c r="L446" s="6">
        <v>0.67533861455079169</v>
      </c>
      <c r="M446" s="4" t="s">
        <v>154</v>
      </c>
      <c r="N446" s="4">
        <v>9.799957474481262E-2</v>
      </c>
      <c r="O446" s="4">
        <v>0</v>
      </c>
    </row>
    <row r="447" spans="1:15" x14ac:dyDescent="0.3">
      <c r="A447" s="4">
        <v>446</v>
      </c>
      <c r="B447" s="4">
        <v>446000</v>
      </c>
      <c r="C447" s="4" t="s">
        <v>163</v>
      </c>
      <c r="D447" s="4" t="s">
        <v>16</v>
      </c>
      <c r="E447" s="4" t="s">
        <v>17</v>
      </c>
      <c r="F447" s="4" t="s">
        <v>18</v>
      </c>
      <c r="G447" s="5">
        <v>0.1</v>
      </c>
      <c r="H447" s="5">
        <v>0.4</v>
      </c>
      <c r="I447" s="5">
        <v>0.05</v>
      </c>
      <c r="J447" s="6">
        <v>0.68852459016393441</v>
      </c>
      <c r="K447" s="6">
        <v>0.76690476190476198</v>
      </c>
      <c r="L447" s="6">
        <v>0.67586692241885693</v>
      </c>
      <c r="M447" s="4" t="s">
        <v>150</v>
      </c>
      <c r="N447" s="4">
        <v>9.5220813786580261E-2</v>
      </c>
      <c r="O447" s="4">
        <v>0</v>
      </c>
    </row>
    <row r="448" spans="1:15" x14ac:dyDescent="0.3">
      <c r="A448" s="4">
        <v>447</v>
      </c>
      <c r="B448" s="4">
        <v>447000</v>
      </c>
      <c r="C448" s="4" t="s">
        <v>163</v>
      </c>
      <c r="D448" s="4" t="s">
        <v>16</v>
      </c>
      <c r="E448" s="4" t="s">
        <v>17</v>
      </c>
      <c r="F448" s="4" t="s">
        <v>18</v>
      </c>
      <c r="G448" s="5">
        <v>0.1</v>
      </c>
      <c r="H448" s="5">
        <v>0.4</v>
      </c>
      <c r="I448" s="5">
        <v>0.05</v>
      </c>
      <c r="J448" s="6">
        <v>0.68852459016393441</v>
      </c>
      <c r="K448" s="6">
        <v>0.76476190476190475</v>
      </c>
      <c r="L448" s="6">
        <v>0.67630820993217733</v>
      </c>
      <c r="M448" s="4" t="s">
        <v>22</v>
      </c>
      <c r="N448" s="4">
        <v>9.4120858995267745E-2</v>
      </c>
      <c r="O448" s="4">
        <v>0</v>
      </c>
    </row>
    <row r="449" spans="1:15" x14ac:dyDescent="0.3">
      <c r="A449" s="4">
        <v>448</v>
      </c>
      <c r="B449" s="4">
        <v>448000</v>
      </c>
      <c r="C449" s="4" t="s">
        <v>163</v>
      </c>
      <c r="D449" s="4" t="s">
        <v>16</v>
      </c>
      <c r="E449" s="4" t="s">
        <v>17</v>
      </c>
      <c r="F449" s="4" t="s">
        <v>18</v>
      </c>
      <c r="G449" s="5">
        <v>0.1</v>
      </c>
      <c r="H449" s="5">
        <v>0.4</v>
      </c>
      <c r="I449" s="5">
        <v>0.05</v>
      </c>
      <c r="J449" s="6">
        <v>0.68852459016393441</v>
      </c>
      <c r="K449" s="6">
        <v>0.76500000000000001</v>
      </c>
      <c r="L449" s="6">
        <v>0.68547316778181921</v>
      </c>
      <c r="M449" s="4" t="s">
        <v>73</v>
      </c>
      <c r="N449" s="4">
        <v>9.2424933194746622E-2</v>
      </c>
      <c r="O449" s="4">
        <v>0</v>
      </c>
    </row>
    <row r="450" spans="1:15" x14ac:dyDescent="0.3">
      <c r="A450" s="4">
        <v>449</v>
      </c>
      <c r="B450" s="4">
        <v>449000</v>
      </c>
      <c r="C450" s="4" t="s">
        <v>163</v>
      </c>
      <c r="D450" s="4" t="s">
        <v>16</v>
      </c>
      <c r="E450" s="4" t="s">
        <v>17</v>
      </c>
      <c r="F450" s="4" t="s">
        <v>18</v>
      </c>
      <c r="G450" s="5">
        <v>0.1</v>
      </c>
      <c r="H450" s="5">
        <v>0.4</v>
      </c>
      <c r="I450" s="5">
        <v>0.05</v>
      </c>
      <c r="J450" s="6">
        <v>0.67213114754098358</v>
      </c>
      <c r="K450" s="6">
        <v>0.7799999999999998</v>
      </c>
      <c r="L450" s="6">
        <v>0.72336233047380305</v>
      </c>
      <c r="M450" s="4" t="s">
        <v>59</v>
      </c>
      <c r="N450" s="4">
        <v>9.1128865121869407E-2</v>
      </c>
      <c r="O450" s="4">
        <v>0</v>
      </c>
    </row>
    <row r="451" spans="1:15" x14ac:dyDescent="0.3">
      <c r="A451" s="4">
        <v>450</v>
      </c>
      <c r="B451" s="4">
        <v>450000</v>
      </c>
      <c r="C451" s="4" t="s">
        <v>163</v>
      </c>
      <c r="D451" s="4" t="s">
        <v>16</v>
      </c>
      <c r="E451" s="4" t="s">
        <v>17</v>
      </c>
      <c r="F451" s="4" t="s">
        <v>18</v>
      </c>
      <c r="G451" s="5">
        <v>0.1</v>
      </c>
      <c r="H451" s="5">
        <v>0.4</v>
      </c>
      <c r="I451" s="5">
        <v>0.05</v>
      </c>
      <c r="J451" s="6">
        <v>0.70491803278688525</v>
      </c>
      <c r="K451" s="6">
        <v>0.76511627906976742</v>
      </c>
      <c r="L451" s="6">
        <v>0.70056401069117691</v>
      </c>
      <c r="M451" s="4" t="s">
        <v>73</v>
      </c>
      <c r="N451" s="4">
        <v>9.1990789187820235E-2</v>
      </c>
      <c r="O451" s="4">
        <v>0</v>
      </c>
    </row>
    <row r="452" spans="1:15" x14ac:dyDescent="0.3">
      <c r="A452" s="4">
        <v>451</v>
      </c>
      <c r="B452" s="4">
        <v>451000</v>
      </c>
      <c r="C452" s="4" t="s">
        <v>163</v>
      </c>
      <c r="D452" s="4" t="s">
        <v>16</v>
      </c>
      <c r="E452" s="4" t="s">
        <v>17</v>
      </c>
      <c r="F452" s="4" t="s">
        <v>18</v>
      </c>
      <c r="G452" s="5">
        <v>0.1</v>
      </c>
      <c r="H452" s="5">
        <v>0.4</v>
      </c>
      <c r="I452" s="5">
        <v>0.05</v>
      </c>
      <c r="J452" s="6">
        <v>0.70491803278688525</v>
      </c>
      <c r="K452" s="6">
        <v>0.76209302325581407</v>
      </c>
      <c r="L452" s="6">
        <v>0.69994204282592098</v>
      </c>
      <c r="M452" s="4" t="s">
        <v>49</v>
      </c>
      <c r="N452" s="4">
        <v>9.0439493573535354E-2</v>
      </c>
      <c r="O452" s="4">
        <v>0</v>
      </c>
    </row>
    <row r="453" spans="1:15" x14ac:dyDescent="0.3">
      <c r="A453" s="4">
        <v>452</v>
      </c>
      <c r="B453" s="4">
        <v>452000</v>
      </c>
      <c r="C453" s="4" t="s">
        <v>163</v>
      </c>
      <c r="D453" s="4" t="s">
        <v>16</v>
      </c>
      <c r="E453" s="4" t="s">
        <v>17</v>
      </c>
      <c r="F453" s="4" t="s">
        <v>18</v>
      </c>
      <c r="G453" s="5">
        <v>0.1</v>
      </c>
      <c r="H453" s="5">
        <v>0.4</v>
      </c>
      <c r="I453" s="5">
        <v>0.05</v>
      </c>
      <c r="J453" s="6">
        <v>0.69354838709677424</v>
      </c>
      <c r="K453" s="6">
        <v>0.75395348837209286</v>
      </c>
      <c r="L453" s="6">
        <v>0.70779262529791609</v>
      </c>
      <c r="M453" s="4" t="s">
        <v>49</v>
      </c>
      <c r="N453" s="4">
        <v>8.9667501399429972E-2</v>
      </c>
      <c r="O453" s="4">
        <v>0</v>
      </c>
    </row>
    <row r="454" spans="1:15" x14ac:dyDescent="0.3">
      <c r="A454" s="4">
        <v>453</v>
      </c>
      <c r="B454" s="4">
        <v>453000</v>
      </c>
      <c r="C454" s="4" t="s">
        <v>163</v>
      </c>
      <c r="D454" s="4" t="s">
        <v>16</v>
      </c>
      <c r="E454" s="4" t="s">
        <v>17</v>
      </c>
      <c r="F454" s="4" t="s">
        <v>18</v>
      </c>
      <c r="G454" s="5">
        <v>0.1</v>
      </c>
      <c r="H454" s="5">
        <v>0.4</v>
      </c>
      <c r="I454" s="5">
        <v>0.05</v>
      </c>
      <c r="J454" s="6">
        <v>0.66129032258064513</v>
      </c>
      <c r="K454" s="6">
        <v>0.74731707317073159</v>
      </c>
      <c r="L454" s="6">
        <v>0.67068212661340942</v>
      </c>
      <c r="M454" s="4" t="s">
        <v>74</v>
      </c>
      <c r="N454" s="4">
        <v>8.8951136854403187E-2</v>
      </c>
      <c r="O454" s="4">
        <v>0</v>
      </c>
    </row>
    <row r="455" spans="1:15" x14ac:dyDescent="0.3">
      <c r="A455" s="4">
        <v>454</v>
      </c>
      <c r="B455" s="4">
        <v>454000</v>
      </c>
      <c r="C455" s="4" t="s">
        <v>163</v>
      </c>
      <c r="D455" s="4" t="s">
        <v>16</v>
      </c>
      <c r="E455" s="4" t="s">
        <v>17</v>
      </c>
      <c r="F455" s="4" t="s">
        <v>18</v>
      </c>
      <c r="G455" s="5">
        <v>0.1</v>
      </c>
      <c r="H455" s="5">
        <v>0.4</v>
      </c>
      <c r="I455" s="5">
        <v>0.05</v>
      </c>
      <c r="J455" s="6">
        <v>0.69841269841269837</v>
      </c>
      <c r="K455" s="6">
        <v>0.75068181818181823</v>
      </c>
      <c r="L455" s="6">
        <v>0.71469958151167667</v>
      </c>
      <c r="M455" s="4" t="s">
        <v>52</v>
      </c>
      <c r="N455" s="4">
        <v>8.8475349467133202E-2</v>
      </c>
      <c r="O455" s="4">
        <v>0</v>
      </c>
    </row>
    <row r="456" spans="1:15" x14ac:dyDescent="0.3">
      <c r="A456" s="4">
        <v>455</v>
      </c>
      <c r="B456" s="4">
        <v>455000</v>
      </c>
      <c r="C456" s="4" t="s">
        <v>163</v>
      </c>
      <c r="D456" s="4" t="s">
        <v>16</v>
      </c>
      <c r="E456" s="4" t="s">
        <v>17</v>
      </c>
      <c r="F456" s="4" t="s">
        <v>18</v>
      </c>
      <c r="G456" s="5">
        <v>0.1</v>
      </c>
      <c r="H456" s="5">
        <v>0.4</v>
      </c>
      <c r="I456" s="5">
        <v>0.05</v>
      </c>
      <c r="J456" s="6">
        <v>0.69841269841269837</v>
      </c>
      <c r="K456" s="6">
        <v>0.7577272727272728</v>
      </c>
      <c r="L456" s="6">
        <v>0.71213121342396435</v>
      </c>
      <c r="M456" s="4" t="s">
        <v>49</v>
      </c>
      <c r="N456" s="4">
        <v>9.0102876863730211E-2</v>
      </c>
      <c r="O456" s="4">
        <v>0</v>
      </c>
    </row>
    <row r="457" spans="1:15" x14ac:dyDescent="0.3">
      <c r="A457" s="4">
        <v>456</v>
      </c>
      <c r="B457" s="4">
        <v>456000</v>
      </c>
      <c r="C457" s="4" t="s">
        <v>163</v>
      </c>
      <c r="D457" s="4" t="s">
        <v>16</v>
      </c>
      <c r="E457" s="4" t="s">
        <v>17</v>
      </c>
      <c r="F457" s="4" t="s">
        <v>18</v>
      </c>
      <c r="G457" s="5">
        <v>0.1</v>
      </c>
      <c r="H457" s="5">
        <v>0.4</v>
      </c>
      <c r="I457" s="5">
        <v>0.05</v>
      </c>
      <c r="J457" s="6">
        <v>0.67692307692307696</v>
      </c>
      <c r="K457" s="6">
        <v>0.74727272727272731</v>
      </c>
      <c r="L457" s="6">
        <v>0.63322251401383478</v>
      </c>
      <c r="M457" s="4" t="s">
        <v>19</v>
      </c>
      <c r="N457" s="4">
        <v>1</v>
      </c>
      <c r="O457" s="4">
        <v>1</v>
      </c>
    </row>
    <row r="458" spans="1:15" x14ac:dyDescent="0.3">
      <c r="A458" s="4">
        <v>457</v>
      </c>
      <c r="B458" s="4">
        <v>457000</v>
      </c>
      <c r="C458" s="4" t="s">
        <v>163</v>
      </c>
      <c r="D458" s="4" t="s">
        <v>16</v>
      </c>
      <c r="E458" s="4" t="s">
        <v>17</v>
      </c>
      <c r="F458" s="4" t="s">
        <v>18</v>
      </c>
      <c r="G458" s="5">
        <v>0.1</v>
      </c>
      <c r="H458" s="5">
        <v>0.4</v>
      </c>
      <c r="I458" s="5">
        <v>0.05</v>
      </c>
      <c r="J458" s="6">
        <v>0.67692307692307696</v>
      </c>
      <c r="K458" s="6">
        <v>0.74409090909090914</v>
      </c>
      <c r="L458" s="6">
        <v>0.64729420539490179</v>
      </c>
      <c r="M458" s="4" t="s">
        <v>208</v>
      </c>
      <c r="N458" s="4">
        <v>1.5095421751906179E-2</v>
      </c>
      <c r="O458" s="4">
        <v>0</v>
      </c>
    </row>
    <row r="459" spans="1:15" x14ac:dyDescent="0.3">
      <c r="A459" s="4">
        <v>458</v>
      </c>
      <c r="B459" s="4">
        <v>458000</v>
      </c>
      <c r="C459" s="4" t="s">
        <v>163</v>
      </c>
      <c r="D459" s="4" t="s">
        <v>16</v>
      </c>
      <c r="E459" s="4" t="s">
        <v>17</v>
      </c>
      <c r="F459" s="4" t="s">
        <v>18</v>
      </c>
      <c r="G459" s="5">
        <v>0.1</v>
      </c>
      <c r="H459" s="5">
        <v>0.4</v>
      </c>
      <c r="I459" s="5">
        <v>0.05</v>
      </c>
      <c r="J459" s="6">
        <v>0.67692307692307696</v>
      </c>
      <c r="K459" s="6">
        <v>0.74522727272727274</v>
      </c>
      <c r="L459" s="6">
        <v>0.64579051199641413</v>
      </c>
      <c r="M459" s="4" t="s">
        <v>202</v>
      </c>
      <c r="N459" s="4">
        <v>2.258470040087527E-2</v>
      </c>
      <c r="O459" s="4">
        <v>0</v>
      </c>
    </row>
    <row r="460" spans="1:15" x14ac:dyDescent="0.3">
      <c r="A460" s="4">
        <v>459</v>
      </c>
      <c r="B460" s="4">
        <v>459000</v>
      </c>
      <c r="C460" s="4" t="s">
        <v>163</v>
      </c>
      <c r="D460" s="4" t="s">
        <v>16</v>
      </c>
      <c r="E460" s="4" t="s">
        <v>17</v>
      </c>
      <c r="F460" s="4" t="s">
        <v>18</v>
      </c>
      <c r="G460" s="5">
        <v>0.1</v>
      </c>
      <c r="H460" s="5">
        <v>0.4</v>
      </c>
      <c r="I460" s="5">
        <v>0.05</v>
      </c>
      <c r="J460" s="6">
        <v>0.69230769230769229</v>
      </c>
      <c r="K460" s="6">
        <v>0.75377777777777799</v>
      </c>
      <c r="L460" s="6">
        <v>0.64281760978321567</v>
      </c>
      <c r="M460" s="4" t="s">
        <v>215</v>
      </c>
      <c r="N460" s="4">
        <v>2.5507583882849849E-2</v>
      </c>
      <c r="O460" s="4">
        <v>0</v>
      </c>
    </row>
    <row r="461" spans="1:15" x14ac:dyDescent="0.3">
      <c r="A461" s="4">
        <v>460</v>
      </c>
      <c r="B461" s="4">
        <v>460000</v>
      </c>
      <c r="C461" s="4" t="s">
        <v>163</v>
      </c>
      <c r="D461" s="4" t="s">
        <v>16</v>
      </c>
      <c r="E461" s="4" t="s">
        <v>17</v>
      </c>
      <c r="F461" s="4" t="s">
        <v>18</v>
      </c>
      <c r="G461" s="5">
        <v>0.1</v>
      </c>
      <c r="H461" s="5">
        <v>0.4</v>
      </c>
      <c r="I461" s="5">
        <v>0.05</v>
      </c>
      <c r="J461" s="6">
        <v>0.703125</v>
      </c>
      <c r="K461" s="6">
        <v>0.75888888888888906</v>
      </c>
      <c r="L461" s="6">
        <v>0.66693303203346577</v>
      </c>
      <c r="M461" s="4" t="s">
        <v>165</v>
      </c>
      <c r="N461" s="4">
        <v>3.4471062955899183E-2</v>
      </c>
      <c r="O461" s="4">
        <v>0</v>
      </c>
    </row>
    <row r="462" spans="1:15" x14ac:dyDescent="0.3">
      <c r="A462" s="4">
        <v>461</v>
      </c>
      <c r="B462" s="4">
        <v>461000</v>
      </c>
      <c r="C462" s="4" t="s">
        <v>163</v>
      </c>
      <c r="D462" s="4" t="s">
        <v>16</v>
      </c>
      <c r="E462" s="4" t="s">
        <v>17</v>
      </c>
      <c r="F462" s="4" t="s">
        <v>18</v>
      </c>
      <c r="G462" s="5">
        <v>0.1</v>
      </c>
      <c r="H462" s="5">
        <v>0.4</v>
      </c>
      <c r="I462" s="5">
        <v>0.05</v>
      </c>
      <c r="J462" s="6">
        <v>0.6875</v>
      </c>
      <c r="K462" s="6">
        <v>0.75590909090909097</v>
      </c>
      <c r="L462" s="6">
        <v>0.66395434441469103</v>
      </c>
      <c r="M462" s="4" t="s">
        <v>165</v>
      </c>
      <c r="N462" s="4">
        <v>3.369493466607662E-2</v>
      </c>
      <c r="O462" s="4">
        <v>0</v>
      </c>
    </row>
    <row r="463" spans="1:15" x14ac:dyDescent="0.3">
      <c r="A463" s="4">
        <v>462</v>
      </c>
      <c r="B463" s="4">
        <v>462000</v>
      </c>
      <c r="C463" s="4" t="s">
        <v>163</v>
      </c>
      <c r="D463" s="4" t="s">
        <v>16</v>
      </c>
      <c r="E463" s="4" t="s">
        <v>17</v>
      </c>
      <c r="F463" s="4" t="s">
        <v>18</v>
      </c>
      <c r="G463" s="5">
        <v>0.1</v>
      </c>
      <c r="H463" s="5">
        <v>0.4</v>
      </c>
      <c r="I463" s="5">
        <v>0.05</v>
      </c>
      <c r="J463" s="6">
        <v>0.70967741935483875</v>
      </c>
      <c r="K463" s="6">
        <v>0.75909090909090926</v>
      </c>
      <c r="L463" s="6">
        <v>0.65992970767495218</v>
      </c>
      <c r="M463" s="4" t="s">
        <v>168</v>
      </c>
      <c r="N463" s="4">
        <v>4.4259785430551347E-2</v>
      </c>
      <c r="O463" s="4">
        <v>0</v>
      </c>
    </row>
    <row r="464" spans="1:15" x14ac:dyDescent="0.3">
      <c r="A464" s="4">
        <v>463</v>
      </c>
      <c r="B464" s="4">
        <v>463000</v>
      </c>
      <c r="C464" s="4" t="s">
        <v>163</v>
      </c>
      <c r="D464" s="4" t="s">
        <v>16</v>
      </c>
      <c r="E464" s="4" t="s">
        <v>17</v>
      </c>
      <c r="F464" s="4" t="s">
        <v>18</v>
      </c>
      <c r="G464" s="5">
        <v>0.1</v>
      </c>
      <c r="H464" s="5">
        <v>0.4</v>
      </c>
      <c r="I464" s="5">
        <v>0.05</v>
      </c>
      <c r="J464" s="6">
        <v>0.70967741935483875</v>
      </c>
      <c r="K464" s="6">
        <v>0.75840909090909103</v>
      </c>
      <c r="L464" s="6">
        <v>0.66006401802768233</v>
      </c>
      <c r="M464" s="4" t="s">
        <v>168</v>
      </c>
      <c r="N464" s="4">
        <v>4.3687881170750648E-2</v>
      </c>
      <c r="O464" s="4">
        <v>0</v>
      </c>
    </row>
    <row r="465" spans="1:15" x14ac:dyDescent="0.3">
      <c r="A465" s="4">
        <v>464</v>
      </c>
      <c r="B465" s="4">
        <v>464000</v>
      </c>
      <c r="C465" s="4" t="s">
        <v>163</v>
      </c>
      <c r="D465" s="4" t="s">
        <v>16</v>
      </c>
      <c r="E465" s="4" t="s">
        <v>17</v>
      </c>
      <c r="F465" s="4" t="s">
        <v>18</v>
      </c>
      <c r="G465" s="5">
        <v>0.1</v>
      </c>
      <c r="H465" s="5">
        <v>0.4</v>
      </c>
      <c r="I465" s="5">
        <v>0.05</v>
      </c>
      <c r="J465" s="6">
        <v>0.72131147540983609</v>
      </c>
      <c r="K465" s="6">
        <v>0.75818181818181829</v>
      </c>
      <c r="L465" s="6">
        <v>0.65871810359335958</v>
      </c>
      <c r="M465" s="4" t="s">
        <v>193</v>
      </c>
      <c r="N465" s="4">
        <v>4.8060170021057648E-2</v>
      </c>
      <c r="O465" s="4">
        <v>0</v>
      </c>
    </row>
    <row r="466" spans="1:15" x14ac:dyDescent="0.3">
      <c r="A466" s="4">
        <v>465</v>
      </c>
      <c r="B466" s="4">
        <v>465000</v>
      </c>
      <c r="C466" s="4" t="s">
        <v>163</v>
      </c>
      <c r="D466" s="4" t="s">
        <v>16</v>
      </c>
      <c r="E466" s="4" t="s">
        <v>17</v>
      </c>
      <c r="F466" s="4" t="s">
        <v>18</v>
      </c>
      <c r="G466" s="5">
        <v>0.1</v>
      </c>
      <c r="H466" s="5">
        <v>0.4</v>
      </c>
      <c r="I466" s="5">
        <v>0.05</v>
      </c>
      <c r="J466" s="6">
        <v>0.70967741935483875</v>
      </c>
      <c r="K466" s="6">
        <v>0.75931818181818189</v>
      </c>
      <c r="L466" s="6">
        <v>0.65189915666931841</v>
      </c>
      <c r="M466" s="4" t="s">
        <v>193</v>
      </c>
      <c r="N466" s="4">
        <v>4.78695754232462E-2</v>
      </c>
      <c r="O466" s="4">
        <v>0</v>
      </c>
    </row>
    <row r="467" spans="1:15" x14ac:dyDescent="0.3">
      <c r="A467" s="4">
        <v>466</v>
      </c>
      <c r="B467" s="4">
        <v>466000</v>
      </c>
      <c r="C467" s="4" t="s">
        <v>163</v>
      </c>
      <c r="D467" s="4" t="s">
        <v>16</v>
      </c>
      <c r="E467" s="4" t="s">
        <v>17</v>
      </c>
      <c r="F467" s="4" t="s">
        <v>18</v>
      </c>
      <c r="G467" s="5">
        <v>0.1</v>
      </c>
      <c r="H467" s="5">
        <v>0.4</v>
      </c>
      <c r="I467" s="5">
        <v>0.05</v>
      </c>
      <c r="J467" s="6">
        <v>0.70967741935483875</v>
      </c>
      <c r="K467" s="6">
        <v>0.75840909090909114</v>
      </c>
      <c r="L467" s="6">
        <v>0.64852916152963191</v>
      </c>
      <c r="M467" s="4" t="s">
        <v>182</v>
      </c>
      <c r="N467" s="4">
        <v>5.1994720506439163E-2</v>
      </c>
      <c r="O467" s="4">
        <v>0</v>
      </c>
    </row>
    <row r="468" spans="1:15" x14ac:dyDescent="0.3">
      <c r="A468" s="4">
        <v>467</v>
      </c>
      <c r="B468" s="4">
        <v>467000</v>
      </c>
      <c r="C468" s="4" t="s">
        <v>163</v>
      </c>
      <c r="D468" s="4" t="s">
        <v>16</v>
      </c>
      <c r="E468" s="4" t="s">
        <v>17</v>
      </c>
      <c r="F468" s="4" t="s">
        <v>18</v>
      </c>
      <c r="G468" s="5">
        <v>0.1</v>
      </c>
      <c r="H468" s="5">
        <v>0.4</v>
      </c>
      <c r="I468" s="5">
        <v>0.05</v>
      </c>
      <c r="J468" s="6">
        <v>0.70967741935483875</v>
      </c>
      <c r="K468" s="6">
        <v>0.75931818181818189</v>
      </c>
      <c r="L468" s="6">
        <v>0.65193338902326159</v>
      </c>
      <c r="M468" s="4" t="s">
        <v>182</v>
      </c>
      <c r="N468" s="4">
        <v>5.2045584421627551E-2</v>
      </c>
      <c r="O468" s="4">
        <v>0</v>
      </c>
    </row>
    <row r="469" spans="1:15" x14ac:dyDescent="0.3">
      <c r="A469" s="4">
        <v>468</v>
      </c>
      <c r="B469" s="4">
        <v>468000</v>
      </c>
      <c r="C469" s="4" t="s">
        <v>163</v>
      </c>
      <c r="D469" s="4" t="s">
        <v>16</v>
      </c>
      <c r="E469" s="4" t="s">
        <v>17</v>
      </c>
      <c r="F469" s="4" t="s">
        <v>18</v>
      </c>
      <c r="G469" s="5">
        <v>0.1</v>
      </c>
      <c r="H469" s="5">
        <v>0.4</v>
      </c>
      <c r="I469" s="5">
        <v>0.05</v>
      </c>
      <c r="J469" s="6">
        <v>0.70967741935483875</v>
      </c>
      <c r="K469" s="6">
        <v>0.76340909090909115</v>
      </c>
      <c r="L469" s="6">
        <v>0.66305369980523909</v>
      </c>
      <c r="M469" s="4" t="s">
        <v>214</v>
      </c>
      <c r="N469" s="4">
        <v>5.1374086865174418E-2</v>
      </c>
      <c r="O469" s="4">
        <v>0</v>
      </c>
    </row>
    <row r="470" spans="1:15" x14ac:dyDescent="0.3">
      <c r="A470" s="4">
        <v>469</v>
      </c>
      <c r="B470" s="4">
        <v>469000</v>
      </c>
      <c r="C470" s="4" t="s">
        <v>163</v>
      </c>
      <c r="D470" s="4" t="s">
        <v>16</v>
      </c>
      <c r="E470" s="4" t="s">
        <v>17</v>
      </c>
      <c r="F470" s="4" t="s">
        <v>18</v>
      </c>
      <c r="G470" s="5">
        <v>0.1</v>
      </c>
      <c r="H470" s="5">
        <v>0.4</v>
      </c>
      <c r="I470" s="5">
        <v>0.05</v>
      </c>
      <c r="J470" s="6">
        <v>0.72580645161290325</v>
      </c>
      <c r="K470" s="6">
        <v>0.76444444444444459</v>
      </c>
      <c r="L470" s="6">
        <v>0.66081759403424134</v>
      </c>
      <c r="M470" s="4" t="s">
        <v>185</v>
      </c>
      <c r="N470" s="4">
        <v>6.0329507014090213E-2</v>
      </c>
      <c r="O470" s="4">
        <v>0</v>
      </c>
    </row>
    <row r="471" spans="1:15" x14ac:dyDescent="0.3">
      <c r="A471" s="4">
        <v>470</v>
      </c>
      <c r="B471" s="4">
        <v>470000</v>
      </c>
      <c r="C471" s="4" t="s">
        <v>163</v>
      </c>
      <c r="D471" s="4" t="s">
        <v>16</v>
      </c>
      <c r="E471" s="4" t="s">
        <v>17</v>
      </c>
      <c r="F471" s="4" t="s">
        <v>18</v>
      </c>
      <c r="G471" s="5">
        <v>0.1</v>
      </c>
      <c r="H471" s="5">
        <v>0.4</v>
      </c>
      <c r="I471" s="5">
        <v>0.05</v>
      </c>
      <c r="J471" s="6">
        <v>0.72580645161290325</v>
      </c>
      <c r="K471" s="6">
        <v>0.77355555555555577</v>
      </c>
      <c r="L471" s="6">
        <v>0.64756084468515751</v>
      </c>
      <c r="M471" s="4" t="s">
        <v>26</v>
      </c>
      <c r="N471" s="4">
        <v>6.5732057692716311E-2</v>
      </c>
      <c r="O471" s="4">
        <v>0</v>
      </c>
    </row>
    <row r="472" spans="1:15" x14ac:dyDescent="0.3">
      <c r="A472" s="4">
        <v>471</v>
      </c>
      <c r="B472" s="4">
        <v>471000</v>
      </c>
      <c r="C472" s="4" t="s">
        <v>163</v>
      </c>
      <c r="D472" s="4" t="s">
        <v>16</v>
      </c>
      <c r="E472" s="4" t="s">
        <v>17</v>
      </c>
      <c r="F472" s="4" t="s">
        <v>18</v>
      </c>
      <c r="G472" s="5">
        <v>0.1</v>
      </c>
      <c r="H472" s="5">
        <v>0.4</v>
      </c>
      <c r="I472" s="5">
        <v>0.05</v>
      </c>
      <c r="J472" s="6">
        <v>0.72580645161290325</v>
      </c>
      <c r="K472" s="6">
        <v>0.77400000000000013</v>
      </c>
      <c r="L472" s="6">
        <v>0.63846195310539122</v>
      </c>
      <c r="M472" s="4" t="s">
        <v>176</v>
      </c>
      <c r="N472" s="4">
        <v>7.3786127871299165E-2</v>
      </c>
      <c r="O472" s="4">
        <v>0</v>
      </c>
    </row>
    <row r="473" spans="1:15" x14ac:dyDescent="0.3">
      <c r="A473" s="4">
        <v>472</v>
      </c>
      <c r="B473" s="4">
        <v>472000</v>
      </c>
      <c r="C473" s="4" t="s">
        <v>163</v>
      </c>
      <c r="D473" s="4" t="s">
        <v>16</v>
      </c>
      <c r="E473" s="4" t="s">
        <v>17</v>
      </c>
      <c r="F473" s="4" t="s">
        <v>18</v>
      </c>
      <c r="G473" s="5">
        <v>0.1</v>
      </c>
      <c r="H473" s="5">
        <v>0.4</v>
      </c>
      <c r="I473" s="5">
        <v>0.05</v>
      </c>
      <c r="J473" s="6">
        <v>0.69841269841269837</v>
      </c>
      <c r="K473" s="6">
        <v>0.77500000000000024</v>
      </c>
      <c r="L473" s="6">
        <v>0.65447030240306481</v>
      </c>
      <c r="M473" s="4" t="s">
        <v>118</v>
      </c>
      <c r="N473" s="4">
        <v>8.7434771522065621E-2</v>
      </c>
      <c r="O473" s="4">
        <v>0</v>
      </c>
    </row>
    <row r="474" spans="1:15" x14ac:dyDescent="0.3">
      <c r="A474" s="4">
        <v>473</v>
      </c>
      <c r="B474" s="4">
        <v>473000</v>
      </c>
      <c r="C474" s="4" t="s">
        <v>163</v>
      </c>
      <c r="D474" s="4" t="s">
        <v>16</v>
      </c>
      <c r="E474" s="4" t="s">
        <v>17</v>
      </c>
      <c r="F474" s="4" t="s">
        <v>18</v>
      </c>
      <c r="G474" s="5">
        <v>0.1</v>
      </c>
      <c r="H474" s="5">
        <v>0.4</v>
      </c>
      <c r="I474" s="5">
        <v>0.05</v>
      </c>
      <c r="J474" s="6">
        <v>0.7142857142857143</v>
      </c>
      <c r="K474" s="6">
        <v>0.78111111111111142</v>
      </c>
      <c r="L474" s="6">
        <v>0.6447898848009247</v>
      </c>
      <c r="M474" s="4" t="s">
        <v>160</v>
      </c>
      <c r="N474" s="4">
        <v>0.1000605817388838</v>
      </c>
      <c r="O474" s="4">
        <v>0</v>
      </c>
    </row>
    <row r="475" spans="1:15" x14ac:dyDescent="0.3">
      <c r="A475" s="4">
        <v>474</v>
      </c>
      <c r="B475" s="4">
        <v>474000</v>
      </c>
      <c r="C475" s="4" t="s">
        <v>163</v>
      </c>
      <c r="D475" s="4" t="s">
        <v>16</v>
      </c>
      <c r="E475" s="4" t="s">
        <v>17</v>
      </c>
      <c r="F475" s="4" t="s">
        <v>18</v>
      </c>
      <c r="G475" s="5">
        <v>0.1</v>
      </c>
      <c r="H475" s="5">
        <v>0.4</v>
      </c>
      <c r="I475" s="5">
        <v>0.05</v>
      </c>
      <c r="J475" s="6">
        <v>0.7142857142857143</v>
      </c>
      <c r="K475" s="6">
        <v>0.77644444444444471</v>
      </c>
      <c r="L475" s="6">
        <v>0.63229700292482549</v>
      </c>
      <c r="M475" s="4" t="s">
        <v>63</v>
      </c>
      <c r="N475" s="4">
        <v>0.11127444825055841</v>
      </c>
      <c r="O475" s="4">
        <v>0</v>
      </c>
    </row>
    <row r="476" spans="1:15" x14ac:dyDescent="0.3">
      <c r="A476" s="4">
        <v>475</v>
      </c>
      <c r="B476" s="4">
        <v>475000</v>
      </c>
      <c r="C476" s="4" t="s">
        <v>163</v>
      </c>
      <c r="D476" s="4" t="s">
        <v>16</v>
      </c>
      <c r="E476" s="4" t="s">
        <v>17</v>
      </c>
      <c r="F476" s="4" t="s">
        <v>18</v>
      </c>
      <c r="G476" s="5">
        <v>0.1</v>
      </c>
      <c r="H476" s="5">
        <v>0.4</v>
      </c>
      <c r="I476" s="5">
        <v>0.05</v>
      </c>
      <c r="J476" s="6">
        <v>0.71875</v>
      </c>
      <c r="K476" s="6">
        <v>0.77326086956521756</v>
      </c>
      <c r="L476" s="6">
        <v>0.62910092317778521</v>
      </c>
      <c r="M476" s="4" t="s">
        <v>29</v>
      </c>
      <c r="N476" s="4">
        <v>0.12074718276390629</v>
      </c>
      <c r="O476" s="4">
        <v>0</v>
      </c>
    </row>
    <row r="477" spans="1:15" x14ac:dyDescent="0.3">
      <c r="A477" s="4">
        <v>1</v>
      </c>
      <c r="B477" s="4">
        <v>1000</v>
      </c>
      <c r="C477" s="4" t="s">
        <v>163</v>
      </c>
      <c r="D477" s="4" t="s">
        <v>161</v>
      </c>
      <c r="E477" s="4" t="s">
        <v>17</v>
      </c>
      <c r="F477" s="4" t="s">
        <v>18</v>
      </c>
      <c r="G477" s="5">
        <v>0.81111111111111112</v>
      </c>
      <c r="H477" s="5">
        <v>0.4</v>
      </c>
      <c r="I477" s="5">
        <v>0.05</v>
      </c>
      <c r="J477" s="6">
        <v>0.875</v>
      </c>
      <c r="K477" s="6">
        <v>0.93142857142857149</v>
      </c>
      <c r="L477" s="6">
        <v>1</v>
      </c>
      <c r="M477" s="4" t="s">
        <v>19</v>
      </c>
      <c r="N477" s="4">
        <v>1</v>
      </c>
      <c r="O477" s="4">
        <v>1</v>
      </c>
    </row>
    <row r="478" spans="1:15" x14ac:dyDescent="0.3">
      <c r="A478" s="4">
        <v>2</v>
      </c>
      <c r="B478" s="4">
        <v>2000</v>
      </c>
      <c r="C478" s="4" t="s">
        <v>163</v>
      </c>
      <c r="D478" s="4" t="s">
        <v>161</v>
      </c>
      <c r="E478" s="4" t="s">
        <v>17</v>
      </c>
      <c r="F478" s="4" t="s">
        <v>18</v>
      </c>
      <c r="G478" s="5">
        <v>0.9</v>
      </c>
      <c r="H478" s="5">
        <v>0.4</v>
      </c>
      <c r="I478" s="5">
        <v>0.05</v>
      </c>
      <c r="J478" s="6">
        <v>0.53846153846153844</v>
      </c>
      <c r="K478" s="6">
        <v>0.95714285714285718</v>
      </c>
      <c r="L478" s="6">
        <v>1</v>
      </c>
      <c r="M478" s="4" t="s">
        <v>19</v>
      </c>
      <c r="N478" s="4">
        <v>1</v>
      </c>
      <c r="O478" s="4">
        <v>1</v>
      </c>
    </row>
    <row r="479" spans="1:15" x14ac:dyDescent="0.3">
      <c r="A479" s="4">
        <v>3</v>
      </c>
      <c r="B479" s="4">
        <v>3000</v>
      </c>
      <c r="C479" s="4" t="s">
        <v>163</v>
      </c>
      <c r="D479" s="4" t="s">
        <v>161</v>
      </c>
      <c r="E479" s="4" t="s">
        <v>17</v>
      </c>
      <c r="F479" s="4" t="s">
        <v>18</v>
      </c>
      <c r="G479" s="5">
        <v>0.9</v>
      </c>
      <c r="H479" s="5">
        <v>0.4</v>
      </c>
      <c r="I479" s="5">
        <v>0.05</v>
      </c>
      <c r="J479" s="6">
        <v>0.53333333333333333</v>
      </c>
      <c r="K479" s="6">
        <v>0.96374999999999988</v>
      </c>
      <c r="L479" s="6">
        <v>0.3571428571428571</v>
      </c>
      <c r="M479" s="4" t="s">
        <v>24</v>
      </c>
      <c r="N479" s="4">
        <v>7.2796843074874801E-2</v>
      </c>
      <c r="O479" s="4">
        <v>0</v>
      </c>
    </row>
    <row r="480" spans="1:15" x14ac:dyDescent="0.3">
      <c r="A480" s="4">
        <v>4</v>
      </c>
      <c r="B480" s="4">
        <v>4000</v>
      </c>
      <c r="C480" s="4" t="s">
        <v>163</v>
      </c>
      <c r="D480" s="4" t="s">
        <v>161</v>
      </c>
      <c r="E480" s="4" t="s">
        <v>17</v>
      </c>
      <c r="F480" s="4" t="s">
        <v>18</v>
      </c>
      <c r="G480" s="5">
        <v>0.1</v>
      </c>
      <c r="H480" s="5">
        <v>0.4</v>
      </c>
      <c r="I480" s="5">
        <v>0.1166666666666667</v>
      </c>
      <c r="J480" s="6">
        <v>0.76923076923076927</v>
      </c>
      <c r="K480" s="6">
        <v>0.73799999999999999</v>
      </c>
      <c r="L480" s="6">
        <v>0.8318965517241379</v>
      </c>
      <c r="M480" s="4" t="s">
        <v>19</v>
      </c>
      <c r="N480" s="4">
        <v>1</v>
      </c>
      <c r="O480" s="4">
        <v>1</v>
      </c>
    </row>
    <row r="481" spans="1:15" x14ac:dyDescent="0.3">
      <c r="A481" s="4">
        <v>5</v>
      </c>
      <c r="B481" s="4">
        <v>5000</v>
      </c>
      <c r="C481" s="4" t="s">
        <v>163</v>
      </c>
      <c r="D481" s="4" t="s">
        <v>161</v>
      </c>
      <c r="E481" s="4" t="s">
        <v>17</v>
      </c>
      <c r="F481" s="4" t="s">
        <v>18</v>
      </c>
      <c r="G481" s="5">
        <v>0.1</v>
      </c>
      <c r="H481" s="5">
        <v>0.4</v>
      </c>
      <c r="I481" s="5">
        <v>0.18333333333333329</v>
      </c>
      <c r="J481" s="6">
        <v>0.7857142857142857</v>
      </c>
      <c r="K481" s="6">
        <v>0.74954545454545463</v>
      </c>
      <c r="L481" s="6">
        <v>0.6647887323943662</v>
      </c>
      <c r="M481" s="4" t="s">
        <v>19</v>
      </c>
      <c r="N481" s="4">
        <v>1</v>
      </c>
      <c r="O481" s="4">
        <v>1</v>
      </c>
    </row>
    <row r="482" spans="1:15" x14ac:dyDescent="0.3">
      <c r="A482" s="4">
        <v>6</v>
      </c>
      <c r="B482" s="4">
        <v>6000</v>
      </c>
      <c r="C482" s="4" t="s">
        <v>163</v>
      </c>
      <c r="D482" s="4" t="s">
        <v>161</v>
      </c>
      <c r="E482" s="4" t="s">
        <v>17</v>
      </c>
      <c r="F482" s="4" t="s">
        <v>18</v>
      </c>
      <c r="G482" s="5">
        <v>0.54444444444444451</v>
      </c>
      <c r="H482" s="5">
        <v>0.4</v>
      </c>
      <c r="I482" s="5">
        <v>0.1166666666666667</v>
      </c>
      <c r="J482" s="6">
        <v>0.5</v>
      </c>
      <c r="K482" s="6">
        <v>0.89937500000000015</v>
      </c>
      <c r="L482" s="6">
        <v>0.76829268292682917</v>
      </c>
      <c r="M482" s="4" t="s">
        <v>19</v>
      </c>
      <c r="N482" s="4">
        <v>1</v>
      </c>
      <c r="O482" s="4">
        <v>1</v>
      </c>
    </row>
    <row r="483" spans="1:15" x14ac:dyDescent="0.3">
      <c r="A483" s="4">
        <v>7</v>
      </c>
      <c r="B483" s="4">
        <v>7000</v>
      </c>
      <c r="C483" s="4" t="s">
        <v>163</v>
      </c>
      <c r="D483" s="4" t="s">
        <v>161</v>
      </c>
      <c r="E483" s="4" t="s">
        <v>17</v>
      </c>
      <c r="F483" s="4" t="s">
        <v>18</v>
      </c>
      <c r="G483" s="5">
        <v>0.54444444444444451</v>
      </c>
      <c r="H483" s="5">
        <v>0.4</v>
      </c>
      <c r="I483" s="5">
        <v>0.1166666666666667</v>
      </c>
      <c r="J483" s="6">
        <v>0.60606060606060608</v>
      </c>
      <c r="K483" s="6">
        <v>0.83400000000000019</v>
      </c>
      <c r="L483" s="6">
        <v>0.65091184958832016</v>
      </c>
      <c r="M483" s="4" t="s">
        <v>164</v>
      </c>
      <c r="N483" s="4">
        <v>5.2925159318655567E-2</v>
      </c>
      <c r="O483" s="4">
        <v>0</v>
      </c>
    </row>
    <row r="484" spans="1:15" x14ac:dyDescent="0.3">
      <c r="A484" s="4">
        <v>8</v>
      </c>
      <c r="B484" s="4">
        <v>8000</v>
      </c>
      <c r="C484" s="4" t="s">
        <v>163</v>
      </c>
      <c r="D484" s="4" t="s">
        <v>161</v>
      </c>
      <c r="E484" s="4" t="s">
        <v>17</v>
      </c>
      <c r="F484" s="4" t="s">
        <v>18</v>
      </c>
      <c r="G484" s="5">
        <v>0.54444444444444451</v>
      </c>
      <c r="H484" s="5">
        <v>0.4</v>
      </c>
      <c r="I484" s="5">
        <v>0.1166666666666667</v>
      </c>
      <c r="J484" s="6">
        <v>0.58333333333333337</v>
      </c>
      <c r="K484" s="6">
        <v>0.8376190476190476</v>
      </c>
      <c r="L484" s="6">
        <v>0.69512991881412933</v>
      </c>
      <c r="M484" s="4" t="s">
        <v>73</v>
      </c>
      <c r="N484" s="4">
        <v>9.193652061042823E-2</v>
      </c>
      <c r="O484" s="4">
        <v>0</v>
      </c>
    </row>
    <row r="485" spans="1:15" x14ac:dyDescent="0.3">
      <c r="A485" s="4">
        <v>9</v>
      </c>
      <c r="B485" s="4">
        <v>9000</v>
      </c>
      <c r="C485" s="4" t="s">
        <v>163</v>
      </c>
      <c r="D485" s="4" t="s">
        <v>161</v>
      </c>
      <c r="E485" s="4" t="s">
        <v>17</v>
      </c>
      <c r="F485" s="4" t="s">
        <v>18</v>
      </c>
      <c r="G485" s="5">
        <v>0.54444444444444451</v>
      </c>
      <c r="H485" s="5">
        <v>0.4</v>
      </c>
      <c r="I485" s="5">
        <v>0.1166666666666667</v>
      </c>
      <c r="J485" s="6">
        <v>0.625</v>
      </c>
      <c r="K485" s="6">
        <v>0.81279999999999997</v>
      </c>
      <c r="L485" s="6">
        <v>0.51870255513586638</v>
      </c>
      <c r="M485" s="4" t="s">
        <v>54</v>
      </c>
      <c r="N485" s="4">
        <v>0.13823650851250441</v>
      </c>
      <c r="O485" s="4">
        <v>0</v>
      </c>
    </row>
    <row r="486" spans="1:15" x14ac:dyDescent="0.3">
      <c r="A486" s="4">
        <v>10</v>
      </c>
      <c r="B486" s="4">
        <v>10000</v>
      </c>
      <c r="C486" s="4" t="s">
        <v>163</v>
      </c>
      <c r="D486" s="4" t="s">
        <v>161</v>
      </c>
      <c r="E486" s="4" t="s">
        <v>17</v>
      </c>
      <c r="F486" s="4" t="s">
        <v>18</v>
      </c>
      <c r="G486" s="5">
        <v>0.1</v>
      </c>
      <c r="H486" s="5">
        <v>0.60000000000000009</v>
      </c>
      <c r="I486" s="5">
        <v>0.05</v>
      </c>
      <c r="J486" s="6">
        <v>0.73333333333333328</v>
      </c>
      <c r="K486" s="6">
        <v>0.81000000000000016</v>
      </c>
      <c r="L486" s="6">
        <v>0.7182468549848916</v>
      </c>
      <c r="M486" s="4" t="s">
        <v>19</v>
      </c>
      <c r="N486" s="4">
        <v>1</v>
      </c>
      <c r="O486" s="4">
        <v>1</v>
      </c>
    </row>
    <row r="487" spans="1:15" x14ac:dyDescent="0.3">
      <c r="A487" s="4">
        <v>11</v>
      </c>
      <c r="B487" s="4">
        <v>11000</v>
      </c>
      <c r="C487" s="4" t="s">
        <v>163</v>
      </c>
      <c r="D487" s="4" t="s">
        <v>161</v>
      </c>
      <c r="E487" s="4" t="s">
        <v>17</v>
      </c>
      <c r="F487" s="4" t="s">
        <v>18</v>
      </c>
      <c r="G487" s="5">
        <v>0.1</v>
      </c>
      <c r="H487" s="5">
        <v>0.60000000000000009</v>
      </c>
      <c r="I487" s="5">
        <v>0.05</v>
      </c>
      <c r="J487" s="6">
        <v>0.71111111111111114</v>
      </c>
      <c r="K487" s="6">
        <v>0.83750000000000002</v>
      </c>
      <c r="L487" s="6">
        <v>0.67243844325066915</v>
      </c>
      <c r="M487" s="4" t="s">
        <v>165</v>
      </c>
      <c r="N487" s="4">
        <v>3.3579259577835252E-2</v>
      </c>
      <c r="O487" s="4">
        <v>0</v>
      </c>
    </row>
    <row r="488" spans="1:15" x14ac:dyDescent="0.3">
      <c r="A488" s="4">
        <v>12</v>
      </c>
      <c r="B488" s="4">
        <v>12000</v>
      </c>
      <c r="C488" s="4" t="s">
        <v>163</v>
      </c>
      <c r="D488" s="4" t="s">
        <v>161</v>
      </c>
      <c r="E488" s="4" t="s">
        <v>17</v>
      </c>
      <c r="F488" s="4" t="s">
        <v>18</v>
      </c>
      <c r="G488" s="5">
        <v>0.1</v>
      </c>
      <c r="H488" s="5">
        <v>0.60000000000000009</v>
      </c>
      <c r="I488" s="5">
        <v>0.05</v>
      </c>
      <c r="J488" s="6">
        <v>0.72340425531914898</v>
      </c>
      <c r="K488" s="6">
        <v>0.82941176470588229</v>
      </c>
      <c r="L488" s="6">
        <v>0.68330151375388359</v>
      </c>
      <c r="M488" s="4" t="s">
        <v>57</v>
      </c>
      <c r="N488" s="4">
        <v>5.3835211445127248E-2</v>
      </c>
      <c r="O488" s="4">
        <v>0</v>
      </c>
    </row>
    <row r="489" spans="1:15" x14ac:dyDescent="0.3">
      <c r="A489" s="4">
        <v>13</v>
      </c>
      <c r="B489" s="4">
        <v>13000</v>
      </c>
      <c r="C489" s="4" t="s">
        <v>163</v>
      </c>
      <c r="D489" s="4" t="s">
        <v>161</v>
      </c>
      <c r="E489" s="4" t="s">
        <v>17</v>
      </c>
      <c r="F489" s="4" t="s">
        <v>18</v>
      </c>
      <c r="G489" s="5">
        <v>0.1</v>
      </c>
      <c r="H489" s="5">
        <v>0.60000000000000009</v>
      </c>
      <c r="I489" s="5">
        <v>0.05</v>
      </c>
      <c r="J489" s="6">
        <v>0.74468085106382975</v>
      </c>
      <c r="K489" s="6">
        <v>0.81285714285714294</v>
      </c>
      <c r="L489" s="6">
        <v>0.65415711546977784</v>
      </c>
      <c r="M489" s="4" t="s">
        <v>128</v>
      </c>
      <c r="N489" s="4">
        <v>7.1311311464680144E-2</v>
      </c>
      <c r="O489" s="4">
        <v>0</v>
      </c>
    </row>
    <row r="490" spans="1:15" x14ac:dyDescent="0.3">
      <c r="A490" s="4">
        <v>14</v>
      </c>
      <c r="B490" s="4">
        <v>14000</v>
      </c>
      <c r="C490" s="4" t="s">
        <v>163</v>
      </c>
      <c r="D490" s="4" t="s">
        <v>161</v>
      </c>
      <c r="E490" s="4" t="s">
        <v>17</v>
      </c>
      <c r="F490" s="4" t="s">
        <v>18</v>
      </c>
      <c r="G490" s="5">
        <v>0.1</v>
      </c>
      <c r="H490" s="5">
        <v>0.60000000000000009</v>
      </c>
      <c r="I490" s="5">
        <v>0.05</v>
      </c>
      <c r="J490" s="6">
        <v>0.74468085106382975</v>
      </c>
      <c r="K490" s="6">
        <v>0.81971428571428573</v>
      </c>
      <c r="L490" s="6">
        <v>0.70995235102148169</v>
      </c>
      <c r="M490" s="4" t="s">
        <v>106</v>
      </c>
      <c r="N490" s="4">
        <v>8.2218596398275848E-2</v>
      </c>
      <c r="O490" s="4">
        <v>0</v>
      </c>
    </row>
    <row r="491" spans="1:15" x14ac:dyDescent="0.3">
      <c r="A491" s="4">
        <v>15</v>
      </c>
      <c r="B491" s="4">
        <v>15000</v>
      </c>
      <c r="C491" s="4" t="s">
        <v>163</v>
      </c>
      <c r="D491" s="4" t="s">
        <v>161</v>
      </c>
      <c r="E491" s="4" t="s">
        <v>17</v>
      </c>
      <c r="F491" s="4" t="s">
        <v>18</v>
      </c>
      <c r="G491" s="5">
        <v>0.1</v>
      </c>
      <c r="H491" s="5">
        <v>0.60000000000000009</v>
      </c>
      <c r="I491" s="5">
        <v>0.05</v>
      </c>
      <c r="J491" s="6">
        <v>0.72340425531914898</v>
      </c>
      <c r="K491" s="6">
        <v>0.83264705882352952</v>
      </c>
      <c r="L491" s="6">
        <v>0.69516399813760055</v>
      </c>
      <c r="M491" s="4" t="s">
        <v>22</v>
      </c>
      <c r="N491" s="4">
        <v>9.4454159949271144E-2</v>
      </c>
      <c r="O491" s="4">
        <v>0</v>
      </c>
    </row>
    <row r="492" spans="1:15" x14ac:dyDescent="0.3">
      <c r="A492" s="4">
        <v>16</v>
      </c>
      <c r="B492" s="4">
        <v>16000</v>
      </c>
      <c r="C492" s="4" t="s">
        <v>163</v>
      </c>
      <c r="D492" s="4" t="s">
        <v>161</v>
      </c>
      <c r="E492" s="4" t="s">
        <v>17</v>
      </c>
      <c r="F492" s="4" t="s">
        <v>18</v>
      </c>
      <c r="G492" s="5">
        <v>0.1</v>
      </c>
      <c r="H492" s="5">
        <v>0.60000000000000009</v>
      </c>
      <c r="I492" s="5">
        <v>0.05</v>
      </c>
      <c r="J492" s="6">
        <v>0.76595744680851063</v>
      </c>
      <c r="K492" s="6">
        <v>0.84416666666666662</v>
      </c>
      <c r="L492" s="6">
        <v>0.69449489768460682</v>
      </c>
      <c r="M492" s="4" t="s">
        <v>99</v>
      </c>
      <c r="N492" s="4">
        <v>0.1028607278457052</v>
      </c>
      <c r="O492" s="4">
        <v>0</v>
      </c>
    </row>
    <row r="493" spans="1:15" x14ac:dyDescent="0.3">
      <c r="A493" s="4">
        <v>17</v>
      </c>
      <c r="B493" s="4">
        <v>17000</v>
      </c>
      <c r="C493" s="4" t="s">
        <v>163</v>
      </c>
      <c r="D493" s="4" t="s">
        <v>161</v>
      </c>
      <c r="E493" s="4" t="s">
        <v>17</v>
      </c>
      <c r="F493" s="4" t="s">
        <v>18</v>
      </c>
      <c r="G493" s="5">
        <v>0.1</v>
      </c>
      <c r="H493" s="5">
        <v>0.60000000000000009</v>
      </c>
      <c r="I493" s="5">
        <v>0.05</v>
      </c>
      <c r="J493" s="6">
        <v>0.72340425531914898</v>
      </c>
      <c r="K493" s="6">
        <v>0.85352941176470587</v>
      </c>
      <c r="L493" s="6">
        <v>0.7033717189901364</v>
      </c>
      <c r="M493" s="4" t="s">
        <v>63</v>
      </c>
      <c r="N493" s="4">
        <v>0.11098516629180161</v>
      </c>
      <c r="O493" s="4">
        <v>0</v>
      </c>
    </row>
    <row r="494" spans="1:15" x14ac:dyDescent="0.3">
      <c r="A494" s="4">
        <v>18</v>
      </c>
      <c r="B494" s="4">
        <v>18000</v>
      </c>
      <c r="C494" s="4" t="s">
        <v>163</v>
      </c>
      <c r="D494" s="4" t="s">
        <v>161</v>
      </c>
      <c r="E494" s="4" t="s">
        <v>17</v>
      </c>
      <c r="F494" s="4" t="s">
        <v>18</v>
      </c>
      <c r="G494" s="5">
        <v>0.1</v>
      </c>
      <c r="H494" s="5">
        <v>0.60000000000000009</v>
      </c>
      <c r="I494" s="5">
        <v>0.05</v>
      </c>
      <c r="J494" s="6">
        <v>0.72340425531914898</v>
      </c>
      <c r="K494" s="6">
        <v>0.85617647058823509</v>
      </c>
      <c r="L494" s="6">
        <v>0.7023359065145578</v>
      </c>
      <c r="M494" s="4" t="s">
        <v>136</v>
      </c>
      <c r="N494" s="4">
        <v>0.10588907738044839</v>
      </c>
      <c r="O494" s="4">
        <v>0</v>
      </c>
    </row>
    <row r="495" spans="1:15" x14ac:dyDescent="0.3">
      <c r="A495" s="4">
        <v>19</v>
      </c>
      <c r="B495" s="4">
        <v>19000</v>
      </c>
      <c r="C495" s="4" t="s">
        <v>163</v>
      </c>
      <c r="D495" s="4" t="s">
        <v>161</v>
      </c>
      <c r="E495" s="4" t="s">
        <v>17</v>
      </c>
      <c r="F495" s="4" t="s">
        <v>18</v>
      </c>
      <c r="G495" s="5">
        <v>0.1</v>
      </c>
      <c r="H495" s="5">
        <v>0.60000000000000009</v>
      </c>
      <c r="I495" s="5">
        <v>0.05</v>
      </c>
      <c r="J495" s="6">
        <v>0.72340425531914898</v>
      </c>
      <c r="K495" s="6">
        <v>0.85676470588235287</v>
      </c>
      <c r="L495" s="6">
        <v>0.71970411213149998</v>
      </c>
      <c r="M495" s="4" t="s">
        <v>47</v>
      </c>
      <c r="N495" s="4">
        <v>0.10760280143907409</v>
      </c>
      <c r="O495" s="4">
        <v>0</v>
      </c>
    </row>
    <row r="496" spans="1:15" x14ac:dyDescent="0.3">
      <c r="A496" s="4">
        <v>20</v>
      </c>
      <c r="B496" s="4">
        <v>20000</v>
      </c>
      <c r="C496" s="4" t="s">
        <v>163</v>
      </c>
      <c r="D496" s="4" t="s">
        <v>161</v>
      </c>
      <c r="E496" s="4" t="s">
        <v>17</v>
      </c>
      <c r="F496" s="4" t="s">
        <v>18</v>
      </c>
      <c r="G496" s="5">
        <v>0.81111111111111112</v>
      </c>
      <c r="H496" s="5">
        <v>0.8</v>
      </c>
      <c r="I496" s="5">
        <v>0.05</v>
      </c>
      <c r="J496" s="6">
        <v>0.51020408163265307</v>
      </c>
      <c r="K496" s="6">
        <v>0.94759999999999989</v>
      </c>
      <c r="L496" s="6">
        <v>0.75308413666469942</v>
      </c>
      <c r="M496" s="4" t="s">
        <v>19</v>
      </c>
      <c r="N496" s="4">
        <v>1</v>
      </c>
      <c r="O496" s="4">
        <v>1</v>
      </c>
    </row>
    <row r="497" spans="1:15" x14ac:dyDescent="0.3">
      <c r="A497" s="4">
        <v>21</v>
      </c>
      <c r="B497" s="4">
        <v>21000</v>
      </c>
      <c r="C497" s="4" t="s">
        <v>163</v>
      </c>
      <c r="D497" s="4" t="s">
        <v>161</v>
      </c>
      <c r="E497" s="4" t="s">
        <v>17</v>
      </c>
      <c r="F497" s="4" t="s">
        <v>18</v>
      </c>
      <c r="G497" s="5">
        <v>0.81111111111111112</v>
      </c>
      <c r="H497" s="5">
        <v>0.8</v>
      </c>
      <c r="I497" s="5">
        <v>0.05</v>
      </c>
      <c r="J497" s="6">
        <v>0.53061224489795922</v>
      </c>
      <c r="K497" s="6">
        <v>0.94846153846153836</v>
      </c>
      <c r="L497" s="6">
        <v>0.79035106255438181</v>
      </c>
      <c r="M497" s="4" t="s">
        <v>166</v>
      </c>
      <c r="N497" s="4">
        <v>2.0146139964668779E-2</v>
      </c>
      <c r="O497" s="4">
        <v>0</v>
      </c>
    </row>
    <row r="498" spans="1:15" x14ac:dyDescent="0.3">
      <c r="A498" s="4">
        <v>22</v>
      </c>
      <c r="B498" s="4">
        <v>22000</v>
      </c>
      <c r="C498" s="4" t="s">
        <v>163</v>
      </c>
      <c r="D498" s="4" t="s">
        <v>161</v>
      </c>
      <c r="E498" s="4" t="s">
        <v>17</v>
      </c>
      <c r="F498" s="4" t="s">
        <v>18</v>
      </c>
      <c r="G498" s="5">
        <v>0.81111111111111112</v>
      </c>
      <c r="H498" s="5">
        <v>0.8</v>
      </c>
      <c r="I498" s="5">
        <v>0.05</v>
      </c>
      <c r="J498" s="6">
        <v>0.52</v>
      </c>
      <c r="K498" s="6">
        <v>0.94999999999999984</v>
      </c>
      <c r="L498" s="6">
        <v>0.79047941865181703</v>
      </c>
      <c r="M498" s="4" t="s">
        <v>167</v>
      </c>
      <c r="N498" s="4">
        <v>2.9682552189093971E-2</v>
      </c>
      <c r="O498" s="4">
        <v>0</v>
      </c>
    </row>
    <row r="499" spans="1:15" x14ac:dyDescent="0.3">
      <c r="A499" s="4">
        <v>23</v>
      </c>
      <c r="B499" s="4">
        <v>23000</v>
      </c>
      <c r="C499" s="4" t="s">
        <v>163</v>
      </c>
      <c r="D499" s="4" t="s">
        <v>161</v>
      </c>
      <c r="E499" s="4" t="s">
        <v>17</v>
      </c>
      <c r="F499" s="4" t="s">
        <v>18</v>
      </c>
      <c r="G499" s="5">
        <v>0.81111111111111112</v>
      </c>
      <c r="H499" s="5">
        <v>0.8</v>
      </c>
      <c r="I499" s="5">
        <v>0.05</v>
      </c>
      <c r="J499" s="6">
        <v>0.52</v>
      </c>
      <c r="K499" s="6">
        <v>0.95384615384615357</v>
      </c>
      <c r="L499" s="6">
        <v>0.79130740163806235</v>
      </c>
      <c r="M499" s="4" t="s">
        <v>165</v>
      </c>
      <c r="N499" s="4">
        <v>3.4003378246744292E-2</v>
      </c>
      <c r="O499" s="4">
        <v>0</v>
      </c>
    </row>
    <row r="500" spans="1:15" x14ac:dyDescent="0.3">
      <c r="A500" s="4">
        <v>24</v>
      </c>
      <c r="B500" s="4">
        <v>24000</v>
      </c>
      <c r="C500" s="4" t="s">
        <v>163</v>
      </c>
      <c r="D500" s="4" t="s">
        <v>161</v>
      </c>
      <c r="E500" s="4" t="s">
        <v>17</v>
      </c>
      <c r="F500" s="4" t="s">
        <v>18</v>
      </c>
      <c r="G500" s="5">
        <v>0.81111111111111112</v>
      </c>
      <c r="H500" s="5">
        <v>0.8</v>
      </c>
      <c r="I500" s="5">
        <v>0.05</v>
      </c>
      <c r="J500" s="6">
        <v>0.5</v>
      </c>
      <c r="K500" s="6">
        <v>0.95076923076923048</v>
      </c>
      <c r="L500" s="6">
        <v>0.79206553572969263</v>
      </c>
      <c r="M500" s="4" t="s">
        <v>168</v>
      </c>
      <c r="N500" s="4">
        <v>4.3951330867887523E-2</v>
      </c>
      <c r="O500" s="4">
        <v>0</v>
      </c>
    </row>
    <row r="501" spans="1:15" x14ac:dyDescent="0.3">
      <c r="A501" s="4">
        <v>25</v>
      </c>
      <c r="B501" s="4">
        <v>25000</v>
      </c>
      <c r="C501" s="4" t="s">
        <v>163</v>
      </c>
      <c r="D501" s="4" t="s">
        <v>161</v>
      </c>
      <c r="E501" s="4" t="s">
        <v>17</v>
      </c>
      <c r="F501" s="4" t="s">
        <v>18</v>
      </c>
      <c r="G501" s="5">
        <v>0.81111111111111112</v>
      </c>
      <c r="H501" s="5">
        <v>0.8</v>
      </c>
      <c r="I501" s="5">
        <v>0.05</v>
      </c>
      <c r="J501" s="6">
        <v>0.5</v>
      </c>
      <c r="K501" s="6">
        <v>0.95115384615384591</v>
      </c>
      <c r="L501" s="6">
        <v>0.79009213526954214</v>
      </c>
      <c r="M501" s="4" t="s">
        <v>164</v>
      </c>
      <c r="N501" s="4">
        <v>5.3083788332053718E-2</v>
      </c>
      <c r="O501" s="4">
        <v>0</v>
      </c>
    </row>
    <row r="502" spans="1:15" x14ac:dyDescent="0.3">
      <c r="A502" s="4">
        <v>26</v>
      </c>
      <c r="B502" s="4">
        <v>26000</v>
      </c>
      <c r="C502" s="4" t="s">
        <v>163</v>
      </c>
      <c r="D502" s="4" t="s">
        <v>161</v>
      </c>
      <c r="E502" s="4" t="s">
        <v>17</v>
      </c>
      <c r="F502" s="4" t="s">
        <v>18</v>
      </c>
      <c r="G502" s="5">
        <v>0.81111111111111112</v>
      </c>
      <c r="H502" s="5">
        <v>0.8</v>
      </c>
      <c r="I502" s="5">
        <v>0.05</v>
      </c>
      <c r="J502" s="6">
        <v>0.52941176470588236</v>
      </c>
      <c r="K502" s="6">
        <v>0.94888888888888856</v>
      </c>
      <c r="L502" s="6">
        <v>0.78645826154710918</v>
      </c>
      <c r="M502" s="4" t="s">
        <v>169</v>
      </c>
      <c r="N502" s="4">
        <v>6.1283315932522758E-2</v>
      </c>
      <c r="O502" s="4">
        <v>0</v>
      </c>
    </row>
    <row r="503" spans="1:15" x14ac:dyDescent="0.3">
      <c r="A503" s="4">
        <v>27</v>
      </c>
      <c r="B503" s="4">
        <v>27000</v>
      </c>
      <c r="C503" s="4" t="s">
        <v>163</v>
      </c>
      <c r="D503" s="4" t="s">
        <v>161</v>
      </c>
      <c r="E503" s="4" t="s">
        <v>17</v>
      </c>
      <c r="F503" s="4" t="s">
        <v>18</v>
      </c>
      <c r="G503" s="5">
        <v>0.81111111111111112</v>
      </c>
      <c r="H503" s="5">
        <v>0.8</v>
      </c>
      <c r="I503" s="5">
        <v>0.05</v>
      </c>
      <c r="J503" s="6">
        <v>0.5</v>
      </c>
      <c r="K503" s="6">
        <v>0.95115384615384591</v>
      </c>
      <c r="L503" s="6">
        <v>0.75784927783743172</v>
      </c>
      <c r="M503" s="4" t="s">
        <v>152</v>
      </c>
      <c r="N503" s="4">
        <v>7.4728944812063672E-2</v>
      </c>
      <c r="O503" s="4">
        <v>0</v>
      </c>
    </row>
    <row r="504" spans="1:15" x14ac:dyDescent="0.3">
      <c r="A504" s="4">
        <v>28</v>
      </c>
      <c r="B504" s="4">
        <v>28000</v>
      </c>
      <c r="C504" s="4" t="s">
        <v>163</v>
      </c>
      <c r="D504" s="4" t="s">
        <v>161</v>
      </c>
      <c r="E504" s="4" t="s">
        <v>17</v>
      </c>
      <c r="F504" s="4" t="s">
        <v>18</v>
      </c>
      <c r="G504" s="5">
        <v>0.81111111111111112</v>
      </c>
      <c r="H504" s="5">
        <v>0.8</v>
      </c>
      <c r="I504" s="5">
        <v>0.05</v>
      </c>
      <c r="J504" s="6">
        <v>0.50943396226415094</v>
      </c>
      <c r="K504" s="6">
        <v>0.94481481481481466</v>
      </c>
      <c r="L504" s="6">
        <v>0.76442438730257367</v>
      </c>
      <c r="M504" s="4" t="s">
        <v>170</v>
      </c>
      <c r="N504" s="4">
        <v>8.0572111748854841E-2</v>
      </c>
      <c r="O504" s="4">
        <v>0</v>
      </c>
    </row>
    <row r="505" spans="1:15" x14ac:dyDescent="0.3">
      <c r="A505" s="4">
        <v>29</v>
      </c>
      <c r="B505" s="4">
        <v>29000</v>
      </c>
      <c r="C505" s="4" t="s">
        <v>163</v>
      </c>
      <c r="D505" s="4" t="s">
        <v>161</v>
      </c>
      <c r="E505" s="4" t="s">
        <v>17</v>
      </c>
      <c r="F505" s="4" t="s">
        <v>18</v>
      </c>
      <c r="G505" s="5">
        <v>0.81111111111111112</v>
      </c>
      <c r="H505" s="5">
        <v>0.8</v>
      </c>
      <c r="I505" s="5">
        <v>0.05</v>
      </c>
      <c r="J505" s="6">
        <v>0.47169811320754718</v>
      </c>
      <c r="K505" s="6">
        <v>0.95359999999999989</v>
      </c>
      <c r="L505" s="6">
        <v>0.761745633036368</v>
      </c>
      <c r="M505" s="4" t="s">
        <v>39</v>
      </c>
      <c r="N505" s="4">
        <v>9.3247358320082088E-2</v>
      </c>
      <c r="O505" s="4">
        <v>0</v>
      </c>
    </row>
    <row r="506" spans="1:15" x14ac:dyDescent="0.3">
      <c r="A506" s="4">
        <v>30</v>
      </c>
      <c r="B506" s="4">
        <v>30000</v>
      </c>
      <c r="C506" s="4" t="s">
        <v>163</v>
      </c>
      <c r="D506" s="4" t="s">
        <v>161</v>
      </c>
      <c r="E506" s="4" t="s">
        <v>17</v>
      </c>
      <c r="F506" s="4" t="s">
        <v>18</v>
      </c>
      <c r="G506" s="5">
        <v>0.81111111111111112</v>
      </c>
      <c r="H506" s="5">
        <v>0.8</v>
      </c>
      <c r="I506" s="5">
        <v>0.05</v>
      </c>
      <c r="J506" s="6">
        <v>0.47169811320754718</v>
      </c>
      <c r="K506" s="6">
        <v>0.95319999999999983</v>
      </c>
      <c r="L506" s="6">
        <v>0.76169216687957575</v>
      </c>
      <c r="M506" s="4" t="s">
        <v>160</v>
      </c>
      <c r="N506" s="4">
        <v>9.9623214392308257E-2</v>
      </c>
      <c r="O506" s="4">
        <v>0</v>
      </c>
    </row>
    <row r="507" spans="1:15" x14ac:dyDescent="0.3">
      <c r="A507" s="4">
        <v>31</v>
      </c>
      <c r="B507" s="4">
        <v>31000</v>
      </c>
      <c r="C507" s="4" t="s">
        <v>163</v>
      </c>
      <c r="D507" s="4" t="s">
        <v>161</v>
      </c>
      <c r="E507" s="4" t="s">
        <v>17</v>
      </c>
      <c r="F507" s="4" t="s">
        <v>18</v>
      </c>
      <c r="G507" s="5">
        <v>0.81111111111111112</v>
      </c>
      <c r="H507" s="5">
        <v>0.8</v>
      </c>
      <c r="I507" s="5">
        <v>0.05</v>
      </c>
      <c r="J507" s="6">
        <v>0.46296296296296302</v>
      </c>
      <c r="K507" s="6">
        <v>0.95479999999999987</v>
      </c>
      <c r="L507" s="6">
        <v>0.76114070684970392</v>
      </c>
      <c r="M507" s="4" t="s">
        <v>108</v>
      </c>
      <c r="N507" s="4">
        <v>0.1147392350153508</v>
      </c>
      <c r="O507" s="4">
        <v>0</v>
      </c>
    </row>
    <row r="508" spans="1:15" x14ac:dyDescent="0.3">
      <c r="A508" s="4">
        <v>32</v>
      </c>
      <c r="B508" s="4">
        <v>32000</v>
      </c>
      <c r="C508" s="4" t="s">
        <v>163</v>
      </c>
      <c r="D508" s="4" t="s">
        <v>161</v>
      </c>
      <c r="E508" s="4" t="s">
        <v>17</v>
      </c>
      <c r="F508" s="4" t="s">
        <v>18</v>
      </c>
      <c r="G508" s="5">
        <v>0.81111111111111112</v>
      </c>
      <c r="H508" s="5">
        <v>0.8</v>
      </c>
      <c r="I508" s="5">
        <v>0.05</v>
      </c>
      <c r="J508" s="6">
        <v>0.47368421052631582</v>
      </c>
      <c r="K508" s="6">
        <v>0.94925925925925925</v>
      </c>
      <c r="L508" s="6">
        <v>0.8278595028561796</v>
      </c>
      <c r="M508" s="4" t="s">
        <v>100</v>
      </c>
      <c r="N508" s="4">
        <v>0.13136803576968059</v>
      </c>
      <c r="O508" s="4">
        <v>0</v>
      </c>
    </row>
    <row r="509" spans="1:15" x14ac:dyDescent="0.3">
      <c r="A509" s="4">
        <v>33</v>
      </c>
      <c r="B509" s="4">
        <v>33000</v>
      </c>
      <c r="C509" s="4" t="s">
        <v>163</v>
      </c>
      <c r="D509" s="4" t="s">
        <v>161</v>
      </c>
      <c r="E509" s="4" t="s">
        <v>17</v>
      </c>
      <c r="F509" s="4" t="s">
        <v>18</v>
      </c>
      <c r="G509" s="5">
        <v>0.81111111111111112</v>
      </c>
      <c r="H509" s="5">
        <v>0.8</v>
      </c>
      <c r="I509" s="5">
        <v>0.05</v>
      </c>
      <c r="J509" s="6">
        <v>0.45614035087719301</v>
      </c>
      <c r="K509" s="6">
        <v>0.94961538461538453</v>
      </c>
      <c r="L509" s="6">
        <v>0.79648086089366732</v>
      </c>
      <c r="M509" s="4" t="s">
        <v>139</v>
      </c>
      <c r="N509" s="4">
        <v>0.1327144611414981</v>
      </c>
      <c r="O509" s="4">
        <v>0</v>
      </c>
    </row>
    <row r="510" spans="1:15" x14ac:dyDescent="0.3">
      <c r="A510" s="4">
        <v>34</v>
      </c>
      <c r="B510" s="4">
        <v>34000</v>
      </c>
      <c r="C510" s="4" t="s">
        <v>163</v>
      </c>
      <c r="D510" s="4" t="s">
        <v>161</v>
      </c>
      <c r="E510" s="4" t="s">
        <v>17</v>
      </c>
      <c r="F510" s="4" t="s">
        <v>18</v>
      </c>
      <c r="G510" s="5">
        <v>0.81111111111111112</v>
      </c>
      <c r="H510" s="5">
        <v>0.8</v>
      </c>
      <c r="I510" s="5">
        <v>0.05</v>
      </c>
      <c r="J510" s="6">
        <v>0.47368421052631582</v>
      </c>
      <c r="K510" s="6">
        <v>0.94555555555555537</v>
      </c>
      <c r="L510" s="6">
        <v>0.79594643362219875</v>
      </c>
      <c r="M510" s="4" t="s">
        <v>100</v>
      </c>
      <c r="N510" s="4">
        <v>0.1313439977458484</v>
      </c>
      <c r="O510" s="4">
        <v>0</v>
      </c>
    </row>
    <row r="511" spans="1:15" x14ac:dyDescent="0.3">
      <c r="A511" s="4">
        <v>35</v>
      </c>
      <c r="B511" s="4">
        <v>35000</v>
      </c>
      <c r="C511" s="4" t="s">
        <v>163</v>
      </c>
      <c r="D511" s="4" t="s">
        <v>161</v>
      </c>
      <c r="E511" s="4" t="s">
        <v>17</v>
      </c>
      <c r="F511" s="4" t="s">
        <v>18</v>
      </c>
      <c r="G511" s="5">
        <v>0.81111111111111112</v>
      </c>
      <c r="H511" s="5">
        <v>0.8</v>
      </c>
      <c r="I511" s="5">
        <v>0.05</v>
      </c>
      <c r="J511" s="6">
        <v>0.49122807017543862</v>
      </c>
      <c r="K511" s="6">
        <v>0.94178571428571412</v>
      </c>
      <c r="L511" s="6">
        <v>0.79378914574467707</v>
      </c>
      <c r="M511" s="4" t="s">
        <v>94</v>
      </c>
      <c r="N511" s="4">
        <v>0.13467890658896431</v>
      </c>
      <c r="O511" s="4">
        <v>0</v>
      </c>
    </row>
    <row r="512" spans="1:15" x14ac:dyDescent="0.3">
      <c r="A512" s="4">
        <v>36</v>
      </c>
      <c r="B512" s="4">
        <v>36000</v>
      </c>
      <c r="C512" s="4" t="s">
        <v>163</v>
      </c>
      <c r="D512" s="4" t="s">
        <v>161</v>
      </c>
      <c r="E512" s="4" t="s">
        <v>17</v>
      </c>
      <c r="F512" s="4" t="s">
        <v>18</v>
      </c>
      <c r="G512" s="5">
        <v>0.81111111111111112</v>
      </c>
      <c r="H512" s="5">
        <v>0.8</v>
      </c>
      <c r="I512" s="5">
        <v>0.05</v>
      </c>
      <c r="J512" s="6">
        <v>0.49122807017543862</v>
      </c>
      <c r="K512" s="6">
        <v>0.94142857142857117</v>
      </c>
      <c r="L512" s="6">
        <v>0.79115544482492339</v>
      </c>
      <c r="M512" s="4" t="s">
        <v>54</v>
      </c>
      <c r="N512" s="4">
        <v>0.13793508726275511</v>
      </c>
      <c r="O512" s="4">
        <v>0</v>
      </c>
    </row>
    <row r="513" spans="1:15" x14ac:dyDescent="0.3">
      <c r="A513" s="4">
        <v>37</v>
      </c>
      <c r="B513" s="4">
        <v>37000</v>
      </c>
      <c r="C513" s="4" t="s">
        <v>163</v>
      </c>
      <c r="D513" s="4" t="s">
        <v>161</v>
      </c>
      <c r="E513" s="4" t="s">
        <v>17</v>
      </c>
      <c r="F513" s="4" t="s">
        <v>18</v>
      </c>
      <c r="G513" s="5">
        <v>0.81111111111111112</v>
      </c>
      <c r="H513" s="5">
        <v>0.8</v>
      </c>
      <c r="I513" s="5">
        <v>0.05</v>
      </c>
      <c r="J513" s="6">
        <v>0.47368421052631582</v>
      </c>
      <c r="K513" s="6">
        <v>0.94518518518518491</v>
      </c>
      <c r="L513" s="6">
        <v>0.7905275074836573</v>
      </c>
      <c r="M513" s="4" t="s">
        <v>34</v>
      </c>
      <c r="N513" s="4">
        <v>0.14311757416519361</v>
      </c>
      <c r="O513" s="4">
        <v>0</v>
      </c>
    </row>
    <row r="514" spans="1:15" x14ac:dyDescent="0.3">
      <c r="A514" s="4">
        <v>38</v>
      </c>
      <c r="B514" s="4">
        <v>38000</v>
      </c>
      <c r="C514" s="4" t="s">
        <v>163</v>
      </c>
      <c r="D514" s="4" t="s">
        <v>161</v>
      </c>
      <c r="E514" s="4" t="s">
        <v>17</v>
      </c>
      <c r="F514" s="4" t="s">
        <v>18</v>
      </c>
      <c r="G514" s="5">
        <v>0.81111111111111112</v>
      </c>
      <c r="H514" s="5">
        <v>0.8</v>
      </c>
      <c r="I514" s="5">
        <v>0.05</v>
      </c>
      <c r="J514" s="6">
        <v>0.48214285714285721</v>
      </c>
      <c r="K514" s="6">
        <v>0.94703703703703679</v>
      </c>
      <c r="L514" s="6">
        <v>0.78867151274734049</v>
      </c>
      <c r="M514" s="4" t="s">
        <v>80</v>
      </c>
      <c r="N514" s="4">
        <v>0.14984152028656941</v>
      </c>
      <c r="O514" s="4">
        <v>0</v>
      </c>
    </row>
    <row r="515" spans="1:15" x14ac:dyDescent="0.3">
      <c r="A515" s="4">
        <v>39</v>
      </c>
      <c r="B515" s="4">
        <v>39000</v>
      </c>
      <c r="C515" s="4" t="s">
        <v>163</v>
      </c>
      <c r="D515" s="4" t="s">
        <v>161</v>
      </c>
      <c r="E515" s="4" t="s">
        <v>17</v>
      </c>
      <c r="F515" s="4" t="s">
        <v>18</v>
      </c>
      <c r="G515" s="5">
        <v>0.81111111111111112</v>
      </c>
      <c r="H515" s="5">
        <v>0.8</v>
      </c>
      <c r="I515" s="5">
        <v>0.05</v>
      </c>
      <c r="J515" s="6">
        <v>0.48214285714285721</v>
      </c>
      <c r="K515" s="6">
        <v>0.94814814814814796</v>
      </c>
      <c r="L515" s="6">
        <v>0.79212070975734861</v>
      </c>
      <c r="M515" s="4" t="s">
        <v>34</v>
      </c>
      <c r="N515" s="4">
        <v>0.14252493129254451</v>
      </c>
      <c r="O515" s="4">
        <v>0</v>
      </c>
    </row>
    <row r="516" spans="1:15" x14ac:dyDescent="0.3">
      <c r="A516" s="4">
        <v>40</v>
      </c>
      <c r="B516" s="4">
        <v>40000</v>
      </c>
      <c r="C516" s="4" t="s">
        <v>163</v>
      </c>
      <c r="D516" s="4" t="s">
        <v>161</v>
      </c>
      <c r="E516" s="4" t="s">
        <v>17</v>
      </c>
      <c r="F516" s="4" t="s">
        <v>18</v>
      </c>
      <c r="G516" s="5">
        <v>0.72222222222222221</v>
      </c>
      <c r="H516" s="5">
        <v>0.60000000000000009</v>
      </c>
      <c r="I516" s="5">
        <v>0.05</v>
      </c>
      <c r="J516" s="6">
        <v>0.57894736842105265</v>
      </c>
      <c r="K516" s="6">
        <v>0.89848484848484822</v>
      </c>
      <c r="L516" s="6">
        <v>0.84570722812680232</v>
      </c>
      <c r="M516" s="4" t="s">
        <v>96</v>
      </c>
      <c r="N516" s="4">
        <v>0.1504594106374276</v>
      </c>
      <c r="O516" s="4">
        <v>1</v>
      </c>
    </row>
    <row r="517" spans="1:15" x14ac:dyDescent="0.3">
      <c r="A517" s="4">
        <v>41</v>
      </c>
      <c r="B517" s="4">
        <v>41000</v>
      </c>
      <c r="C517" s="4" t="s">
        <v>163</v>
      </c>
      <c r="D517" s="4" t="s">
        <v>161</v>
      </c>
      <c r="E517" s="4" t="s">
        <v>17</v>
      </c>
      <c r="F517" s="4" t="s">
        <v>18</v>
      </c>
      <c r="G517" s="5">
        <v>0.72222222222222221</v>
      </c>
      <c r="H517" s="5">
        <v>0.60000000000000009</v>
      </c>
      <c r="I517" s="5">
        <v>0.05</v>
      </c>
      <c r="J517" s="6">
        <v>0.56140350877192979</v>
      </c>
      <c r="K517" s="6">
        <v>0.90124999999999966</v>
      </c>
      <c r="L517" s="6">
        <v>0.84075613465464571</v>
      </c>
      <c r="M517" s="4" t="s">
        <v>171</v>
      </c>
      <c r="N517" s="4">
        <v>2.073230731598107E-2</v>
      </c>
      <c r="O517" s="4">
        <v>0</v>
      </c>
    </row>
    <row r="518" spans="1:15" x14ac:dyDescent="0.3">
      <c r="A518" s="4">
        <v>42</v>
      </c>
      <c r="B518" s="4">
        <v>42000</v>
      </c>
      <c r="C518" s="4" t="s">
        <v>163</v>
      </c>
      <c r="D518" s="4" t="s">
        <v>161</v>
      </c>
      <c r="E518" s="4" t="s">
        <v>17</v>
      </c>
      <c r="F518" s="4" t="s">
        <v>18</v>
      </c>
      <c r="G518" s="5">
        <v>0.72222222222222221</v>
      </c>
      <c r="H518" s="5">
        <v>0.60000000000000009</v>
      </c>
      <c r="I518" s="5">
        <v>0.05</v>
      </c>
      <c r="J518" s="6">
        <v>0.57894736842105265</v>
      </c>
      <c r="K518" s="6">
        <v>0.90121212121212091</v>
      </c>
      <c r="L518" s="6">
        <v>0.84001145322199067</v>
      </c>
      <c r="M518" s="4" t="s">
        <v>172</v>
      </c>
      <c r="N518" s="4">
        <v>2.4677556845728161E-2</v>
      </c>
      <c r="O518" s="4">
        <v>0</v>
      </c>
    </row>
    <row r="519" spans="1:15" x14ac:dyDescent="0.3">
      <c r="A519" s="4">
        <v>43</v>
      </c>
      <c r="B519" s="4">
        <v>43000</v>
      </c>
      <c r="C519" s="4" t="s">
        <v>163</v>
      </c>
      <c r="D519" s="4" t="s">
        <v>161</v>
      </c>
      <c r="E519" s="4" t="s">
        <v>17</v>
      </c>
      <c r="F519" s="4" t="s">
        <v>18</v>
      </c>
      <c r="G519" s="5">
        <v>0.72222222222222221</v>
      </c>
      <c r="H519" s="5">
        <v>0.60000000000000009</v>
      </c>
      <c r="I519" s="5">
        <v>0.05</v>
      </c>
      <c r="J519" s="6">
        <v>0.56140350877192979</v>
      </c>
      <c r="K519" s="6">
        <v>0.87687499999999974</v>
      </c>
      <c r="L519" s="6">
        <v>0.78402351846810348</v>
      </c>
      <c r="M519" s="4" t="s">
        <v>173</v>
      </c>
      <c r="N519" s="4">
        <v>2.7478489874993382E-2</v>
      </c>
      <c r="O519" s="4">
        <v>0</v>
      </c>
    </row>
    <row r="520" spans="1:15" x14ac:dyDescent="0.3">
      <c r="A520" s="4">
        <v>44</v>
      </c>
      <c r="B520" s="4">
        <v>44000</v>
      </c>
      <c r="C520" s="4" t="s">
        <v>163</v>
      </c>
      <c r="D520" s="4" t="s">
        <v>161</v>
      </c>
      <c r="E520" s="4" t="s">
        <v>17</v>
      </c>
      <c r="F520" s="4" t="s">
        <v>18</v>
      </c>
      <c r="G520" s="5">
        <v>0.72222222222222221</v>
      </c>
      <c r="H520" s="5">
        <v>0.60000000000000009</v>
      </c>
      <c r="I520" s="5">
        <v>0.05</v>
      </c>
      <c r="J520" s="6">
        <v>0.58620689655172409</v>
      </c>
      <c r="K520" s="6">
        <v>0.87411764705882322</v>
      </c>
      <c r="L520" s="6">
        <v>0.76849812036702225</v>
      </c>
      <c r="M520" s="4" t="s">
        <v>174</v>
      </c>
      <c r="N520" s="4">
        <v>4.0178189410054722E-2</v>
      </c>
      <c r="O520" s="4">
        <v>0</v>
      </c>
    </row>
    <row r="521" spans="1:15" x14ac:dyDescent="0.3">
      <c r="A521" s="4">
        <v>45</v>
      </c>
      <c r="B521" s="4">
        <v>45000</v>
      </c>
      <c r="C521" s="4" t="s">
        <v>163</v>
      </c>
      <c r="D521" s="4" t="s">
        <v>161</v>
      </c>
      <c r="E521" s="4" t="s">
        <v>17</v>
      </c>
      <c r="F521" s="4" t="s">
        <v>18</v>
      </c>
      <c r="G521" s="5">
        <v>0.72222222222222221</v>
      </c>
      <c r="H521" s="5">
        <v>0.60000000000000009</v>
      </c>
      <c r="I521" s="5">
        <v>0.05</v>
      </c>
      <c r="J521" s="6">
        <v>0.54838709677419351</v>
      </c>
      <c r="K521" s="6">
        <v>0.87499999999999967</v>
      </c>
      <c r="L521" s="6">
        <v>0.76533033280751395</v>
      </c>
      <c r="M521" s="4" t="s">
        <v>164</v>
      </c>
      <c r="N521" s="4">
        <v>5.2665393625959983E-2</v>
      </c>
      <c r="O521" s="4">
        <v>0</v>
      </c>
    </row>
    <row r="522" spans="1:15" x14ac:dyDescent="0.3">
      <c r="A522" s="4">
        <v>46</v>
      </c>
      <c r="B522" s="4">
        <v>46000</v>
      </c>
      <c r="C522" s="4" t="s">
        <v>163</v>
      </c>
      <c r="D522" s="4" t="s">
        <v>161</v>
      </c>
      <c r="E522" s="4" t="s">
        <v>17</v>
      </c>
      <c r="F522" s="4" t="s">
        <v>18</v>
      </c>
      <c r="G522" s="5">
        <v>0.72222222222222221</v>
      </c>
      <c r="H522" s="5">
        <v>0.60000000000000009</v>
      </c>
      <c r="I522" s="5">
        <v>0.05</v>
      </c>
      <c r="J522" s="6">
        <v>0.55555555555555558</v>
      </c>
      <c r="K522" s="6">
        <v>0.87742857142857111</v>
      </c>
      <c r="L522" s="6">
        <v>0.80419085600298079</v>
      </c>
      <c r="M522" s="4" t="s">
        <v>175</v>
      </c>
      <c r="N522" s="4">
        <v>5.8345146083284137E-2</v>
      </c>
      <c r="O522" s="4">
        <v>0</v>
      </c>
    </row>
    <row r="523" spans="1:15" x14ac:dyDescent="0.3">
      <c r="A523" s="4">
        <v>47</v>
      </c>
      <c r="B523" s="4">
        <v>47000</v>
      </c>
      <c r="C523" s="4" t="s">
        <v>163</v>
      </c>
      <c r="D523" s="4" t="s">
        <v>161</v>
      </c>
      <c r="E523" s="4" t="s">
        <v>17</v>
      </c>
      <c r="F523" s="4" t="s">
        <v>18</v>
      </c>
      <c r="G523" s="5">
        <v>0.72222222222222221</v>
      </c>
      <c r="H523" s="5">
        <v>0.60000000000000009</v>
      </c>
      <c r="I523" s="5">
        <v>0.05</v>
      </c>
      <c r="J523" s="6">
        <v>0.56923076923076921</v>
      </c>
      <c r="K523" s="6">
        <v>0.86972972972972951</v>
      </c>
      <c r="L523" s="6">
        <v>0.80262688587355346</v>
      </c>
      <c r="M523" s="4" t="s">
        <v>67</v>
      </c>
      <c r="N523" s="4">
        <v>7.2115233419588656E-2</v>
      </c>
      <c r="O523" s="4">
        <v>0</v>
      </c>
    </row>
    <row r="524" spans="1:15" x14ac:dyDescent="0.3">
      <c r="A524" s="4">
        <v>48</v>
      </c>
      <c r="B524" s="4">
        <v>48000</v>
      </c>
      <c r="C524" s="4" t="s">
        <v>163</v>
      </c>
      <c r="D524" s="4" t="s">
        <v>161</v>
      </c>
      <c r="E524" s="4" t="s">
        <v>17</v>
      </c>
      <c r="F524" s="4" t="s">
        <v>18</v>
      </c>
      <c r="G524" s="5">
        <v>0.72222222222222221</v>
      </c>
      <c r="H524" s="5">
        <v>0.60000000000000009</v>
      </c>
      <c r="I524" s="5">
        <v>0.05</v>
      </c>
      <c r="J524" s="6">
        <v>0.56923076923076921</v>
      </c>
      <c r="K524" s="6">
        <v>0.86972972972972951</v>
      </c>
      <c r="L524" s="6">
        <v>0.8014517319425164</v>
      </c>
      <c r="M524" s="4" t="s">
        <v>24</v>
      </c>
      <c r="N524" s="4">
        <v>7.2833770730686739E-2</v>
      </c>
      <c r="O524" s="4">
        <v>0</v>
      </c>
    </row>
    <row r="525" spans="1:15" x14ac:dyDescent="0.3">
      <c r="A525" s="4">
        <v>49</v>
      </c>
      <c r="B525" s="4">
        <v>49000</v>
      </c>
      <c r="C525" s="4" t="s">
        <v>163</v>
      </c>
      <c r="D525" s="4" t="s">
        <v>161</v>
      </c>
      <c r="E525" s="4" t="s">
        <v>17</v>
      </c>
      <c r="F525" s="4" t="s">
        <v>18</v>
      </c>
      <c r="G525" s="5">
        <v>0.72222222222222221</v>
      </c>
      <c r="H525" s="5">
        <v>0.60000000000000009</v>
      </c>
      <c r="I525" s="5">
        <v>0.05</v>
      </c>
      <c r="J525" s="6">
        <v>0.52307692307692311</v>
      </c>
      <c r="K525" s="6">
        <v>0.90235294117647025</v>
      </c>
      <c r="L525" s="6">
        <v>0.87292683074479016</v>
      </c>
      <c r="M525" s="4" t="s">
        <v>24</v>
      </c>
      <c r="N525" s="4">
        <v>7.3233892799309114E-2</v>
      </c>
      <c r="O525" s="4">
        <v>0</v>
      </c>
    </row>
    <row r="526" spans="1:15" x14ac:dyDescent="0.3">
      <c r="A526" s="4">
        <v>50</v>
      </c>
      <c r="B526" s="4">
        <v>50000</v>
      </c>
      <c r="C526" s="4" t="s">
        <v>163</v>
      </c>
      <c r="D526" s="4" t="s">
        <v>161</v>
      </c>
      <c r="E526" s="4" t="s">
        <v>17</v>
      </c>
      <c r="F526" s="4" t="s">
        <v>18</v>
      </c>
      <c r="G526" s="5">
        <v>0.72222222222222221</v>
      </c>
      <c r="H526" s="5">
        <v>0.60000000000000009</v>
      </c>
      <c r="I526" s="5">
        <v>0.05</v>
      </c>
      <c r="J526" s="6">
        <v>0.52307692307692311</v>
      </c>
      <c r="K526" s="6">
        <v>0.90205882352941136</v>
      </c>
      <c r="L526" s="6">
        <v>0.87384779794777523</v>
      </c>
      <c r="M526" s="4" t="s">
        <v>176</v>
      </c>
      <c r="N526" s="4">
        <v>7.381217389934544E-2</v>
      </c>
      <c r="O526" s="4">
        <v>0</v>
      </c>
    </row>
    <row r="527" spans="1:15" x14ac:dyDescent="0.3">
      <c r="A527" s="4">
        <v>51</v>
      </c>
      <c r="B527" s="4">
        <v>51000</v>
      </c>
      <c r="C527" s="4" t="s">
        <v>163</v>
      </c>
      <c r="D527" s="4" t="s">
        <v>161</v>
      </c>
      <c r="E527" s="4" t="s">
        <v>17</v>
      </c>
      <c r="F527" s="4" t="s">
        <v>18</v>
      </c>
      <c r="G527" s="5">
        <v>0.72222222222222221</v>
      </c>
      <c r="H527" s="5">
        <v>0.60000000000000009</v>
      </c>
      <c r="I527" s="5">
        <v>0.05</v>
      </c>
      <c r="J527" s="6">
        <v>0.53846153846153844</v>
      </c>
      <c r="K527" s="6">
        <v>0.86742857142857099</v>
      </c>
      <c r="L527" s="6">
        <v>0.78802163117561363</v>
      </c>
      <c r="M527" s="4" t="s">
        <v>67</v>
      </c>
      <c r="N527" s="4">
        <v>7.2324588355994132E-2</v>
      </c>
      <c r="O527" s="4">
        <v>0</v>
      </c>
    </row>
    <row r="528" spans="1:15" x14ac:dyDescent="0.3">
      <c r="A528" s="4">
        <v>52</v>
      </c>
      <c r="B528" s="4">
        <v>52000</v>
      </c>
      <c r="C528" s="4" t="s">
        <v>163</v>
      </c>
      <c r="D528" s="4" t="s">
        <v>161</v>
      </c>
      <c r="E528" s="4" t="s">
        <v>17</v>
      </c>
      <c r="F528" s="4" t="s">
        <v>18</v>
      </c>
      <c r="G528" s="5">
        <v>0.72222222222222221</v>
      </c>
      <c r="H528" s="5">
        <v>0.60000000000000009</v>
      </c>
      <c r="I528" s="5">
        <v>0.05</v>
      </c>
      <c r="J528" s="6">
        <v>0.50769230769230766</v>
      </c>
      <c r="K528" s="6">
        <v>0.86636363636363589</v>
      </c>
      <c r="L528" s="6">
        <v>0.77763163099409416</v>
      </c>
      <c r="M528" s="4" t="s">
        <v>128</v>
      </c>
      <c r="N528" s="4">
        <v>7.1249425808108183E-2</v>
      </c>
      <c r="O528" s="4">
        <v>0</v>
      </c>
    </row>
    <row r="529" spans="1:15" x14ac:dyDescent="0.3">
      <c r="A529" s="4">
        <v>53</v>
      </c>
      <c r="B529" s="4">
        <v>53000</v>
      </c>
      <c r="C529" s="4" t="s">
        <v>163</v>
      </c>
      <c r="D529" s="4" t="s">
        <v>161</v>
      </c>
      <c r="E529" s="4" t="s">
        <v>17</v>
      </c>
      <c r="F529" s="4" t="s">
        <v>18</v>
      </c>
      <c r="G529" s="5">
        <v>0.72222222222222221</v>
      </c>
      <c r="H529" s="5">
        <v>0.60000000000000009</v>
      </c>
      <c r="I529" s="5">
        <v>0.05</v>
      </c>
      <c r="J529" s="6">
        <v>0.50769230769230766</v>
      </c>
      <c r="K529" s="6">
        <v>0.86515151515151489</v>
      </c>
      <c r="L529" s="6">
        <v>0.77814256636228396</v>
      </c>
      <c r="M529" s="4" t="s">
        <v>152</v>
      </c>
      <c r="N529" s="4">
        <v>7.5482436257884561E-2</v>
      </c>
      <c r="O529" s="4">
        <v>0</v>
      </c>
    </row>
    <row r="530" spans="1:15" x14ac:dyDescent="0.3">
      <c r="A530" s="4">
        <v>54</v>
      </c>
      <c r="B530" s="4">
        <v>54000</v>
      </c>
      <c r="C530" s="4" t="s">
        <v>163</v>
      </c>
      <c r="D530" s="4" t="s">
        <v>161</v>
      </c>
      <c r="E530" s="4" t="s">
        <v>17</v>
      </c>
      <c r="F530" s="4" t="s">
        <v>18</v>
      </c>
      <c r="G530" s="5">
        <v>0.72222222222222221</v>
      </c>
      <c r="H530" s="5">
        <v>0.60000000000000009</v>
      </c>
      <c r="I530" s="5">
        <v>0.05</v>
      </c>
      <c r="J530" s="6">
        <v>0.50769230769230766</v>
      </c>
      <c r="K530" s="6">
        <v>0.866363636363636</v>
      </c>
      <c r="L530" s="6">
        <v>0.77936036981914891</v>
      </c>
      <c r="M530" s="4" t="s">
        <v>140</v>
      </c>
      <c r="N530" s="4">
        <v>7.8129358858470915E-2</v>
      </c>
      <c r="O530" s="4">
        <v>0</v>
      </c>
    </row>
    <row r="531" spans="1:15" x14ac:dyDescent="0.3">
      <c r="A531" s="4">
        <v>55</v>
      </c>
      <c r="B531" s="4">
        <v>55000</v>
      </c>
      <c r="C531" s="4" t="s">
        <v>163</v>
      </c>
      <c r="D531" s="4" t="s">
        <v>161</v>
      </c>
      <c r="E531" s="4" t="s">
        <v>17</v>
      </c>
      <c r="F531" s="4" t="s">
        <v>18</v>
      </c>
      <c r="G531" s="5">
        <v>0.72222222222222221</v>
      </c>
      <c r="H531" s="5">
        <v>0.60000000000000009</v>
      </c>
      <c r="I531" s="5">
        <v>0.05</v>
      </c>
      <c r="J531" s="6">
        <v>0.53846153846153844</v>
      </c>
      <c r="K531" s="6">
        <v>0.86885714285714244</v>
      </c>
      <c r="L531" s="6">
        <v>0.79848635019910519</v>
      </c>
      <c r="M531" s="4" t="s">
        <v>101</v>
      </c>
      <c r="N531" s="4">
        <v>7.748480871382174E-2</v>
      </c>
      <c r="O531" s="4">
        <v>0</v>
      </c>
    </row>
    <row r="532" spans="1:15" x14ac:dyDescent="0.3">
      <c r="A532" s="4">
        <v>56</v>
      </c>
      <c r="B532" s="4">
        <v>56000</v>
      </c>
      <c r="C532" s="4" t="s">
        <v>163</v>
      </c>
      <c r="D532" s="4" t="s">
        <v>161</v>
      </c>
      <c r="E532" s="4" t="s">
        <v>17</v>
      </c>
      <c r="F532" s="4" t="s">
        <v>18</v>
      </c>
      <c r="G532" s="5">
        <v>0.72222222222222221</v>
      </c>
      <c r="H532" s="5">
        <v>0.60000000000000009</v>
      </c>
      <c r="I532" s="5">
        <v>0.05</v>
      </c>
      <c r="J532" s="6">
        <v>0.55555555555555558</v>
      </c>
      <c r="K532" s="6">
        <v>0.87399999999999967</v>
      </c>
      <c r="L532" s="6">
        <v>0.79928267894678873</v>
      </c>
      <c r="M532" s="4" t="s">
        <v>97</v>
      </c>
      <c r="N532" s="4">
        <v>8.6256822304721079E-2</v>
      </c>
      <c r="O532" s="4">
        <v>0</v>
      </c>
    </row>
    <row r="533" spans="1:15" x14ac:dyDescent="0.3">
      <c r="A533" s="4">
        <v>57</v>
      </c>
      <c r="B533" s="4">
        <v>57000</v>
      </c>
      <c r="C533" s="4" t="s">
        <v>163</v>
      </c>
      <c r="D533" s="4" t="s">
        <v>161</v>
      </c>
      <c r="E533" s="4" t="s">
        <v>17</v>
      </c>
      <c r="F533" s="4" t="s">
        <v>18</v>
      </c>
      <c r="G533" s="5">
        <v>0.72222222222222221</v>
      </c>
      <c r="H533" s="5">
        <v>0.60000000000000009</v>
      </c>
      <c r="I533" s="5">
        <v>0.05</v>
      </c>
      <c r="J533" s="6">
        <v>0.55555555555555558</v>
      </c>
      <c r="K533" s="6">
        <v>0.87285714285714244</v>
      </c>
      <c r="L533" s="6">
        <v>0.80068256775674085</v>
      </c>
      <c r="M533" s="4" t="s">
        <v>52</v>
      </c>
      <c r="N533" s="4">
        <v>8.8264428637118517E-2</v>
      </c>
      <c r="O533" s="4">
        <v>0</v>
      </c>
    </row>
    <row r="534" spans="1:15" x14ac:dyDescent="0.3">
      <c r="A534" s="4">
        <v>58</v>
      </c>
      <c r="B534" s="4">
        <v>58000</v>
      </c>
      <c r="C534" s="4" t="s">
        <v>163</v>
      </c>
      <c r="D534" s="4" t="s">
        <v>161</v>
      </c>
      <c r="E534" s="4" t="s">
        <v>17</v>
      </c>
      <c r="F534" s="4" t="s">
        <v>18</v>
      </c>
      <c r="G534" s="5">
        <v>0.72222222222222221</v>
      </c>
      <c r="H534" s="5">
        <v>0.60000000000000009</v>
      </c>
      <c r="I534" s="5">
        <v>0.05</v>
      </c>
      <c r="J534" s="6">
        <v>0.546875</v>
      </c>
      <c r="K534" s="6">
        <v>0.873428571428571</v>
      </c>
      <c r="L534" s="6">
        <v>0.80202488341680067</v>
      </c>
      <c r="M534" s="4" t="s">
        <v>59</v>
      </c>
      <c r="N534" s="4">
        <v>9.0608236949357046E-2</v>
      </c>
      <c r="O534" s="4">
        <v>0</v>
      </c>
    </row>
    <row r="535" spans="1:15" x14ac:dyDescent="0.3">
      <c r="A535" s="4">
        <v>59</v>
      </c>
      <c r="B535" s="4">
        <v>59000</v>
      </c>
      <c r="C535" s="4" t="s">
        <v>163</v>
      </c>
      <c r="D535" s="4" t="s">
        <v>161</v>
      </c>
      <c r="E535" s="4" t="s">
        <v>17</v>
      </c>
      <c r="F535" s="4" t="s">
        <v>18</v>
      </c>
      <c r="G535" s="5">
        <v>0.72222222222222221</v>
      </c>
      <c r="H535" s="5">
        <v>0.60000000000000009</v>
      </c>
      <c r="I535" s="5">
        <v>0.05</v>
      </c>
      <c r="J535" s="6">
        <v>0.546875</v>
      </c>
      <c r="K535" s="6">
        <v>0.87399999999999967</v>
      </c>
      <c r="L535" s="6">
        <v>0.80244466210027121</v>
      </c>
      <c r="M535" s="4" t="s">
        <v>22</v>
      </c>
      <c r="N535" s="4">
        <v>9.3637029560730153E-2</v>
      </c>
      <c r="O535" s="4">
        <v>0</v>
      </c>
    </row>
    <row r="536" spans="1:15" x14ac:dyDescent="0.3">
      <c r="A536" s="4">
        <v>60</v>
      </c>
      <c r="B536" s="4">
        <v>60000</v>
      </c>
      <c r="C536" s="4" t="s">
        <v>163</v>
      </c>
      <c r="D536" s="4" t="s">
        <v>161</v>
      </c>
      <c r="E536" s="4" t="s">
        <v>17</v>
      </c>
      <c r="F536" s="4" t="s">
        <v>18</v>
      </c>
      <c r="G536" s="5">
        <v>0.72222222222222221</v>
      </c>
      <c r="H536" s="5">
        <v>0.60000000000000009</v>
      </c>
      <c r="I536" s="5">
        <v>0.05</v>
      </c>
      <c r="J536" s="6">
        <v>0.5625</v>
      </c>
      <c r="K536" s="6">
        <v>0.87499999999999978</v>
      </c>
      <c r="L536" s="6">
        <v>0.82169696366224598</v>
      </c>
      <c r="M536" s="4" t="s">
        <v>59</v>
      </c>
      <c r="N536" s="4">
        <v>9.1169684700867754E-2</v>
      </c>
      <c r="O536" s="4">
        <v>0</v>
      </c>
    </row>
    <row r="537" spans="1:15" x14ac:dyDescent="0.3">
      <c r="A537" s="4">
        <v>61</v>
      </c>
      <c r="B537" s="4">
        <v>61000</v>
      </c>
      <c r="C537" s="4" t="s">
        <v>163</v>
      </c>
      <c r="D537" s="4" t="s">
        <v>161</v>
      </c>
      <c r="E537" s="4" t="s">
        <v>17</v>
      </c>
      <c r="F537" s="4" t="s">
        <v>18</v>
      </c>
      <c r="G537" s="5">
        <v>0.72222222222222221</v>
      </c>
      <c r="H537" s="5">
        <v>0.60000000000000009</v>
      </c>
      <c r="I537" s="5">
        <v>0.05</v>
      </c>
      <c r="J537" s="6">
        <v>0.5625</v>
      </c>
      <c r="K537" s="6">
        <v>0.87388888888888849</v>
      </c>
      <c r="L537" s="6">
        <v>0.79770319849485594</v>
      </c>
      <c r="M537" s="4" t="s">
        <v>59</v>
      </c>
      <c r="N537" s="4">
        <v>9.1141126764502589E-2</v>
      </c>
      <c r="O537" s="4">
        <v>0</v>
      </c>
    </row>
    <row r="538" spans="1:15" x14ac:dyDescent="0.3">
      <c r="A538" s="4">
        <v>62</v>
      </c>
      <c r="B538" s="4">
        <v>62000</v>
      </c>
      <c r="C538" s="4" t="s">
        <v>163</v>
      </c>
      <c r="D538" s="4" t="s">
        <v>161</v>
      </c>
      <c r="E538" s="4" t="s">
        <v>17</v>
      </c>
      <c r="F538" s="4" t="s">
        <v>18</v>
      </c>
      <c r="G538" s="5">
        <v>0.72222222222222221</v>
      </c>
      <c r="H538" s="5">
        <v>0.60000000000000009</v>
      </c>
      <c r="I538" s="5">
        <v>0.05</v>
      </c>
      <c r="J538" s="6">
        <v>0.5714285714285714</v>
      </c>
      <c r="K538" s="6">
        <v>0.87083333333333302</v>
      </c>
      <c r="L538" s="6">
        <v>0.79598802086786047</v>
      </c>
      <c r="M538" s="4" t="s">
        <v>59</v>
      </c>
      <c r="N538" s="4">
        <v>9.0696995720942905E-2</v>
      </c>
      <c r="O538" s="4">
        <v>0</v>
      </c>
    </row>
    <row r="539" spans="1:15" x14ac:dyDescent="0.3">
      <c r="A539" s="4">
        <v>63</v>
      </c>
      <c r="B539" s="4">
        <v>63000</v>
      </c>
      <c r="C539" s="4" t="s">
        <v>163</v>
      </c>
      <c r="D539" s="4" t="s">
        <v>161</v>
      </c>
      <c r="E539" s="4" t="s">
        <v>17</v>
      </c>
      <c r="F539" s="4" t="s">
        <v>18</v>
      </c>
      <c r="G539" s="5">
        <v>0.72222222222222221</v>
      </c>
      <c r="H539" s="5">
        <v>0.60000000000000009</v>
      </c>
      <c r="I539" s="5">
        <v>0.05</v>
      </c>
      <c r="J539" s="6">
        <v>0.5714285714285714</v>
      </c>
      <c r="K539" s="6">
        <v>0.86833333333333307</v>
      </c>
      <c r="L539" s="6">
        <v>0.79664352934912475</v>
      </c>
      <c r="M539" s="4" t="s">
        <v>22</v>
      </c>
      <c r="N539" s="4">
        <v>9.3898509422412207E-2</v>
      </c>
      <c r="O539" s="4">
        <v>0</v>
      </c>
    </row>
    <row r="540" spans="1:15" x14ac:dyDescent="0.3">
      <c r="A540" s="4">
        <v>64</v>
      </c>
      <c r="B540" s="4">
        <v>64000</v>
      </c>
      <c r="C540" s="4" t="s">
        <v>163</v>
      </c>
      <c r="D540" s="4" t="s">
        <v>161</v>
      </c>
      <c r="E540" s="4" t="s">
        <v>17</v>
      </c>
      <c r="F540" s="4" t="s">
        <v>18</v>
      </c>
      <c r="G540" s="5">
        <v>0.72222222222222221</v>
      </c>
      <c r="H540" s="5">
        <v>0.60000000000000009</v>
      </c>
      <c r="I540" s="5">
        <v>0.05</v>
      </c>
      <c r="J540" s="6">
        <v>0.56451612903225812</v>
      </c>
      <c r="K540" s="6">
        <v>0.870285714285714</v>
      </c>
      <c r="L540" s="6">
        <v>0.7867709182304764</v>
      </c>
      <c r="M540" s="4" t="s">
        <v>39</v>
      </c>
      <c r="N540" s="4">
        <v>9.3145447674661486E-2</v>
      </c>
      <c r="O540" s="4">
        <v>0</v>
      </c>
    </row>
    <row r="541" spans="1:15" x14ac:dyDescent="0.3">
      <c r="A541" s="4">
        <v>65</v>
      </c>
      <c r="B541" s="4">
        <v>65000</v>
      </c>
      <c r="C541" s="4" t="s">
        <v>163</v>
      </c>
      <c r="D541" s="4" t="s">
        <v>161</v>
      </c>
      <c r="E541" s="4" t="s">
        <v>17</v>
      </c>
      <c r="F541" s="4" t="s">
        <v>18</v>
      </c>
      <c r="G541" s="5">
        <v>0.72222222222222221</v>
      </c>
      <c r="H541" s="5">
        <v>0.60000000000000009</v>
      </c>
      <c r="I541" s="5">
        <v>0.05</v>
      </c>
      <c r="J541" s="6">
        <v>0.55737704918032782</v>
      </c>
      <c r="K541" s="6">
        <v>0.8679411764705881</v>
      </c>
      <c r="L541" s="6">
        <v>0.76907125383740171</v>
      </c>
      <c r="M541" s="4" t="s">
        <v>154</v>
      </c>
      <c r="N541" s="4">
        <v>9.805464851572071E-2</v>
      </c>
      <c r="O541" s="4">
        <v>0</v>
      </c>
    </row>
    <row r="542" spans="1:15" x14ac:dyDescent="0.3">
      <c r="A542" s="4">
        <v>66</v>
      </c>
      <c r="B542" s="4">
        <v>66000</v>
      </c>
      <c r="C542" s="4" t="s">
        <v>163</v>
      </c>
      <c r="D542" s="4" t="s">
        <v>161</v>
      </c>
      <c r="E542" s="4" t="s">
        <v>17</v>
      </c>
      <c r="F542" s="4" t="s">
        <v>18</v>
      </c>
      <c r="G542" s="5">
        <v>0.72222222222222221</v>
      </c>
      <c r="H542" s="5">
        <v>0.60000000000000009</v>
      </c>
      <c r="I542" s="5">
        <v>0.05</v>
      </c>
      <c r="J542" s="6">
        <v>0.5901639344262295</v>
      </c>
      <c r="K542" s="6">
        <v>0.86833333333333329</v>
      </c>
      <c r="L542" s="6">
        <v>0.79831335772084722</v>
      </c>
      <c r="M542" s="4" t="s">
        <v>160</v>
      </c>
      <c r="N542" s="4">
        <v>0.1000415189796045</v>
      </c>
      <c r="O542" s="4">
        <v>0</v>
      </c>
    </row>
    <row r="543" spans="1:15" x14ac:dyDescent="0.3">
      <c r="A543" s="4">
        <v>67</v>
      </c>
      <c r="B543" s="4">
        <v>67000</v>
      </c>
      <c r="C543" s="4" t="s">
        <v>163</v>
      </c>
      <c r="D543" s="4" t="s">
        <v>161</v>
      </c>
      <c r="E543" s="4" t="s">
        <v>17</v>
      </c>
      <c r="F543" s="4" t="s">
        <v>18</v>
      </c>
      <c r="G543" s="5">
        <v>0.72222222222222221</v>
      </c>
      <c r="H543" s="5">
        <v>0.60000000000000009</v>
      </c>
      <c r="I543" s="5">
        <v>0.05</v>
      </c>
      <c r="J543" s="6">
        <v>0.5901639344262295</v>
      </c>
      <c r="K543" s="6">
        <v>0.86999999999999988</v>
      </c>
      <c r="L543" s="6">
        <v>0.79744603074042641</v>
      </c>
      <c r="M543" s="4" t="s">
        <v>156</v>
      </c>
      <c r="N543" s="4">
        <v>9.8734496340869018E-2</v>
      </c>
      <c r="O543" s="4">
        <v>0</v>
      </c>
    </row>
    <row r="544" spans="1:15" x14ac:dyDescent="0.3">
      <c r="A544" s="4">
        <v>68</v>
      </c>
      <c r="B544" s="4">
        <v>68000</v>
      </c>
      <c r="C544" s="4" t="s">
        <v>163</v>
      </c>
      <c r="D544" s="4" t="s">
        <v>161</v>
      </c>
      <c r="E544" s="4" t="s">
        <v>17</v>
      </c>
      <c r="F544" s="4" t="s">
        <v>18</v>
      </c>
      <c r="G544" s="5">
        <v>0.72222222222222221</v>
      </c>
      <c r="H544" s="5">
        <v>0.60000000000000009</v>
      </c>
      <c r="I544" s="5">
        <v>0.05</v>
      </c>
      <c r="J544" s="6">
        <v>0.6</v>
      </c>
      <c r="K544" s="6">
        <v>0.86944444444444424</v>
      </c>
      <c r="L544" s="6">
        <v>0.79370326845435679</v>
      </c>
      <c r="M544" s="4" t="s">
        <v>99</v>
      </c>
      <c r="N544" s="4">
        <v>0.1029167690923139</v>
      </c>
      <c r="O544" s="4">
        <v>0</v>
      </c>
    </row>
    <row r="545" spans="1:15" x14ac:dyDescent="0.3">
      <c r="A545" s="4">
        <v>69</v>
      </c>
      <c r="B545" s="4">
        <v>69000</v>
      </c>
      <c r="C545" s="4" t="s">
        <v>163</v>
      </c>
      <c r="D545" s="4" t="s">
        <v>161</v>
      </c>
      <c r="E545" s="4" t="s">
        <v>17</v>
      </c>
      <c r="F545" s="4" t="s">
        <v>18</v>
      </c>
      <c r="G545" s="5">
        <v>0.72222222222222221</v>
      </c>
      <c r="H545" s="5">
        <v>0.60000000000000009</v>
      </c>
      <c r="I545" s="5">
        <v>0.05</v>
      </c>
      <c r="J545" s="6">
        <v>0.5901639344262295</v>
      </c>
      <c r="K545" s="6">
        <v>0.87166666666666648</v>
      </c>
      <c r="L545" s="6">
        <v>0.79322385335466694</v>
      </c>
      <c r="M545" s="4" t="s">
        <v>82</v>
      </c>
      <c r="N545" s="4">
        <v>0.1021365650131873</v>
      </c>
      <c r="O545" s="4">
        <v>0</v>
      </c>
    </row>
    <row r="546" spans="1:15" x14ac:dyDescent="0.3">
      <c r="A546" s="4">
        <v>70</v>
      </c>
      <c r="B546" s="4">
        <v>70000</v>
      </c>
      <c r="C546" s="4" t="s">
        <v>163</v>
      </c>
      <c r="D546" s="4" t="s">
        <v>161</v>
      </c>
      <c r="E546" s="4" t="s">
        <v>17</v>
      </c>
      <c r="F546" s="4" t="s">
        <v>18</v>
      </c>
      <c r="G546" s="5">
        <v>0.72222222222222221</v>
      </c>
      <c r="H546" s="5">
        <v>0.60000000000000009</v>
      </c>
      <c r="I546" s="5">
        <v>0.05</v>
      </c>
      <c r="J546" s="6">
        <v>0.6</v>
      </c>
      <c r="K546" s="6">
        <v>0.87111111111111095</v>
      </c>
      <c r="L546" s="6">
        <v>0.78653532593935627</v>
      </c>
      <c r="M546" s="4" t="s">
        <v>28</v>
      </c>
      <c r="N546" s="4">
        <v>0.1010587620626523</v>
      </c>
      <c r="O546" s="4">
        <v>0</v>
      </c>
    </row>
    <row r="547" spans="1:15" x14ac:dyDescent="0.3">
      <c r="A547" s="4">
        <v>71</v>
      </c>
      <c r="B547" s="4">
        <v>71000</v>
      </c>
      <c r="C547" s="4" t="s">
        <v>163</v>
      </c>
      <c r="D547" s="4" t="s">
        <v>161</v>
      </c>
      <c r="E547" s="4" t="s">
        <v>17</v>
      </c>
      <c r="F547" s="4" t="s">
        <v>18</v>
      </c>
      <c r="G547" s="5">
        <v>0.72222222222222221</v>
      </c>
      <c r="H547" s="5">
        <v>0.60000000000000009</v>
      </c>
      <c r="I547" s="5">
        <v>0.05</v>
      </c>
      <c r="J547" s="6">
        <v>0.55000000000000004</v>
      </c>
      <c r="K547" s="6">
        <v>0.87545454545454537</v>
      </c>
      <c r="L547" s="6">
        <v>0.77044029158463545</v>
      </c>
      <c r="M547" s="4" t="s">
        <v>28</v>
      </c>
      <c r="N547" s="4">
        <v>0.1012207068837407</v>
      </c>
      <c r="O547" s="4">
        <v>0</v>
      </c>
    </row>
    <row r="548" spans="1:15" x14ac:dyDescent="0.3">
      <c r="A548" s="4">
        <v>72</v>
      </c>
      <c r="B548" s="4">
        <v>72000</v>
      </c>
      <c r="C548" s="4" t="s">
        <v>163</v>
      </c>
      <c r="D548" s="4" t="s">
        <v>161</v>
      </c>
      <c r="E548" s="4" t="s">
        <v>17</v>
      </c>
      <c r="F548" s="4" t="s">
        <v>18</v>
      </c>
      <c r="G548" s="5">
        <v>0.72222222222222221</v>
      </c>
      <c r="H548" s="5">
        <v>0.60000000000000009</v>
      </c>
      <c r="I548" s="5">
        <v>0.05</v>
      </c>
      <c r="J548" s="6">
        <v>0.56666666666666665</v>
      </c>
      <c r="K548" s="6">
        <v>0.87676470588235278</v>
      </c>
      <c r="L548" s="6">
        <v>0.77013290816359103</v>
      </c>
      <c r="M548" s="4" t="s">
        <v>78</v>
      </c>
      <c r="N548" s="4">
        <v>9.6075074416086564E-2</v>
      </c>
      <c r="O548" s="4">
        <v>0</v>
      </c>
    </row>
    <row r="549" spans="1:15" x14ac:dyDescent="0.3">
      <c r="A549" s="4">
        <v>73</v>
      </c>
      <c r="B549" s="4">
        <v>73000</v>
      </c>
      <c r="C549" s="4" t="s">
        <v>163</v>
      </c>
      <c r="D549" s="4" t="s">
        <v>161</v>
      </c>
      <c r="E549" s="4" t="s">
        <v>17</v>
      </c>
      <c r="F549" s="4" t="s">
        <v>18</v>
      </c>
      <c r="G549" s="5">
        <v>0.72222222222222221</v>
      </c>
      <c r="H549" s="5">
        <v>0.60000000000000009</v>
      </c>
      <c r="I549" s="5">
        <v>0.05</v>
      </c>
      <c r="J549" s="6">
        <v>0.6166666666666667</v>
      </c>
      <c r="K549" s="6">
        <v>0.87378378378378374</v>
      </c>
      <c r="L549" s="6">
        <v>0.81186551028278475</v>
      </c>
      <c r="M549" s="4" t="s">
        <v>22</v>
      </c>
      <c r="N549" s="4">
        <v>9.4248552870295557E-2</v>
      </c>
      <c r="O549" s="4">
        <v>0</v>
      </c>
    </row>
    <row r="550" spans="1:15" x14ac:dyDescent="0.3">
      <c r="A550" s="4">
        <v>74</v>
      </c>
      <c r="B550" s="4">
        <v>74000</v>
      </c>
      <c r="C550" s="4" t="s">
        <v>163</v>
      </c>
      <c r="D550" s="4" t="s">
        <v>161</v>
      </c>
      <c r="E550" s="4" t="s">
        <v>17</v>
      </c>
      <c r="F550" s="4" t="s">
        <v>18</v>
      </c>
      <c r="G550" s="5">
        <v>0.72222222222222221</v>
      </c>
      <c r="H550" s="5">
        <v>0.60000000000000009</v>
      </c>
      <c r="I550" s="5">
        <v>0.05</v>
      </c>
      <c r="J550" s="6">
        <v>0.59322033898305082</v>
      </c>
      <c r="K550" s="6">
        <v>0.877142857142857</v>
      </c>
      <c r="L550" s="6">
        <v>0.83076092158229398</v>
      </c>
      <c r="M550" s="4" t="s">
        <v>73</v>
      </c>
      <c r="N550" s="4">
        <v>9.2272098900126998E-2</v>
      </c>
      <c r="O550" s="4">
        <v>0</v>
      </c>
    </row>
    <row r="551" spans="1:15" x14ac:dyDescent="0.3">
      <c r="A551" s="4">
        <v>75</v>
      </c>
      <c r="B551" s="4">
        <v>75000</v>
      </c>
      <c r="C551" s="4" t="s">
        <v>163</v>
      </c>
      <c r="D551" s="4" t="s">
        <v>161</v>
      </c>
      <c r="E551" s="4" t="s">
        <v>17</v>
      </c>
      <c r="F551" s="4" t="s">
        <v>18</v>
      </c>
      <c r="G551" s="5">
        <v>0.72222222222222221</v>
      </c>
      <c r="H551" s="5">
        <v>0.60000000000000009</v>
      </c>
      <c r="I551" s="5">
        <v>0.05</v>
      </c>
      <c r="J551" s="6">
        <v>0.61403508771929827</v>
      </c>
      <c r="K551" s="6">
        <v>0.87885714285714278</v>
      </c>
      <c r="L551" s="6">
        <v>0.83031330872817466</v>
      </c>
      <c r="M551" s="4" t="s">
        <v>73</v>
      </c>
      <c r="N551" s="4">
        <v>9.2126462699924208E-2</v>
      </c>
      <c r="O551" s="4">
        <v>0</v>
      </c>
    </row>
    <row r="552" spans="1:15" x14ac:dyDescent="0.3">
      <c r="A552" s="4">
        <v>76</v>
      </c>
      <c r="B552" s="4">
        <v>76000</v>
      </c>
      <c r="C552" s="4" t="s">
        <v>163</v>
      </c>
      <c r="D552" s="4" t="s">
        <v>161</v>
      </c>
      <c r="E552" s="4" t="s">
        <v>17</v>
      </c>
      <c r="F552" s="4" t="s">
        <v>18</v>
      </c>
      <c r="G552" s="5">
        <v>0.72222222222222221</v>
      </c>
      <c r="H552" s="5">
        <v>0.60000000000000009</v>
      </c>
      <c r="I552" s="5">
        <v>0.05</v>
      </c>
      <c r="J552" s="6">
        <v>0.58620689655172409</v>
      </c>
      <c r="K552" s="6">
        <v>0.87852941176470567</v>
      </c>
      <c r="L552" s="6">
        <v>0.81003981971411343</v>
      </c>
      <c r="M552" s="4" t="s">
        <v>78</v>
      </c>
      <c r="N552" s="4">
        <v>9.6285785449277628E-2</v>
      </c>
      <c r="O552" s="4">
        <v>0</v>
      </c>
    </row>
    <row r="553" spans="1:15" x14ac:dyDescent="0.3">
      <c r="A553" s="4">
        <v>77</v>
      </c>
      <c r="B553" s="4">
        <v>77000</v>
      </c>
      <c r="C553" s="4" t="s">
        <v>163</v>
      </c>
      <c r="D553" s="4" t="s">
        <v>161</v>
      </c>
      <c r="E553" s="4" t="s">
        <v>17</v>
      </c>
      <c r="F553" s="4" t="s">
        <v>18</v>
      </c>
      <c r="G553" s="5">
        <v>0.72222222222222221</v>
      </c>
      <c r="H553" s="5">
        <v>0.60000000000000009</v>
      </c>
      <c r="I553" s="5">
        <v>0.05</v>
      </c>
      <c r="J553" s="6">
        <v>0.59649122807017541</v>
      </c>
      <c r="K553" s="6">
        <v>0.88529411764705879</v>
      </c>
      <c r="L553" s="6">
        <v>0.83561127072044739</v>
      </c>
      <c r="M553" s="4" t="s">
        <v>154</v>
      </c>
      <c r="N553" s="4">
        <v>9.8038501687038829E-2</v>
      </c>
      <c r="O553" s="4">
        <v>0</v>
      </c>
    </row>
    <row r="554" spans="1:15" x14ac:dyDescent="0.3">
      <c r="A554" s="4">
        <v>78</v>
      </c>
      <c r="B554" s="4">
        <v>78000</v>
      </c>
      <c r="C554" s="4" t="s">
        <v>163</v>
      </c>
      <c r="D554" s="4" t="s">
        <v>161</v>
      </c>
      <c r="E554" s="4" t="s">
        <v>17</v>
      </c>
      <c r="F554" s="4" t="s">
        <v>18</v>
      </c>
      <c r="G554" s="5">
        <v>0.72222222222222221</v>
      </c>
      <c r="H554" s="5">
        <v>0.60000000000000009</v>
      </c>
      <c r="I554" s="5">
        <v>0.05</v>
      </c>
      <c r="J554" s="6">
        <v>0.5892857142857143</v>
      </c>
      <c r="K554" s="6">
        <v>0.88666666666666683</v>
      </c>
      <c r="L554" s="6">
        <v>0.83372090466034632</v>
      </c>
      <c r="M554" s="4" t="s">
        <v>160</v>
      </c>
      <c r="N554" s="4">
        <v>9.9685377435356479E-2</v>
      </c>
      <c r="O554" s="4">
        <v>0</v>
      </c>
    </row>
    <row r="555" spans="1:15" x14ac:dyDescent="0.3">
      <c r="A555" s="4">
        <v>79</v>
      </c>
      <c r="B555" s="4">
        <v>79000</v>
      </c>
      <c r="C555" s="4" t="s">
        <v>163</v>
      </c>
      <c r="D555" s="4" t="s">
        <v>161</v>
      </c>
      <c r="E555" s="4" t="s">
        <v>17</v>
      </c>
      <c r="F555" s="4" t="s">
        <v>18</v>
      </c>
      <c r="G555" s="5">
        <v>0.72222222222222221</v>
      </c>
      <c r="H555" s="5">
        <v>0.60000000000000009</v>
      </c>
      <c r="I555" s="5">
        <v>0.05</v>
      </c>
      <c r="J555" s="6">
        <v>0.59649122807017541</v>
      </c>
      <c r="K555" s="6">
        <v>0.88147058823529401</v>
      </c>
      <c r="L555" s="6">
        <v>0.82405924614791637</v>
      </c>
      <c r="M555" s="4" t="s">
        <v>156</v>
      </c>
      <c r="N555" s="4">
        <v>9.9227466373369239E-2</v>
      </c>
      <c r="O555" s="4">
        <v>0</v>
      </c>
    </row>
    <row r="556" spans="1:15" x14ac:dyDescent="0.3">
      <c r="A556" s="4">
        <v>80</v>
      </c>
      <c r="B556" s="4">
        <v>80000</v>
      </c>
      <c r="C556" s="4" t="s">
        <v>163</v>
      </c>
      <c r="D556" s="4" t="s">
        <v>161</v>
      </c>
      <c r="E556" s="4" t="s">
        <v>17</v>
      </c>
      <c r="F556" s="4" t="s">
        <v>18</v>
      </c>
      <c r="G556" s="5">
        <v>0.72222222222222221</v>
      </c>
      <c r="H556" s="5">
        <v>0.60000000000000009</v>
      </c>
      <c r="I556" s="5">
        <v>0.05</v>
      </c>
      <c r="J556" s="6">
        <v>0.625</v>
      </c>
      <c r="K556" s="6">
        <v>0.87971428571428545</v>
      </c>
      <c r="L556" s="6">
        <v>0.79889345139091583</v>
      </c>
      <c r="M556" s="4" t="s">
        <v>79</v>
      </c>
      <c r="N556" s="4">
        <v>0.1040099908037084</v>
      </c>
      <c r="O556" s="4">
        <v>0</v>
      </c>
    </row>
    <row r="557" spans="1:15" x14ac:dyDescent="0.3">
      <c r="A557" s="4">
        <v>81</v>
      </c>
      <c r="B557" s="4">
        <v>81000</v>
      </c>
      <c r="C557" s="4" t="s">
        <v>163</v>
      </c>
      <c r="D557" s="4" t="s">
        <v>161</v>
      </c>
      <c r="E557" s="4" t="s">
        <v>17</v>
      </c>
      <c r="F557" s="4" t="s">
        <v>18</v>
      </c>
      <c r="G557" s="5">
        <v>0.72222222222222221</v>
      </c>
      <c r="H557" s="5">
        <v>0.60000000000000009</v>
      </c>
      <c r="I557" s="5">
        <v>0.05</v>
      </c>
      <c r="J557" s="6">
        <v>0.625</v>
      </c>
      <c r="K557" s="6">
        <v>0.88542857142857123</v>
      </c>
      <c r="L557" s="6">
        <v>0.82529609032560403</v>
      </c>
      <c r="M557" s="4" t="s">
        <v>60</v>
      </c>
      <c r="N557" s="4">
        <v>0.1067894550568154</v>
      </c>
      <c r="O557" s="4">
        <v>0</v>
      </c>
    </row>
    <row r="558" spans="1:15" x14ac:dyDescent="0.3">
      <c r="A558" s="4">
        <v>82</v>
      </c>
      <c r="B558" s="4">
        <v>82000</v>
      </c>
      <c r="C558" s="4" t="s">
        <v>163</v>
      </c>
      <c r="D558" s="4" t="s">
        <v>161</v>
      </c>
      <c r="E558" s="4" t="s">
        <v>17</v>
      </c>
      <c r="F558" s="4" t="s">
        <v>18</v>
      </c>
      <c r="G558" s="5">
        <v>0.72222222222222221</v>
      </c>
      <c r="H558" s="5">
        <v>0.60000000000000009</v>
      </c>
      <c r="I558" s="5">
        <v>0.05</v>
      </c>
      <c r="J558" s="6">
        <v>0.625</v>
      </c>
      <c r="K558" s="6">
        <v>0.8851428571428569</v>
      </c>
      <c r="L558" s="6">
        <v>0.82518165098402818</v>
      </c>
      <c r="M558" s="4" t="s">
        <v>136</v>
      </c>
      <c r="N558" s="4">
        <v>0.1060437299754896</v>
      </c>
      <c r="O558" s="4">
        <v>0</v>
      </c>
    </row>
    <row r="559" spans="1:15" x14ac:dyDescent="0.3">
      <c r="A559" s="4">
        <v>83</v>
      </c>
      <c r="B559" s="4">
        <v>83000</v>
      </c>
      <c r="C559" s="4" t="s">
        <v>163</v>
      </c>
      <c r="D559" s="4" t="s">
        <v>161</v>
      </c>
      <c r="E559" s="4" t="s">
        <v>17</v>
      </c>
      <c r="F559" s="4" t="s">
        <v>18</v>
      </c>
      <c r="G559" s="5">
        <v>0.72222222222222221</v>
      </c>
      <c r="H559" s="5">
        <v>0.60000000000000009</v>
      </c>
      <c r="I559" s="5">
        <v>0.05</v>
      </c>
      <c r="J559" s="6">
        <v>0.61818181818181817</v>
      </c>
      <c r="K559" s="6">
        <v>0.88058823529411745</v>
      </c>
      <c r="L559" s="6">
        <v>0.77320024187755332</v>
      </c>
      <c r="M559" s="4" t="s">
        <v>136</v>
      </c>
      <c r="N559" s="4">
        <v>0.1058119088629032</v>
      </c>
      <c r="O559" s="4">
        <v>0</v>
      </c>
    </row>
    <row r="560" spans="1:15" x14ac:dyDescent="0.3">
      <c r="A560" s="4">
        <v>84</v>
      </c>
      <c r="B560" s="4">
        <v>84000</v>
      </c>
      <c r="C560" s="4" t="s">
        <v>163</v>
      </c>
      <c r="D560" s="4" t="s">
        <v>161</v>
      </c>
      <c r="E560" s="4" t="s">
        <v>17</v>
      </c>
      <c r="F560" s="4" t="s">
        <v>18</v>
      </c>
      <c r="G560" s="5">
        <v>0.72222222222222221</v>
      </c>
      <c r="H560" s="5">
        <v>0.60000000000000009</v>
      </c>
      <c r="I560" s="5">
        <v>0.05</v>
      </c>
      <c r="J560" s="6">
        <v>0.6071428571428571</v>
      </c>
      <c r="K560" s="6">
        <v>0.88264705882352923</v>
      </c>
      <c r="L560" s="6">
        <v>0.79265030710745032</v>
      </c>
      <c r="M560" s="4" t="s">
        <v>160</v>
      </c>
      <c r="N560" s="4">
        <v>9.9824725500557127E-2</v>
      </c>
      <c r="O560" s="4">
        <v>0</v>
      </c>
    </row>
    <row r="561" spans="1:15" x14ac:dyDescent="0.3">
      <c r="A561" s="4">
        <v>85</v>
      </c>
      <c r="B561" s="4">
        <v>85000</v>
      </c>
      <c r="C561" s="4" t="s">
        <v>163</v>
      </c>
      <c r="D561" s="4" t="s">
        <v>161</v>
      </c>
      <c r="E561" s="4" t="s">
        <v>17</v>
      </c>
      <c r="F561" s="4" t="s">
        <v>18</v>
      </c>
      <c r="G561" s="5">
        <v>0.72222222222222221</v>
      </c>
      <c r="H561" s="5">
        <v>0.60000000000000009</v>
      </c>
      <c r="I561" s="5">
        <v>0.05</v>
      </c>
      <c r="J561" s="6">
        <v>0.625</v>
      </c>
      <c r="K561" s="6">
        <v>0.88171428571428545</v>
      </c>
      <c r="L561" s="6">
        <v>0.80275314313374735</v>
      </c>
      <c r="M561" s="4" t="s">
        <v>154</v>
      </c>
      <c r="N561" s="4">
        <v>9.7776869871088107E-2</v>
      </c>
      <c r="O561" s="4">
        <v>0</v>
      </c>
    </row>
    <row r="562" spans="1:15" x14ac:dyDescent="0.3">
      <c r="A562" s="4">
        <v>86</v>
      </c>
      <c r="B562" s="4">
        <v>86000</v>
      </c>
      <c r="C562" s="4" t="s">
        <v>163</v>
      </c>
      <c r="D562" s="4" t="s">
        <v>161</v>
      </c>
      <c r="E562" s="4" t="s">
        <v>17</v>
      </c>
      <c r="F562" s="4" t="s">
        <v>18</v>
      </c>
      <c r="G562" s="5">
        <v>0.72222222222222221</v>
      </c>
      <c r="H562" s="5">
        <v>0.60000000000000009</v>
      </c>
      <c r="I562" s="5">
        <v>0.05</v>
      </c>
      <c r="J562" s="6">
        <v>0.62068965517241381</v>
      </c>
      <c r="K562" s="6">
        <v>0.88027777777777771</v>
      </c>
      <c r="L562" s="6">
        <v>0.82635318607164554</v>
      </c>
      <c r="M562" s="4" t="s">
        <v>154</v>
      </c>
      <c r="N562" s="4">
        <v>9.842287037827506E-2</v>
      </c>
      <c r="O562" s="4">
        <v>0</v>
      </c>
    </row>
    <row r="563" spans="1:15" x14ac:dyDescent="0.3">
      <c r="A563" s="4">
        <v>87</v>
      </c>
      <c r="B563" s="4">
        <v>87000</v>
      </c>
      <c r="C563" s="4" t="s">
        <v>163</v>
      </c>
      <c r="D563" s="4" t="s">
        <v>161</v>
      </c>
      <c r="E563" s="4" t="s">
        <v>17</v>
      </c>
      <c r="F563" s="4" t="s">
        <v>18</v>
      </c>
      <c r="G563" s="5">
        <v>0.72222222222222221</v>
      </c>
      <c r="H563" s="5">
        <v>0.60000000000000009</v>
      </c>
      <c r="I563" s="5">
        <v>0.05</v>
      </c>
      <c r="J563" s="6">
        <v>0.62068965517241381</v>
      </c>
      <c r="K563" s="6">
        <v>0.88111111111111107</v>
      </c>
      <c r="L563" s="6">
        <v>0.826121672653651</v>
      </c>
      <c r="M563" s="4" t="s">
        <v>78</v>
      </c>
      <c r="N563" s="4">
        <v>9.6057204891160139E-2</v>
      </c>
      <c r="O563" s="4">
        <v>0</v>
      </c>
    </row>
    <row r="564" spans="1:15" x14ac:dyDescent="0.3">
      <c r="A564" s="4">
        <v>88</v>
      </c>
      <c r="B564" s="4">
        <v>88000</v>
      </c>
      <c r="C564" s="4" t="s">
        <v>163</v>
      </c>
      <c r="D564" s="4" t="s">
        <v>161</v>
      </c>
      <c r="E564" s="4" t="s">
        <v>17</v>
      </c>
      <c r="F564" s="4" t="s">
        <v>18</v>
      </c>
      <c r="G564" s="5">
        <v>0.72222222222222221</v>
      </c>
      <c r="H564" s="5">
        <v>0.60000000000000009</v>
      </c>
      <c r="I564" s="5">
        <v>0.05</v>
      </c>
      <c r="J564" s="6">
        <v>0.62068965517241381</v>
      </c>
      <c r="K564" s="6">
        <v>0.88111111111111096</v>
      </c>
      <c r="L564" s="6">
        <v>0.83444835211467405</v>
      </c>
      <c r="M564" s="4" t="s">
        <v>150</v>
      </c>
      <c r="N564" s="4">
        <v>9.4993537887319429E-2</v>
      </c>
      <c r="O564" s="4">
        <v>0</v>
      </c>
    </row>
    <row r="565" spans="1:15" x14ac:dyDescent="0.3">
      <c r="A565" s="4">
        <v>89</v>
      </c>
      <c r="B565" s="4">
        <v>89000</v>
      </c>
      <c r="C565" s="4" t="s">
        <v>163</v>
      </c>
      <c r="D565" s="4" t="s">
        <v>161</v>
      </c>
      <c r="E565" s="4" t="s">
        <v>17</v>
      </c>
      <c r="F565" s="4" t="s">
        <v>18</v>
      </c>
      <c r="G565" s="5">
        <v>0.72222222222222221</v>
      </c>
      <c r="H565" s="5">
        <v>0.60000000000000009</v>
      </c>
      <c r="I565" s="5">
        <v>0.05</v>
      </c>
      <c r="J565" s="6">
        <v>0.625</v>
      </c>
      <c r="K565" s="6">
        <v>0.87742857142857122</v>
      </c>
      <c r="L565" s="6">
        <v>0.82005227125046909</v>
      </c>
      <c r="M565" s="4" t="s">
        <v>154</v>
      </c>
      <c r="N565" s="4">
        <v>9.8429772594542539E-2</v>
      </c>
      <c r="O565" s="4">
        <v>0</v>
      </c>
    </row>
    <row r="566" spans="1:15" x14ac:dyDescent="0.3">
      <c r="A566" s="4">
        <v>90</v>
      </c>
      <c r="B566" s="4">
        <v>90000</v>
      </c>
      <c r="C566" s="4" t="s">
        <v>163</v>
      </c>
      <c r="D566" s="4" t="s">
        <v>161</v>
      </c>
      <c r="E566" s="4" t="s">
        <v>17</v>
      </c>
      <c r="F566" s="4" t="s">
        <v>18</v>
      </c>
      <c r="G566" s="5">
        <v>0.72222222222222221</v>
      </c>
      <c r="H566" s="5">
        <v>0.60000000000000009</v>
      </c>
      <c r="I566" s="5">
        <v>0.05</v>
      </c>
      <c r="J566" s="6">
        <v>0.625</v>
      </c>
      <c r="K566" s="6">
        <v>0.87799999999999989</v>
      </c>
      <c r="L566" s="6">
        <v>0.82730060809713968</v>
      </c>
      <c r="M566" s="4" t="s">
        <v>82</v>
      </c>
      <c r="N566" s="4">
        <v>0.10226997542982</v>
      </c>
      <c r="O566" s="4">
        <v>0</v>
      </c>
    </row>
    <row r="567" spans="1:15" x14ac:dyDescent="0.3">
      <c r="A567" s="4">
        <v>91</v>
      </c>
      <c r="B567" s="4">
        <v>91000</v>
      </c>
      <c r="C567" s="4" t="s">
        <v>163</v>
      </c>
      <c r="D567" s="4" t="s">
        <v>161</v>
      </c>
      <c r="E567" s="4" t="s">
        <v>17</v>
      </c>
      <c r="F567" s="4" t="s">
        <v>18</v>
      </c>
      <c r="G567" s="5">
        <v>0.72222222222222221</v>
      </c>
      <c r="H567" s="5">
        <v>0.60000000000000009</v>
      </c>
      <c r="I567" s="5">
        <v>0.05</v>
      </c>
      <c r="J567" s="6">
        <v>0.625</v>
      </c>
      <c r="K567" s="6">
        <v>0.88057142857142845</v>
      </c>
      <c r="L567" s="6">
        <v>0.82407872867645382</v>
      </c>
      <c r="M567" s="4" t="s">
        <v>142</v>
      </c>
      <c r="N567" s="4">
        <v>0.1096287163132067</v>
      </c>
      <c r="O567" s="4">
        <v>0</v>
      </c>
    </row>
    <row r="568" spans="1:15" x14ac:dyDescent="0.3">
      <c r="A568" s="4">
        <v>92</v>
      </c>
      <c r="B568" s="4">
        <v>92000</v>
      </c>
      <c r="C568" s="4" t="s">
        <v>163</v>
      </c>
      <c r="D568" s="4" t="s">
        <v>161</v>
      </c>
      <c r="E568" s="4" t="s">
        <v>17</v>
      </c>
      <c r="F568" s="4" t="s">
        <v>18</v>
      </c>
      <c r="G568" s="5">
        <v>0.72222222222222221</v>
      </c>
      <c r="H568" s="5">
        <v>0.60000000000000009</v>
      </c>
      <c r="I568" s="5">
        <v>0.05</v>
      </c>
      <c r="J568" s="6">
        <v>0.6071428571428571</v>
      </c>
      <c r="K568" s="6">
        <v>0.88088235294117645</v>
      </c>
      <c r="L568" s="6">
        <v>0.80333643674722</v>
      </c>
      <c r="M568" s="4" t="s">
        <v>142</v>
      </c>
      <c r="N568" s="4">
        <v>0.11019760839596331</v>
      </c>
      <c r="O568" s="4">
        <v>0</v>
      </c>
    </row>
    <row r="569" spans="1:15" x14ac:dyDescent="0.3">
      <c r="A569" s="4">
        <v>93</v>
      </c>
      <c r="B569" s="4">
        <v>93000</v>
      </c>
      <c r="C569" s="4" t="s">
        <v>163</v>
      </c>
      <c r="D569" s="4" t="s">
        <v>161</v>
      </c>
      <c r="E569" s="4" t="s">
        <v>17</v>
      </c>
      <c r="F569" s="4" t="s">
        <v>18</v>
      </c>
      <c r="G569" s="5">
        <v>0.72222222222222221</v>
      </c>
      <c r="H569" s="5">
        <v>0.60000000000000009</v>
      </c>
      <c r="I569" s="5">
        <v>0.05</v>
      </c>
      <c r="J569" s="6">
        <v>0.5892857142857143</v>
      </c>
      <c r="K569" s="6">
        <v>0.88272727272727269</v>
      </c>
      <c r="L569" s="6">
        <v>0.78964448661281572</v>
      </c>
      <c r="M569" s="4" t="s">
        <v>103</v>
      </c>
      <c r="N569" s="4">
        <v>0.1088604438797037</v>
      </c>
      <c r="O569" s="4">
        <v>0</v>
      </c>
    </row>
    <row r="570" spans="1:15" x14ac:dyDescent="0.3">
      <c r="A570" s="4">
        <v>94</v>
      </c>
      <c r="B570" s="4">
        <v>94000</v>
      </c>
      <c r="C570" s="4" t="s">
        <v>163</v>
      </c>
      <c r="D570" s="4" t="s">
        <v>161</v>
      </c>
      <c r="E570" s="4" t="s">
        <v>17</v>
      </c>
      <c r="F570" s="4" t="s">
        <v>18</v>
      </c>
      <c r="G570" s="5">
        <v>0.72222222222222221</v>
      </c>
      <c r="H570" s="5">
        <v>0.60000000000000009</v>
      </c>
      <c r="I570" s="5">
        <v>0.05</v>
      </c>
      <c r="J570" s="6">
        <v>0.55932203389830504</v>
      </c>
      <c r="K570" s="6">
        <v>0.881212121212121</v>
      </c>
      <c r="L570" s="6">
        <v>0.78634182303278888</v>
      </c>
      <c r="M570" s="4" t="s">
        <v>142</v>
      </c>
      <c r="N570" s="4">
        <v>0.1097910681172871</v>
      </c>
      <c r="O570" s="4">
        <v>0</v>
      </c>
    </row>
    <row r="571" spans="1:15" x14ac:dyDescent="0.3">
      <c r="A571" s="4">
        <v>95</v>
      </c>
      <c r="B571" s="4">
        <v>95000</v>
      </c>
      <c r="C571" s="4" t="s">
        <v>163</v>
      </c>
      <c r="D571" s="4" t="s">
        <v>161</v>
      </c>
      <c r="E571" s="4" t="s">
        <v>17</v>
      </c>
      <c r="F571" s="4" t="s">
        <v>18</v>
      </c>
      <c r="G571" s="5">
        <v>0.72222222222222221</v>
      </c>
      <c r="H571" s="5">
        <v>0.60000000000000009</v>
      </c>
      <c r="I571" s="5">
        <v>0.05</v>
      </c>
      <c r="J571" s="6">
        <v>0.532258064516129</v>
      </c>
      <c r="K571" s="6">
        <v>0.87909090909090881</v>
      </c>
      <c r="L571" s="6">
        <v>0.78832745221785616</v>
      </c>
      <c r="M571" s="4" t="s">
        <v>60</v>
      </c>
      <c r="N571" s="4">
        <v>0.10699599353617791</v>
      </c>
      <c r="O571" s="4">
        <v>0</v>
      </c>
    </row>
    <row r="572" spans="1:15" x14ac:dyDescent="0.3">
      <c r="A572" s="4">
        <v>96</v>
      </c>
      <c r="B572" s="4">
        <v>96000</v>
      </c>
      <c r="C572" s="4" t="s">
        <v>163</v>
      </c>
      <c r="D572" s="4" t="s">
        <v>161</v>
      </c>
      <c r="E572" s="4" t="s">
        <v>17</v>
      </c>
      <c r="F572" s="4" t="s">
        <v>18</v>
      </c>
      <c r="G572" s="5">
        <v>0.72222222222222221</v>
      </c>
      <c r="H572" s="5">
        <v>0.60000000000000009</v>
      </c>
      <c r="I572" s="5">
        <v>0.05</v>
      </c>
      <c r="J572" s="6">
        <v>0.54098360655737709</v>
      </c>
      <c r="K572" s="6">
        <v>0.87848484848484809</v>
      </c>
      <c r="L572" s="6">
        <v>0.78976394686276208</v>
      </c>
      <c r="M572" s="4" t="s">
        <v>99</v>
      </c>
      <c r="N572" s="4">
        <v>0.1026087861689246</v>
      </c>
      <c r="O572" s="4">
        <v>0</v>
      </c>
    </row>
    <row r="573" spans="1:15" x14ac:dyDescent="0.3">
      <c r="A573" s="4">
        <v>97</v>
      </c>
      <c r="B573" s="4">
        <v>97000</v>
      </c>
      <c r="C573" s="4" t="s">
        <v>163</v>
      </c>
      <c r="D573" s="4" t="s">
        <v>161</v>
      </c>
      <c r="E573" s="4" t="s">
        <v>17</v>
      </c>
      <c r="F573" s="4" t="s">
        <v>18</v>
      </c>
      <c r="G573" s="5">
        <v>0.72222222222222221</v>
      </c>
      <c r="H573" s="5">
        <v>0.60000000000000009</v>
      </c>
      <c r="I573" s="5">
        <v>0.05</v>
      </c>
      <c r="J573" s="6">
        <v>0.56666666666666665</v>
      </c>
      <c r="K573" s="6">
        <v>0.87764705882352911</v>
      </c>
      <c r="L573" s="6">
        <v>0.790171551620653</v>
      </c>
      <c r="M573" s="4" t="s">
        <v>79</v>
      </c>
      <c r="N573" s="4">
        <v>0.10376415019364819</v>
      </c>
      <c r="O573" s="4">
        <v>0</v>
      </c>
    </row>
    <row r="574" spans="1:15" x14ac:dyDescent="0.3">
      <c r="A574" s="4">
        <v>98</v>
      </c>
      <c r="B574" s="4">
        <v>98000</v>
      </c>
      <c r="C574" s="4" t="s">
        <v>163</v>
      </c>
      <c r="D574" s="4" t="s">
        <v>161</v>
      </c>
      <c r="E574" s="4" t="s">
        <v>17</v>
      </c>
      <c r="F574" s="4" t="s">
        <v>18</v>
      </c>
      <c r="G574" s="5">
        <v>0.72222222222222221</v>
      </c>
      <c r="H574" s="5">
        <v>0.60000000000000009</v>
      </c>
      <c r="I574" s="5">
        <v>0.05</v>
      </c>
      <c r="J574" s="6">
        <v>0.55000000000000004</v>
      </c>
      <c r="K574" s="6">
        <v>0.88090909090909075</v>
      </c>
      <c r="L574" s="6">
        <v>0.78497182227851192</v>
      </c>
      <c r="M574" s="4" t="s">
        <v>93</v>
      </c>
      <c r="N574" s="4">
        <v>0.1048279638679646</v>
      </c>
      <c r="O574" s="4">
        <v>0</v>
      </c>
    </row>
    <row r="575" spans="1:15" x14ac:dyDescent="0.3">
      <c r="A575" s="4">
        <v>99</v>
      </c>
      <c r="B575" s="4">
        <v>99000</v>
      </c>
      <c r="C575" s="4" t="s">
        <v>163</v>
      </c>
      <c r="D575" s="4" t="s">
        <v>161</v>
      </c>
      <c r="E575" s="4" t="s">
        <v>17</v>
      </c>
      <c r="F575" s="4" t="s">
        <v>18</v>
      </c>
      <c r="G575" s="5">
        <v>0.72222222222222221</v>
      </c>
      <c r="H575" s="5">
        <v>0.60000000000000009</v>
      </c>
      <c r="I575" s="5">
        <v>0.05</v>
      </c>
      <c r="J575" s="6">
        <v>0.54838709677419351</v>
      </c>
      <c r="K575" s="6">
        <v>0.87323529411764689</v>
      </c>
      <c r="L575" s="6">
        <v>0.80420370063895197</v>
      </c>
      <c r="M575" s="4" t="s">
        <v>79</v>
      </c>
      <c r="N575" s="4">
        <v>0.1043719103840049</v>
      </c>
      <c r="O575" s="4">
        <v>0</v>
      </c>
    </row>
    <row r="576" spans="1:15" x14ac:dyDescent="0.3">
      <c r="A576" s="4">
        <v>100</v>
      </c>
      <c r="B576" s="4">
        <v>100000</v>
      </c>
      <c r="C576" s="4" t="s">
        <v>163</v>
      </c>
      <c r="D576" s="4" t="s">
        <v>161</v>
      </c>
      <c r="E576" s="4" t="s">
        <v>17</v>
      </c>
      <c r="F576" s="4" t="s">
        <v>18</v>
      </c>
      <c r="G576" s="5">
        <v>0.72222222222222221</v>
      </c>
      <c r="H576" s="5">
        <v>0.60000000000000009</v>
      </c>
      <c r="I576" s="5">
        <v>0.05</v>
      </c>
      <c r="J576" s="6">
        <v>0.53968253968253965</v>
      </c>
      <c r="K576" s="6">
        <v>0.87205882352941144</v>
      </c>
      <c r="L576" s="6">
        <v>0.8047553861135488</v>
      </c>
      <c r="M576" s="4" t="s">
        <v>82</v>
      </c>
      <c r="N576" s="4">
        <v>0.1018952740625268</v>
      </c>
      <c r="O576" s="4">
        <v>0</v>
      </c>
    </row>
    <row r="577" spans="1:15" x14ac:dyDescent="0.3">
      <c r="A577" s="4">
        <v>101</v>
      </c>
      <c r="B577" s="4">
        <v>101000</v>
      </c>
      <c r="C577" s="4" t="s">
        <v>163</v>
      </c>
      <c r="D577" s="4" t="s">
        <v>161</v>
      </c>
      <c r="E577" s="4" t="s">
        <v>17</v>
      </c>
      <c r="F577" s="4" t="s">
        <v>18</v>
      </c>
      <c r="G577" s="5">
        <v>0.72222222222222221</v>
      </c>
      <c r="H577" s="5">
        <v>0.60000000000000009</v>
      </c>
      <c r="I577" s="5">
        <v>0.05</v>
      </c>
      <c r="J577" s="6">
        <v>0.54098360655737709</v>
      </c>
      <c r="K577" s="6">
        <v>0.87606060606060587</v>
      </c>
      <c r="L577" s="6">
        <v>0.77662739167257666</v>
      </c>
      <c r="M577" s="4" t="s">
        <v>82</v>
      </c>
      <c r="N577" s="4">
        <v>0.1019345131973773</v>
      </c>
      <c r="O577" s="4">
        <v>0</v>
      </c>
    </row>
    <row r="578" spans="1:15" x14ac:dyDescent="0.3">
      <c r="A578" s="4">
        <v>102</v>
      </c>
      <c r="B578" s="4">
        <v>102000</v>
      </c>
      <c r="C578" s="4" t="s">
        <v>163</v>
      </c>
      <c r="D578" s="4" t="s">
        <v>161</v>
      </c>
      <c r="E578" s="4" t="s">
        <v>17</v>
      </c>
      <c r="F578" s="4" t="s">
        <v>18</v>
      </c>
      <c r="G578" s="5">
        <v>0.72222222222222221</v>
      </c>
      <c r="H578" s="5">
        <v>0.60000000000000009</v>
      </c>
      <c r="I578" s="5">
        <v>0.05</v>
      </c>
      <c r="J578" s="6">
        <v>0.52459016393442626</v>
      </c>
      <c r="K578" s="6">
        <v>0.87937499999999968</v>
      </c>
      <c r="L578" s="6">
        <v>0.7574744051675173</v>
      </c>
      <c r="M578" s="4" t="s">
        <v>156</v>
      </c>
      <c r="N578" s="4">
        <v>9.9292049993025502E-2</v>
      </c>
      <c r="O578" s="4">
        <v>0</v>
      </c>
    </row>
    <row r="579" spans="1:15" x14ac:dyDescent="0.3">
      <c r="A579" s="4">
        <v>103</v>
      </c>
      <c r="B579" s="4">
        <v>103000</v>
      </c>
      <c r="C579" s="4" t="s">
        <v>163</v>
      </c>
      <c r="D579" s="4" t="s">
        <v>161</v>
      </c>
      <c r="E579" s="4" t="s">
        <v>17</v>
      </c>
      <c r="F579" s="4" t="s">
        <v>18</v>
      </c>
      <c r="G579" s="5">
        <v>0.54444444444444451</v>
      </c>
      <c r="H579" s="5">
        <v>0.8</v>
      </c>
      <c r="I579" s="5">
        <v>0.05</v>
      </c>
      <c r="J579" s="6">
        <v>0.55555555555555558</v>
      </c>
      <c r="K579" s="6">
        <v>0.88457142857142834</v>
      </c>
      <c r="L579" s="6">
        <v>0.86179283956639774</v>
      </c>
      <c r="M579" s="4" t="s">
        <v>19</v>
      </c>
      <c r="N579" s="4">
        <v>1</v>
      </c>
      <c r="O579" s="4">
        <v>1</v>
      </c>
    </row>
    <row r="580" spans="1:15" x14ac:dyDescent="0.3">
      <c r="A580" s="4">
        <v>104</v>
      </c>
      <c r="B580" s="4">
        <v>104000</v>
      </c>
      <c r="C580" s="4" t="s">
        <v>163</v>
      </c>
      <c r="D580" s="4" t="s">
        <v>161</v>
      </c>
      <c r="E580" s="4" t="s">
        <v>17</v>
      </c>
      <c r="F580" s="4" t="s">
        <v>18</v>
      </c>
      <c r="G580" s="5">
        <v>0.54444444444444451</v>
      </c>
      <c r="H580" s="5">
        <v>0.8</v>
      </c>
      <c r="I580" s="5">
        <v>0.05</v>
      </c>
      <c r="J580" s="6">
        <v>0.53968253968253965</v>
      </c>
      <c r="K580" s="6">
        <v>0.89088235294117624</v>
      </c>
      <c r="L580" s="6">
        <v>0.85384023146211208</v>
      </c>
      <c r="M580" s="4" t="s">
        <v>177</v>
      </c>
      <c r="N580" s="4">
        <v>1.7443944065613878E-2</v>
      </c>
      <c r="O580" s="4">
        <v>0</v>
      </c>
    </row>
    <row r="581" spans="1:15" x14ac:dyDescent="0.3">
      <c r="A581" s="4">
        <v>105</v>
      </c>
      <c r="B581" s="4">
        <v>105000</v>
      </c>
      <c r="C581" s="4" t="s">
        <v>163</v>
      </c>
      <c r="D581" s="4" t="s">
        <v>161</v>
      </c>
      <c r="E581" s="4" t="s">
        <v>17</v>
      </c>
      <c r="F581" s="4" t="s">
        <v>18</v>
      </c>
      <c r="G581" s="5">
        <v>0.54444444444444451</v>
      </c>
      <c r="H581" s="5">
        <v>0.8</v>
      </c>
      <c r="I581" s="5">
        <v>0.05</v>
      </c>
      <c r="J581" s="6">
        <v>0.53968253968253965</v>
      </c>
      <c r="K581" s="6">
        <v>0.89176470588235279</v>
      </c>
      <c r="L581" s="6">
        <v>0.85408381470911421</v>
      </c>
      <c r="M581" s="4" t="s">
        <v>171</v>
      </c>
      <c r="N581" s="4">
        <v>2.109085668297753E-2</v>
      </c>
      <c r="O581" s="4">
        <v>0</v>
      </c>
    </row>
    <row r="582" spans="1:15" x14ac:dyDescent="0.3">
      <c r="A582" s="4">
        <v>106</v>
      </c>
      <c r="B582" s="4">
        <v>106000</v>
      </c>
      <c r="C582" s="4" t="s">
        <v>163</v>
      </c>
      <c r="D582" s="4" t="s">
        <v>161</v>
      </c>
      <c r="E582" s="4" t="s">
        <v>17</v>
      </c>
      <c r="F582" s="4" t="s">
        <v>18</v>
      </c>
      <c r="G582" s="5">
        <v>0.54444444444444451</v>
      </c>
      <c r="H582" s="5">
        <v>0.8</v>
      </c>
      <c r="I582" s="5">
        <v>0.05</v>
      </c>
      <c r="J582" s="6">
        <v>0.546875</v>
      </c>
      <c r="K582" s="6">
        <v>0.87942857142857112</v>
      </c>
      <c r="L582" s="6">
        <v>0.8715940935826183</v>
      </c>
      <c r="M582" s="4" t="s">
        <v>178</v>
      </c>
      <c r="N582" s="4">
        <v>3.2460589086845848E-2</v>
      </c>
      <c r="O582" s="4">
        <v>0</v>
      </c>
    </row>
    <row r="583" spans="1:15" x14ac:dyDescent="0.3">
      <c r="A583" s="4">
        <v>107</v>
      </c>
      <c r="B583" s="4">
        <v>107000</v>
      </c>
      <c r="C583" s="4" t="s">
        <v>163</v>
      </c>
      <c r="D583" s="4" t="s">
        <v>161</v>
      </c>
      <c r="E583" s="4" t="s">
        <v>17</v>
      </c>
      <c r="F583" s="4" t="s">
        <v>18</v>
      </c>
      <c r="G583" s="5">
        <v>0.54444444444444451</v>
      </c>
      <c r="H583" s="5">
        <v>0.8</v>
      </c>
      <c r="I583" s="5">
        <v>0.05</v>
      </c>
      <c r="J583" s="6">
        <v>0.546875</v>
      </c>
      <c r="K583" s="6">
        <v>0.87942857142857123</v>
      </c>
      <c r="L583" s="6">
        <v>0.87288041895177637</v>
      </c>
      <c r="M583" s="4" t="s">
        <v>179</v>
      </c>
      <c r="N583" s="4">
        <v>3.7037765803252971E-2</v>
      </c>
      <c r="O583" s="4">
        <v>0</v>
      </c>
    </row>
    <row r="584" spans="1:15" x14ac:dyDescent="0.3">
      <c r="A584" s="4">
        <v>108</v>
      </c>
      <c r="B584" s="4">
        <v>108000</v>
      </c>
      <c r="C584" s="4" t="s">
        <v>163</v>
      </c>
      <c r="D584" s="4" t="s">
        <v>161</v>
      </c>
      <c r="E584" s="4" t="s">
        <v>17</v>
      </c>
      <c r="F584" s="4" t="s">
        <v>18</v>
      </c>
      <c r="G584" s="5">
        <v>0.54444444444444451</v>
      </c>
      <c r="H584" s="5">
        <v>0.8</v>
      </c>
      <c r="I584" s="5">
        <v>0.05</v>
      </c>
      <c r="J584" s="6">
        <v>0.546875</v>
      </c>
      <c r="K584" s="6">
        <v>0.88142857142857123</v>
      </c>
      <c r="L584" s="6">
        <v>0.87275138101192318</v>
      </c>
      <c r="M584" s="4" t="s">
        <v>180</v>
      </c>
      <c r="N584" s="4">
        <v>3.7804117236357911E-2</v>
      </c>
      <c r="O584" s="4">
        <v>0</v>
      </c>
    </row>
    <row r="585" spans="1:15" x14ac:dyDescent="0.3">
      <c r="A585" s="4">
        <v>109</v>
      </c>
      <c r="B585" s="4">
        <v>109000</v>
      </c>
      <c r="C585" s="4" t="s">
        <v>163</v>
      </c>
      <c r="D585" s="4" t="s">
        <v>161</v>
      </c>
      <c r="E585" s="4" t="s">
        <v>17</v>
      </c>
      <c r="F585" s="4" t="s">
        <v>18</v>
      </c>
      <c r="G585" s="5">
        <v>0.54444444444444451</v>
      </c>
      <c r="H585" s="5">
        <v>0.8</v>
      </c>
      <c r="I585" s="5">
        <v>0.05</v>
      </c>
      <c r="J585" s="6">
        <v>0.52380952380952384</v>
      </c>
      <c r="K585" s="6">
        <v>0.88757575757575735</v>
      </c>
      <c r="L585" s="6">
        <v>0.84111797154245183</v>
      </c>
      <c r="M585" s="4" t="s">
        <v>168</v>
      </c>
      <c r="N585" s="4">
        <v>4.3752387804804713E-2</v>
      </c>
      <c r="O585" s="4">
        <v>0</v>
      </c>
    </row>
    <row r="586" spans="1:15" x14ac:dyDescent="0.3">
      <c r="A586" s="4">
        <v>110</v>
      </c>
      <c r="B586" s="4">
        <v>110000</v>
      </c>
      <c r="C586" s="4" t="s">
        <v>163</v>
      </c>
      <c r="D586" s="4" t="s">
        <v>161</v>
      </c>
      <c r="E586" s="4" t="s">
        <v>17</v>
      </c>
      <c r="F586" s="4" t="s">
        <v>18</v>
      </c>
      <c r="G586" s="5">
        <v>0.54444444444444451</v>
      </c>
      <c r="H586" s="5">
        <v>0.8</v>
      </c>
      <c r="I586" s="5">
        <v>0.05</v>
      </c>
      <c r="J586" s="6">
        <v>0.58064516129032262</v>
      </c>
      <c r="K586" s="6">
        <v>0.87805555555555548</v>
      </c>
      <c r="L586" s="6">
        <v>0.88674711271029305</v>
      </c>
      <c r="M586" s="4" t="s">
        <v>181</v>
      </c>
      <c r="N586" s="4">
        <v>4.568828836000903E-2</v>
      </c>
      <c r="O586" s="4">
        <v>0</v>
      </c>
    </row>
    <row r="587" spans="1:15" x14ac:dyDescent="0.3">
      <c r="A587" s="4">
        <v>111</v>
      </c>
      <c r="B587" s="4">
        <v>111000</v>
      </c>
      <c r="C587" s="4" t="s">
        <v>163</v>
      </c>
      <c r="D587" s="4" t="s">
        <v>161</v>
      </c>
      <c r="E587" s="4" t="s">
        <v>17</v>
      </c>
      <c r="F587" s="4" t="s">
        <v>18</v>
      </c>
      <c r="G587" s="5">
        <v>0.54444444444444451</v>
      </c>
      <c r="H587" s="5">
        <v>0.8</v>
      </c>
      <c r="I587" s="5">
        <v>0.05</v>
      </c>
      <c r="J587" s="6">
        <v>0.57377049180327866</v>
      </c>
      <c r="K587" s="6">
        <v>0.86828571428571411</v>
      </c>
      <c r="L587" s="6">
        <v>0.88014340673598324</v>
      </c>
      <c r="M587" s="4" t="s">
        <v>182</v>
      </c>
      <c r="N587" s="4">
        <v>5.2493996901601801E-2</v>
      </c>
      <c r="O587" s="4">
        <v>0</v>
      </c>
    </row>
    <row r="588" spans="1:15" x14ac:dyDescent="0.3">
      <c r="A588" s="4">
        <v>112</v>
      </c>
      <c r="B588" s="4">
        <v>112000</v>
      </c>
      <c r="C588" s="4" t="s">
        <v>163</v>
      </c>
      <c r="D588" s="4" t="s">
        <v>161</v>
      </c>
      <c r="E588" s="4" t="s">
        <v>17</v>
      </c>
      <c r="F588" s="4" t="s">
        <v>18</v>
      </c>
      <c r="G588" s="5">
        <v>0.54444444444444451</v>
      </c>
      <c r="H588" s="5">
        <v>0.8</v>
      </c>
      <c r="I588" s="5">
        <v>0.05</v>
      </c>
      <c r="J588" s="6">
        <v>0.54838709677419351</v>
      </c>
      <c r="K588" s="6">
        <v>0.86941176470588211</v>
      </c>
      <c r="L588" s="6">
        <v>0.85993801942591697</v>
      </c>
      <c r="M588" s="4" t="s">
        <v>183</v>
      </c>
      <c r="N588" s="4">
        <v>5.5157564846599949E-2</v>
      </c>
      <c r="O588" s="4">
        <v>0</v>
      </c>
    </row>
    <row r="589" spans="1:15" x14ac:dyDescent="0.3">
      <c r="A589" s="4">
        <v>113</v>
      </c>
      <c r="B589" s="4">
        <v>113000</v>
      </c>
      <c r="C589" s="4" t="s">
        <v>163</v>
      </c>
      <c r="D589" s="4" t="s">
        <v>161</v>
      </c>
      <c r="E589" s="4" t="s">
        <v>17</v>
      </c>
      <c r="F589" s="4" t="s">
        <v>18</v>
      </c>
      <c r="G589" s="5">
        <v>0.54444444444444451</v>
      </c>
      <c r="H589" s="5">
        <v>0.8</v>
      </c>
      <c r="I589" s="5">
        <v>0.05</v>
      </c>
      <c r="J589" s="6">
        <v>0.54838709677419351</v>
      </c>
      <c r="K589" s="6">
        <v>0.87176470588235289</v>
      </c>
      <c r="L589" s="6">
        <v>0.8547606244977719</v>
      </c>
      <c r="M589" s="4" t="s">
        <v>175</v>
      </c>
      <c r="N589" s="4">
        <v>5.7602305760636643E-2</v>
      </c>
      <c r="O589" s="4">
        <v>0</v>
      </c>
    </row>
    <row r="590" spans="1:15" x14ac:dyDescent="0.3">
      <c r="A590" s="4">
        <v>114</v>
      </c>
      <c r="B590" s="4">
        <v>114000</v>
      </c>
      <c r="C590" s="4" t="s">
        <v>163</v>
      </c>
      <c r="D590" s="4" t="s">
        <v>161</v>
      </c>
      <c r="E590" s="4" t="s">
        <v>17</v>
      </c>
      <c r="F590" s="4" t="s">
        <v>18</v>
      </c>
      <c r="G590" s="5">
        <v>0.54444444444444451</v>
      </c>
      <c r="H590" s="5">
        <v>0.8</v>
      </c>
      <c r="I590" s="5">
        <v>0.05</v>
      </c>
      <c r="J590" s="6">
        <v>0.54838709677419351</v>
      </c>
      <c r="K590" s="6">
        <v>0.87411764705882344</v>
      </c>
      <c r="L590" s="6">
        <v>0.85379051601360556</v>
      </c>
      <c r="M590" s="4" t="s">
        <v>184</v>
      </c>
      <c r="N590" s="4">
        <v>5.9326326624321017E-2</v>
      </c>
      <c r="O590" s="4">
        <v>0</v>
      </c>
    </row>
    <row r="591" spans="1:15" x14ac:dyDescent="0.3">
      <c r="A591" s="4">
        <v>115</v>
      </c>
      <c r="B591" s="4">
        <v>115000</v>
      </c>
      <c r="C591" s="4" t="s">
        <v>163</v>
      </c>
      <c r="D591" s="4" t="s">
        <v>161</v>
      </c>
      <c r="E591" s="4" t="s">
        <v>17</v>
      </c>
      <c r="F591" s="4" t="s">
        <v>18</v>
      </c>
      <c r="G591" s="5">
        <v>0.54444444444444451</v>
      </c>
      <c r="H591" s="5">
        <v>0.8</v>
      </c>
      <c r="I591" s="5">
        <v>0.05</v>
      </c>
      <c r="J591" s="6">
        <v>0.5901639344262295</v>
      </c>
      <c r="K591" s="6">
        <v>0.86888888888888882</v>
      </c>
      <c r="L591" s="6">
        <v>0.82791563709588212</v>
      </c>
      <c r="M591" s="4" t="s">
        <v>185</v>
      </c>
      <c r="N591" s="4">
        <v>5.9646716851600577E-2</v>
      </c>
      <c r="O591" s="4">
        <v>0</v>
      </c>
    </row>
    <row r="592" spans="1:15" x14ac:dyDescent="0.3">
      <c r="A592" s="4">
        <v>116</v>
      </c>
      <c r="B592" s="4">
        <v>116000</v>
      </c>
      <c r="C592" s="4" t="s">
        <v>163</v>
      </c>
      <c r="D592" s="4" t="s">
        <v>161</v>
      </c>
      <c r="E592" s="4" t="s">
        <v>17</v>
      </c>
      <c r="F592" s="4" t="s">
        <v>18</v>
      </c>
      <c r="G592" s="5">
        <v>0.54444444444444451</v>
      </c>
      <c r="H592" s="5">
        <v>0.8</v>
      </c>
      <c r="I592" s="5">
        <v>0.05</v>
      </c>
      <c r="J592" s="6">
        <v>0.56666666666666665</v>
      </c>
      <c r="K592" s="6">
        <v>0.88264705882352923</v>
      </c>
      <c r="L592" s="6">
        <v>0.84630336815253981</v>
      </c>
      <c r="M592" s="4" t="s">
        <v>186</v>
      </c>
      <c r="N592" s="4">
        <v>6.4760299330279922E-2</v>
      </c>
      <c r="O592" s="4">
        <v>0</v>
      </c>
    </row>
    <row r="593" spans="1:15" x14ac:dyDescent="0.3">
      <c r="A593" s="4">
        <v>117</v>
      </c>
      <c r="B593" s="4">
        <v>117000</v>
      </c>
      <c r="C593" s="4" t="s">
        <v>163</v>
      </c>
      <c r="D593" s="4" t="s">
        <v>161</v>
      </c>
      <c r="E593" s="4" t="s">
        <v>17</v>
      </c>
      <c r="F593" s="4" t="s">
        <v>18</v>
      </c>
      <c r="G593" s="5">
        <v>0.54444444444444451</v>
      </c>
      <c r="H593" s="5">
        <v>0.8</v>
      </c>
      <c r="I593" s="5">
        <v>0.05</v>
      </c>
      <c r="J593" s="6">
        <v>0.6</v>
      </c>
      <c r="K593" s="6">
        <v>0.86722222222222212</v>
      </c>
      <c r="L593" s="6">
        <v>0.8438366718746646</v>
      </c>
      <c r="M593" s="4" t="s">
        <v>104</v>
      </c>
      <c r="N593" s="4">
        <v>7.0025753394860529E-2</v>
      </c>
      <c r="O593" s="4">
        <v>0</v>
      </c>
    </row>
    <row r="594" spans="1:15" x14ac:dyDescent="0.3">
      <c r="A594" s="4">
        <v>118</v>
      </c>
      <c r="B594" s="4">
        <v>118000</v>
      </c>
      <c r="C594" s="4" t="s">
        <v>163</v>
      </c>
      <c r="D594" s="4" t="s">
        <v>161</v>
      </c>
      <c r="E594" s="4" t="s">
        <v>17</v>
      </c>
      <c r="F594" s="4" t="s">
        <v>18</v>
      </c>
      <c r="G594" s="5">
        <v>0.54444444444444451</v>
      </c>
      <c r="H594" s="5">
        <v>0.8</v>
      </c>
      <c r="I594" s="5">
        <v>0.05</v>
      </c>
      <c r="J594" s="6">
        <v>0.60655737704918034</v>
      </c>
      <c r="K594" s="6">
        <v>0.86</v>
      </c>
      <c r="L594" s="6">
        <v>0.83879100712905841</v>
      </c>
      <c r="M594" s="4" t="s">
        <v>186</v>
      </c>
      <c r="N594" s="4">
        <v>6.5423438781988058E-2</v>
      </c>
      <c r="O594" s="4">
        <v>0</v>
      </c>
    </row>
    <row r="595" spans="1:15" x14ac:dyDescent="0.3">
      <c r="A595" s="4">
        <v>119</v>
      </c>
      <c r="B595" s="4">
        <v>119000</v>
      </c>
      <c r="C595" s="4" t="s">
        <v>163</v>
      </c>
      <c r="D595" s="4" t="s">
        <v>161</v>
      </c>
      <c r="E595" s="4" t="s">
        <v>17</v>
      </c>
      <c r="F595" s="4" t="s">
        <v>18</v>
      </c>
      <c r="G595" s="5">
        <v>0.54444444444444451</v>
      </c>
      <c r="H595" s="5">
        <v>0.8</v>
      </c>
      <c r="I595" s="5">
        <v>0.05</v>
      </c>
      <c r="J595" s="6">
        <v>0.58333333333333337</v>
      </c>
      <c r="K595" s="6">
        <v>0.87771428571428556</v>
      </c>
      <c r="L595" s="6">
        <v>0.8481182926384101</v>
      </c>
      <c r="M595" s="4" t="s">
        <v>155</v>
      </c>
      <c r="N595" s="4">
        <v>6.7229489028879055E-2</v>
      </c>
      <c r="O595" s="4">
        <v>0</v>
      </c>
    </row>
    <row r="596" spans="1:15" x14ac:dyDescent="0.3">
      <c r="A596" s="4">
        <v>120</v>
      </c>
      <c r="B596" s="4">
        <v>120000</v>
      </c>
      <c r="C596" s="4" t="s">
        <v>163</v>
      </c>
      <c r="D596" s="4" t="s">
        <v>161</v>
      </c>
      <c r="E596" s="4" t="s">
        <v>17</v>
      </c>
      <c r="F596" s="4" t="s">
        <v>18</v>
      </c>
      <c r="G596" s="5">
        <v>0.54444444444444451</v>
      </c>
      <c r="H596" s="5">
        <v>0.8</v>
      </c>
      <c r="I596" s="5">
        <v>0.05</v>
      </c>
      <c r="J596" s="6">
        <v>0.55000000000000004</v>
      </c>
      <c r="K596" s="6">
        <v>0.88030303030303025</v>
      </c>
      <c r="L596" s="6">
        <v>0.83688091820681954</v>
      </c>
      <c r="M596" s="4" t="s">
        <v>187</v>
      </c>
      <c r="N596" s="4">
        <v>6.7576008902523022E-2</v>
      </c>
      <c r="O596" s="4">
        <v>0</v>
      </c>
    </row>
    <row r="597" spans="1:15" x14ac:dyDescent="0.3">
      <c r="A597" s="4">
        <v>121</v>
      </c>
      <c r="B597" s="4">
        <v>121000</v>
      </c>
      <c r="C597" s="4" t="s">
        <v>163</v>
      </c>
      <c r="D597" s="4" t="s">
        <v>161</v>
      </c>
      <c r="E597" s="4" t="s">
        <v>17</v>
      </c>
      <c r="F597" s="4" t="s">
        <v>18</v>
      </c>
      <c r="G597" s="5">
        <v>0.54444444444444451</v>
      </c>
      <c r="H597" s="5">
        <v>0.8</v>
      </c>
      <c r="I597" s="5">
        <v>0.05</v>
      </c>
      <c r="J597" s="6">
        <v>0.532258064516129</v>
      </c>
      <c r="K597" s="6">
        <v>0.88242424242424233</v>
      </c>
      <c r="L597" s="6">
        <v>0.83354116710596204</v>
      </c>
      <c r="M597" s="4" t="s">
        <v>155</v>
      </c>
      <c r="N597" s="4">
        <v>6.6857916092296202E-2</v>
      </c>
      <c r="O597" s="4">
        <v>0</v>
      </c>
    </row>
    <row r="598" spans="1:15" x14ac:dyDescent="0.3">
      <c r="A598" s="4">
        <v>122</v>
      </c>
      <c r="B598" s="4">
        <v>122000</v>
      </c>
      <c r="C598" s="4" t="s">
        <v>163</v>
      </c>
      <c r="D598" s="4" t="s">
        <v>161</v>
      </c>
      <c r="E598" s="4" t="s">
        <v>17</v>
      </c>
      <c r="F598" s="4" t="s">
        <v>18</v>
      </c>
      <c r="G598" s="5">
        <v>0.54444444444444451</v>
      </c>
      <c r="H598" s="5">
        <v>0.8</v>
      </c>
      <c r="I598" s="5">
        <v>0.05</v>
      </c>
      <c r="J598" s="6">
        <v>0.54838709677419351</v>
      </c>
      <c r="K598" s="6">
        <v>0.88294117647058812</v>
      </c>
      <c r="L598" s="6">
        <v>0.84861607661356719</v>
      </c>
      <c r="M598" s="4" t="s">
        <v>187</v>
      </c>
      <c r="N598" s="4">
        <v>6.8087160135268221E-2</v>
      </c>
      <c r="O598" s="4">
        <v>0</v>
      </c>
    </row>
    <row r="599" spans="1:15" x14ac:dyDescent="0.3">
      <c r="A599" s="4">
        <v>123</v>
      </c>
      <c r="B599" s="4">
        <v>123000</v>
      </c>
      <c r="C599" s="4" t="s">
        <v>163</v>
      </c>
      <c r="D599" s="4" t="s">
        <v>161</v>
      </c>
      <c r="E599" s="4" t="s">
        <v>17</v>
      </c>
      <c r="F599" s="4" t="s">
        <v>18</v>
      </c>
      <c r="G599" s="5">
        <v>0.54444444444444451</v>
      </c>
      <c r="H599" s="5">
        <v>0.8</v>
      </c>
      <c r="I599" s="5">
        <v>0.05</v>
      </c>
      <c r="J599" s="6">
        <v>0.54838709677419351</v>
      </c>
      <c r="K599" s="6">
        <v>0.8849999999999999</v>
      </c>
      <c r="L599" s="6">
        <v>0.84828282580503767</v>
      </c>
      <c r="M599" s="4" t="s">
        <v>24</v>
      </c>
      <c r="N599" s="4">
        <v>7.2554972729347675E-2</v>
      </c>
      <c r="O599" s="4">
        <v>0</v>
      </c>
    </row>
    <row r="600" spans="1:15" x14ac:dyDescent="0.3">
      <c r="A600" s="4">
        <v>124</v>
      </c>
      <c r="B600" s="4">
        <v>124000</v>
      </c>
      <c r="C600" s="4" t="s">
        <v>163</v>
      </c>
      <c r="D600" s="4" t="s">
        <v>161</v>
      </c>
      <c r="E600" s="4" t="s">
        <v>17</v>
      </c>
      <c r="F600" s="4" t="s">
        <v>18</v>
      </c>
      <c r="G600" s="5">
        <v>0.54444444444444451</v>
      </c>
      <c r="H600" s="5">
        <v>0.8</v>
      </c>
      <c r="I600" s="5">
        <v>0.05</v>
      </c>
      <c r="J600" s="6">
        <v>0.532258064516129</v>
      </c>
      <c r="K600" s="6">
        <v>0.88909090909090904</v>
      </c>
      <c r="L600" s="6">
        <v>0.82819532806851326</v>
      </c>
      <c r="M600" s="4" t="s">
        <v>24</v>
      </c>
      <c r="N600" s="4">
        <v>7.2554873263382613E-2</v>
      </c>
      <c r="O600" s="4">
        <v>0</v>
      </c>
    </row>
    <row r="601" spans="1:15" x14ac:dyDescent="0.3">
      <c r="A601" s="4">
        <v>125</v>
      </c>
      <c r="B601" s="4">
        <v>125000</v>
      </c>
      <c r="C601" s="4" t="s">
        <v>163</v>
      </c>
      <c r="D601" s="4" t="s">
        <v>161</v>
      </c>
      <c r="E601" s="4" t="s">
        <v>17</v>
      </c>
      <c r="F601" s="4" t="s">
        <v>18</v>
      </c>
      <c r="G601" s="5">
        <v>0.54444444444444451</v>
      </c>
      <c r="H601" s="5">
        <v>0.8</v>
      </c>
      <c r="I601" s="5">
        <v>0.05</v>
      </c>
      <c r="J601" s="6">
        <v>0.55737704918032782</v>
      </c>
      <c r="K601" s="6">
        <v>0.88970588235294112</v>
      </c>
      <c r="L601" s="6">
        <v>0.8293725168152094</v>
      </c>
      <c r="M601" s="4" t="s">
        <v>24</v>
      </c>
      <c r="N601" s="4">
        <v>7.3353197595371941E-2</v>
      </c>
      <c r="O601" s="4">
        <v>0</v>
      </c>
    </row>
    <row r="602" spans="1:15" x14ac:dyDescent="0.3">
      <c r="A602" s="4">
        <v>126</v>
      </c>
      <c r="B602" s="4">
        <v>126000</v>
      </c>
      <c r="C602" s="4" t="s">
        <v>163</v>
      </c>
      <c r="D602" s="4" t="s">
        <v>161</v>
      </c>
      <c r="E602" s="4" t="s">
        <v>17</v>
      </c>
      <c r="F602" s="4" t="s">
        <v>18</v>
      </c>
      <c r="G602" s="5">
        <v>0.54444444444444451</v>
      </c>
      <c r="H602" s="5">
        <v>0.8</v>
      </c>
      <c r="I602" s="5">
        <v>0.05</v>
      </c>
      <c r="J602" s="6">
        <v>0.56666666666666665</v>
      </c>
      <c r="K602" s="6">
        <v>0.88882352941176479</v>
      </c>
      <c r="L602" s="6">
        <v>0.82892068426136845</v>
      </c>
      <c r="M602" s="4" t="s">
        <v>170</v>
      </c>
      <c r="N602" s="4">
        <v>8.0816511095576624E-2</v>
      </c>
      <c r="O602" s="4">
        <v>0</v>
      </c>
    </row>
    <row r="603" spans="1:15" x14ac:dyDescent="0.3">
      <c r="A603" s="4">
        <v>127</v>
      </c>
      <c r="B603" s="4">
        <v>127000</v>
      </c>
      <c r="C603" s="4" t="s">
        <v>163</v>
      </c>
      <c r="D603" s="4" t="s">
        <v>161</v>
      </c>
      <c r="E603" s="4" t="s">
        <v>17</v>
      </c>
      <c r="F603" s="4" t="s">
        <v>18</v>
      </c>
      <c r="G603" s="5">
        <v>0.54444444444444451</v>
      </c>
      <c r="H603" s="5">
        <v>0.8</v>
      </c>
      <c r="I603" s="5">
        <v>0.05</v>
      </c>
      <c r="J603" s="6">
        <v>0.56666666666666665</v>
      </c>
      <c r="K603" s="6">
        <v>0.88794117647058823</v>
      </c>
      <c r="L603" s="6">
        <v>0.78182751887393009</v>
      </c>
      <c r="M603" s="4" t="s">
        <v>188</v>
      </c>
      <c r="N603" s="4">
        <v>8.0141815015089005E-2</v>
      </c>
      <c r="O603" s="4">
        <v>0</v>
      </c>
    </row>
    <row r="604" spans="1:15" x14ac:dyDescent="0.3">
      <c r="A604" s="4">
        <v>128</v>
      </c>
      <c r="B604" s="4">
        <v>128000</v>
      </c>
      <c r="C604" s="4" t="s">
        <v>163</v>
      </c>
      <c r="D604" s="4" t="s">
        <v>161</v>
      </c>
      <c r="E604" s="4" t="s">
        <v>17</v>
      </c>
      <c r="F604" s="4" t="s">
        <v>18</v>
      </c>
      <c r="G604" s="5">
        <v>0.54444444444444451</v>
      </c>
      <c r="H604" s="5">
        <v>0.8</v>
      </c>
      <c r="I604" s="5">
        <v>0.05</v>
      </c>
      <c r="J604" s="6">
        <v>0.56666666666666665</v>
      </c>
      <c r="K604" s="6">
        <v>0.88705882352941179</v>
      </c>
      <c r="L604" s="6">
        <v>0.77636901158774607</v>
      </c>
      <c r="M604" s="4" t="s">
        <v>106</v>
      </c>
      <c r="N604" s="4">
        <v>8.1987653488290069E-2</v>
      </c>
      <c r="O604" s="4">
        <v>0</v>
      </c>
    </row>
    <row r="605" spans="1:15" x14ac:dyDescent="0.3">
      <c r="A605" s="4">
        <v>129</v>
      </c>
      <c r="B605" s="4">
        <v>129000</v>
      </c>
      <c r="C605" s="4" t="s">
        <v>163</v>
      </c>
      <c r="D605" s="4" t="s">
        <v>161</v>
      </c>
      <c r="E605" s="4" t="s">
        <v>17</v>
      </c>
      <c r="F605" s="4" t="s">
        <v>18</v>
      </c>
      <c r="G605" s="5">
        <v>0.54444444444444451</v>
      </c>
      <c r="H605" s="5">
        <v>0.8</v>
      </c>
      <c r="I605" s="5">
        <v>0.05</v>
      </c>
      <c r="J605" s="6">
        <v>0.6166666666666667</v>
      </c>
      <c r="K605" s="6">
        <v>0.88243243243243263</v>
      </c>
      <c r="L605" s="6">
        <v>0.7744843344600203</v>
      </c>
      <c r="M605" s="4" t="s">
        <v>27</v>
      </c>
      <c r="N605" s="4">
        <v>8.2576079277345699E-2</v>
      </c>
      <c r="O605" s="4">
        <v>0</v>
      </c>
    </row>
    <row r="606" spans="1:15" x14ac:dyDescent="0.3">
      <c r="A606" s="4">
        <v>130</v>
      </c>
      <c r="B606" s="4">
        <v>130000</v>
      </c>
      <c r="C606" s="4" t="s">
        <v>163</v>
      </c>
      <c r="D606" s="4" t="s">
        <v>161</v>
      </c>
      <c r="E606" s="4" t="s">
        <v>17</v>
      </c>
      <c r="F606" s="4" t="s">
        <v>18</v>
      </c>
      <c r="G606" s="5">
        <v>0.54444444444444451</v>
      </c>
      <c r="H606" s="5">
        <v>0.8</v>
      </c>
      <c r="I606" s="5">
        <v>0.05</v>
      </c>
      <c r="J606" s="6">
        <v>0.61016949152542377</v>
      </c>
      <c r="K606" s="6">
        <v>0.88388888888888895</v>
      </c>
      <c r="L606" s="6">
        <v>0.76620411297936353</v>
      </c>
      <c r="M606" s="4" t="s">
        <v>50</v>
      </c>
      <c r="N606" s="4">
        <v>8.4531064932100719E-2</v>
      </c>
      <c r="O606" s="4">
        <v>0</v>
      </c>
    </row>
    <row r="607" spans="1:15" x14ac:dyDescent="0.3">
      <c r="A607" s="4">
        <v>131</v>
      </c>
      <c r="B607" s="4">
        <v>131000</v>
      </c>
      <c r="C607" s="4" t="s">
        <v>163</v>
      </c>
      <c r="D607" s="4" t="s">
        <v>161</v>
      </c>
      <c r="E607" s="4" t="s">
        <v>17</v>
      </c>
      <c r="F607" s="4" t="s">
        <v>18</v>
      </c>
      <c r="G607" s="5">
        <v>0.54444444444444451</v>
      </c>
      <c r="H607" s="5">
        <v>0.8</v>
      </c>
      <c r="I607" s="5">
        <v>0.05</v>
      </c>
      <c r="J607" s="6">
        <v>0.6271186440677966</v>
      </c>
      <c r="K607" s="6">
        <v>0.87675675675675691</v>
      </c>
      <c r="L607" s="6">
        <v>0.79253656734953004</v>
      </c>
      <c r="M607" s="4" t="s">
        <v>21</v>
      </c>
      <c r="N607" s="4">
        <v>8.4085657641697023E-2</v>
      </c>
      <c r="O607" s="4">
        <v>0</v>
      </c>
    </row>
    <row r="608" spans="1:15" x14ac:dyDescent="0.3">
      <c r="A608" s="4">
        <v>132</v>
      </c>
      <c r="B608" s="4">
        <v>132000</v>
      </c>
      <c r="C608" s="4" t="s">
        <v>163</v>
      </c>
      <c r="D608" s="4" t="s">
        <v>161</v>
      </c>
      <c r="E608" s="4" t="s">
        <v>17</v>
      </c>
      <c r="F608" s="4" t="s">
        <v>18</v>
      </c>
      <c r="G608" s="5">
        <v>0.54444444444444451</v>
      </c>
      <c r="H608" s="5">
        <v>0.8</v>
      </c>
      <c r="I608" s="5">
        <v>0.05</v>
      </c>
      <c r="J608" s="6">
        <v>0.61016949152542377</v>
      </c>
      <c r="K608" s="6">
        <v>0.88388888888888895</v>
      </c>
      <c r="L608" s="6">
        <v>0.79790424015854677</v>
      </c>
      <c r="M608" s="4" t="s">
        <v>46</v>
      </c>
      <c r="N608" s="4">
        <v>7.8845648104426527E-2</v>
      </c>
      <c r="O608" s="4">
        <v>0</v>
      </c>
    </row>
    <row r="609" spans="1:15" x14ac:dyDescent="0.3">
      <c r="A609" s="4">
        <v>133</v>
      </c>
      <c r="B609" s="4">
        <v>133000</v>
      </c>
      <c r="C609" s="4" t="s">
        <v>163</v>
      </c>
      <c r="D609" s="4" t="s">
        <v>161</v>
      </c>
      <c r="E609" s="4" t="s">
        <v>17</v>
      </c>
      <c r="F609" s="4" t="s">
        <v>18</v>
      </c>
      <c r="G609" s="5">
        <v>0.54444444444444451</v>
      </c>
      <c r="H609" s="5">
        <v>0.8</v>
      </c>
      <c r="I609" s="5">
        <v>0.05</v>
      </c>
      <c r="J609" s="6">
        <v>0.60344827586206895</v>
      </c>
      <c r="K609" s="6">
        <v>0.88257142857142856</v>
      </c>
      <c r="L609" s="6">
        <v>0.78161006328226912</v>
      </c>
      <c r="M609" s="4" t="s">
        <v>140</v>
      </c>
      <c r="N609" s="4">
        <v>7.7710649834858828E-2</v>
      </c>
      <c r="O609" s="4">
        <v>0</v>
      </c>
    </row>
    <row r="610" spans="1:15" x14ac:dyDescent="0.3">
      <c r="A610" s="4">
        <v>134</v>
      </c>
      <c r="B610" s="4">
        <v>134000</v>
      </c>
      <c r="C610" s="4" t="s">
        <v>163</v>
      </c>
      <c r="D610" s="4" t="s">
        <v>161</v>
      </c>
      <c r="E610" s="4" t="s">
        <v>17</v>
      </c>
      <c r="F610" s="4" t="s">
        <v>18</v>
      </c>
      <c r="G610" s="5">
        <v>0.54444444444444451</v>
      </c>
      <c r="H610" s="5">
        <v>0.8</v>
      </c>
      <c r="I610" s="5">
        <v>0.05</v>
      </c>
      <c r="J610" s="6">
        <v>0.59649122807017541</v>
      </c>
      <c r="K610" s="6">
        <v>0.88558823529411768</v>
      </c>
      <c r="L610" s="6">
        <v>0.80052028014355558</v>
      </c>
      <c r="M610" s="4" t="s">
        <v>106</v>
      </c>
      <c r="N610" s="4">
        <v>8.1853964004279675E-2</v>
      </c>
      <c r="O610" s="4">
        <v>0</v>
      </c>
    </row>
    <row r="611" spans="1:15" x14ac:dyDescent="0.3">
      <c r="A611" s="4">
        <v>135</v>
      </c>
      <c r="B611" s="4">
        <v>135000</v>
      </c>
      <c r="C611" s="4" t="s">
        <v>163</v>
      </c>
      <c r="D611" s="4" t="s">
        <v>161</v>
      </c>
      <c r="E611" s="4" t="s">
        <v>17</v>
      </c>
      <c r="F611" s="4" t="s">
        <v>18</v>
      </c>
      <c r="G611" s="5">
        <v>0.54444444444444451</v>
      </c>
      <c r="H611" s="5">
        <v>0.8</v>
      </c>
      <c r="I611" s="5">
        <v>0.05</v>
      </c>
      <c r="J611" s="6">
        <v>0.59649122807017541</v>
      </c>
      <c r="K611" s="6">
        <v>0.88735294117647046</v>
      </c>
      <c r="L611" s="6">
        <v>0.80193140303281263</v>
      </c>
      <c r="M611" s="4" t="s">
        <v>188</v>
      </c>
      <c r="N611" s="4">
        <v>7.9958567879297712E-2</v>
      </c>
      <c r="O611" s="4">
        <v>0</v>
      </c>
    </row>
    <row r="612" spans="1:15" x14ac:dyDescent="0.3">
      <c r="A612" s="4">
        <v>136</v>
      </c>
      <c r="B612" s="4">
        <v>136000</v>
      </c>
      <c r="C612" s="4" t="s">
        <v>163</v>
      </c>
      <c r="D612" s="4" t="s">
        <v>161</v>
      </c>
      <c r="E612" s="4" t="s">
        <v>17</v>
      </c>
      <c r="F612" s="4" t="s">
        <v>18</v>
      </c>
      <c r="G612" s="5">
        <v>0.54444444444444451</v>
      </c>
      <c r="H612" s="5">
        <v>0.8</v>
      </c>
      <c r="I612" s="5">
        <v>0.05</v>
      </c>
      <c r="J612" s="6">
        <v>0.59649122807017541</v>
      </c>
      <c r="K612" s="6">
        <v>0.88882352941176457</v>
      </c>
      <c r="L612" s="6">
        <v>0.79864273859543122</v>
      </c>
      <c r="M612" s="4" t="s">
        <v>46</v>
      </c>
      <c r="N612" s="4">
        <v>7.863954230956717E-2</v>
      </c>
      <c r="O612" s="4">
        <v>0</v>
      </c>
    </row>
    <row r="613" spans="1:15" x14ac:dyDescent="0.3">
      <c r="A613" s="4">
        <v>137</v>
      </c>
      <c r="B613" s="4">
        <v>137000</v>
      </c>
      <c r="C613" s="4" t="s">
        <v>163</v>
      </c>
      <c r="D613" s="4" t="s">
        <v>161</v>
      </c>
      <c r="E613" s="4" t="s">
        <v>17</v>
      </c>
      <c r="F613" s="4" t="s">
        <v>18</v>
      </c>
      <c r="G613" s="5">
        <v>0.54444444444444451</v>
      </c>
      <c r="H613" s="5">
        <v>0.8</v>
      </c>
      <c r="I613" s="5">
        <v>0.05</v>
      </c>
      <c r="J613" s="6">
        <v>0.56666666666666665</v>
      </c>
      <c r="K613" s="6">
        <v>0.89058823529411746</v>
      </c>
      <c r="L613" s="6">
        <v>0.79528059278340157</v>
      </c>
      <c r="M613" s="4" t="s">
        <v>97</v>
      </c>
      <c r="N613" s="4">
        <v>8.5825519791288232E-2</v>
      </c>
      <c r="O613" s="4">
        <v>0</v>
      </c>
    </row>
    <row r="614" spans="1:15" x14ac:dyDescent="0.3">
      <c r="A614" s="4">
        <v>138</v>
      </c>
      <c r="B614" s="4">
        <v>138000</v>
      </c>
      <c r="C614" s="4" t="s">
        <v>163</v>
      </c>
      <c r="D614" s="4" t="s">
        <v>161</v>
      </c>
      <c r="E614" s="4" t="s">
        <v>17</v>
      </c>
      <c r="F614" s="4" t="s">
        <v>18</v>
      </c>
      <c r="G614" s="5">
        <v>0.54444444444444451</v>
      </c>
      <c r="H614" s="5">
        <v>0.8</v>
      </c>
      <c r="I614" s="5">
        <v>0.05</v>
      </c>
      <c r="J614" s="6">
        <v>0.6</v>
      </c>
      <c r="K614" s="6">
        <v>0.88555555555555532</v>
      </c>
      <c r="L614" s="6">
        <v>0.81822895974069709</v>
      </c>
      <c r="M614" s="4" t="s">
        <v>50</v>
      </c>
      <c r="N614" s="4">
        <v>8.5410168960750835E-2</v>
      </c>
      <c r="O614" s="4">
        <v>0</v>
      </c>
    </row>
    <row r="615" spans="1:15" x14ac:dyDescent="0.3">
      <c r="A615" s="4">
        <v>139</v>
      </c>
      <c r="B615" s="4">
        <v>139000</v>
      </c>
      <c r="C615" s="4" t="s">
        <v>163</v>
      </c>
      <c r="D615" s="4" t="s">
        <v>161</v>
      </c>
      <c r="E615" s="4" t="s">
        <v>17</v>
      </c>
      <c r="F615" s="4" t="s">
        <v>18</v>
      </c>
      <c r="G615" s="5">
        <v>0.54444444444444451</v>
      </c>
      <c r="H615" s="5">
        <v>0.8</v>
      </c>
      <c r="I615" s="5">
        <v>0.05</v>
      </c>
      <c r="J615" s="6">
        <v>0.6</v>
      </c>
      <c r="K615" s="6">
        <v>0.88527777777777761</v>
      </c>
      <c r="L615" s="6">
        <v>0.81871016548049724</v>
      </c>
      <c r="M615" s="4" t="s">
        <v>50</v>
      </c>
      <c r="N615" s="4">
        <v>8.4604655949373206E-2</v>
      </c>
      <c r="O615" s="4">
        <v>0</v>
      </c>
    </row>
    <row r="616" spans="1:15" x14ac:dyDescent="0.3">
      <c r="A616" s="4">
        <v>140</v>
      </c>
      <c r="B616" s="4">
        <v>140000</v>
      </c>
      <c r="C616" s="4" t="s">
        <v>163</v>
      </c>
      <c r="D616" s="4" t="s">
        <v>161</v>
      </c>
      <c r="E616" s="4" t="s">
        <v>17</v>
      </c>
      <c r="F616" s="4" t="s">
        <v>18</v>
      </c>
      <c r="G616" s="5">
        <v>0.54444444444444451</v>
      </c>
      <c r="H616" s="5">
        <v>0.8</v>
      </c>
      <c r="I616" s="5">
        <v>0.05</v>
      </c>
      <c r="J616" s="6">
        <v>0.58333333333333337</v>
      </c>
      <c r="K616" s="6">
        <v>0.88485714285714256</v>
      </c>
      <c r="L616" s="6">
        <v>0.80427251594131421</v>
      </c>
      <c r="M616" s="4" t="s">
        <v>97</v>
      </c>
      <c r="N616" s="4">
        <v>8.6122621260891041E-2</v>
      </c>
      <c r="O616" s="4">
        <v>0</v>
      </c>
    </row>
    <row r="617" spans="1:15" x14ac:dyDescent="0.3">
      <c r="A617" s="4">
        <v>141</v>
      </c>
      <c r="B617" s="4">
        <v>141000</v>
      </c>
      <c r="C617" s="4" t="s">
        <v>163</v>
      </c>
      <c r="D617" s="4" t="s">
        <v>161</v>
      </c>
      <c r="E617" s="4" t="s">
        <v>17</v>
      </c>
      <c r="F617" s="4" t="s">
        <v>18</v>
      </c>
      <c r="G617" s="5">
        <v>0.54444444444444451</v>
      </c>
      <c r="H617" s="5">
        <v>0.8</v>
      </c>
      <c r="I617" s="5">
        <v>0.05</v>
      </c>
      <c r="J617" s="6">
        <v>0.6</v>
      </c>
      <c r="K617" s="6">
        <v>0.88722222222222191</v>
      </c>
      <c r="L617" s="6">
        <v>0.82025234462880692</v>
      </c>
      <c r="M617" s="4" t="s">
        <v>118</v>
      </c>
      <c r="N617" s="4">
        <v>8.6873513196618998E-2</v>
      </c>
      <c r="O617" s="4">
        <v>0</v>
      </c>
    </row>
    <row r="618" spans="1:15" x14ac:dyDescent="0.3">
      <c r="A618" s="4">
        <v>142</v>
      </c>
      <c r="B618" s="4">
        <v>142000</v>
      </c>
      <c r="C618" s="4" t="s">
        <v>163</v>
      </c>
      <c r="D618" s="4" t="s">
        <v>161</v>
      </c>
      <c r="E618" s="4" t="s">
        <v>17</v>
      </c>
      <c r="F618" s="4" t="s">
        <v>18</v>
      </c>
      <c r="G618" s="5">
        <v>0.54444444444444451</v>
      </c>
      <c r="H618" s="5">
        <v>0.8</v>
      </c>
      <c r="I618" s="5">
        <v>0.05</v>
      </c>
      <c r="J618" s="6">
        <v>0.57377049180327866</v>
      </c>
      <c r="K618" s="6">
        <v>0.88942857142857135</v>
      </c>
      <c r="L618" s="6">
        <v>0.80685812588387718</v>
      </c>
      <c r="M618" s="4" t="s">
        <v>52</v>
      </c>
      <c r="N618" s="4">
        <v>8.8004582989886074E-2</v>
      </c>
      <c r="O618" s="4">
        <v>0</v>
      </c>
    </row>
    <row r="619" spans="1:15" x14ac:dyDescent="0.3">
      <c r="A619" s="4">
        <v>143</v>
      </c>
      <c r="B619" s="4">
        <v>143000</v>
      </c>
      <c r="C619" s="4" t="s">
        <v>163</v>
      </c>
      <c r="D619" s="4" t="s">
        <v>161</v>
      </c>
      <c r="E619" s="4" t="s">
        <v>17</v>
      </c>
      <c r="F619" s="4" t="s">
        <v>18</v>
      </c>
      <c r="G619" s="5">
        <v>0.54444444444444451</v>
      </c>
      <c r="H619" s="5">
        <v>0.8</v>
      </c>
      <c r="I619" s="5">
        <v>0.05</v>
      </c>
      <c r="J619" s="6">
        <v>0.5901639344262295</v>
      </c>
      <c r="K619" s="6">
        <v>0.88916666666666644</v>
      </c>
      <c r="L619" s="6">
        <v>0.81812785561004597</v>
      </c>
      <c r="M619" s="4" t="s">
        <v>21</v>
      </c>
      <c r="N619" s="4">
        <v>8.3773979592476053E-2</v>
      </c>
      <c r="O619" s="4">
        <v>0</v>
      </c>
    </row>
    <row r="620" spans="1:15" x14ac:dyDescent="0.3">
      <c r="A620" s="4">
        <v>144</v>
      </c>
      <c r="B620" s="4">
        <v>144000</v>
      </c>
      <c r="C620" s="4" t="s">
        <v>163</v>
      </c>
      <c r="D620" s="4" t="s">
        <v>161</v>
      </c>
      <c r="E620" s="4" t="s">
        <v>17</v>
      </c>
      <c r="F620" s="4" t="s">
        <v>18</v>
      </c>
      <c r="G620" s="5">
        <v>0.54444444444444451</v>
      </c>
      <c r="H620" s="5">
        <v>0.8</v>
      </c>
      <c r="I620" s="5">
        <v>0.05</v>
      </c>
      <c r="J620" s="6">
        <v>0.57377049180327866</v>
      </c>
      <c r="K620" s="6">
        <v>0.89028571428571412</v>
      </c>
      <c r="L620" s="6">
        <v>0.80574816182993936</v>
      </c>
      <c r="M620" s="4" t="s">
        <v>27</v>
      </c>
      <c r="N620" s="4">
        <v>8.3390593606256558E-2</v>
      </c>
      <c r="O620" s="4">
        <v>0</v>
      </c>
    </row>
    <row r="621" spans="1:15" x14ac:dyDescent="0.3">
      <c r="A621" s="4">
        <v>145</v>
      </c>
      <c r="B621" s="4">
        <v>145000</v>
      </c>
      <c r="C621" s="4" t="s">
        <v>163</v>
      </c>
      <c r="D621" s="4" t="s">
        <v>161</v>
      </c>
      <c r="E621" s="4" t="s">
        <v>17</v>
      </c>
      <c r="F621" s="4" t="s">
        <v>18</v>
      </c>
      <c r="G621" s="5">
        <v>0.54444444444444451</v>
      </c>
      <c r="H621" s="5">
        <v>0.8</v>
      </c>
      <c r="I621" s="5">
        <v>0.05</v>
      </c>
      <c r="J621" s="6">
        <v>0.55737704918032782</v>
      </c>
      <c r="K621" s="6">
        <v>0.89058823529411735</v>
      </c>
      <c r="L621" s="6">
        <v>0.78158092582328975</v>
      </c>
      <c r="M621" s="4" t="s">
        <v>106</v>
      </c>
      <c r="N621" s="4">
        <v>8.1996489889006582E-2</v>
      </c>
      <c r="O621" s="4">
        <v>0</v>
      </c>
    </row>
    <row r="622" spans="1:15" x14ac:dyDescent="0.3">
      <c r="A622" s="4">
        <v>146</v>
      </c>
      <c r="B622" s="4">
        <v>146000</v>
      </c>
      <c r="C622" s="4" t="s">
        <v>163</v>
      </c>
      <c r="D622" s="4" t="s">
        <v>161</v>
      </c>
      <c r="E622" s="4" t="s">
        <v>17</v>
      </c>
      <c r="F622" s="4" t="s">
        <v>18</v>
      </c>
      <c r="G622" s="5">
        <v>0.54444444444444451</v>
      </c>
      <c r="H622" s="5">
        <v>0.8</v>
      </c>
      <c r="I622" s="5">
        <v>0.05</v>
      </c>
      <c r="J622" s="6">
        <v>0.55737704918032782</v>
      </c>
      <c r="K622" s="6">
        <v>0.89058823529411724</v>
      </c>
      <c r="L622" s="6">
        <v>0.78138961817431729</v>
      </c>
      <c r="M622" s="4" t="s">
        <v>50</v>
      </c>
      <c r="N622" s="4">
        <v>8.496828531530834E-2</v>
      </c>
      <c r="O622" s="4">
        <v>0</v>
      </c>
    </row>
    <row r="623" spans="1:15" x14ac:dyDescent="0.3">
      <c r="A623" s="4">
        <v>147</v>
      </c>
      <c r="B623" s="4">
        <v>147000</v>
      </c>
      <c r="C623" s="4" t="s">
        <v>163</v>
      </c>
      <c r="D623" s="4" t="s">
        <v>161</v>
      </c>
      <c r="E623" s="4" t="s">
        <v>17</v>
      </c>
      <c r="F623" s="4" t="s">
        <v>18</v>
      </c>
      <c r="G623" s="5">
        <v>0.54444444444444451</v>
      </c>
      <c r="H623" s="5">
        <v>0.8</v>
      </c>
      <c r="I623" s="5">
        <v>0.05</v>
      </c>
      <c r="J623" s="6">
        <v>0.55737704918032782</v>
      </c>
      <c r="K623" s="6">
        <v>0.88970588235294079</v>
      </c>
      <c r="L623" s="6">
        <v>0.78277132872079269</v>
      </c>
      <c r="M623" s="4" t="s">
        <v>97</v>
      </c>
      <c r="N623" s="4">
        <v>8.5694187904422819E-2</v>
      </c>
      <c r="O623" s="4">
        <v>0</v>
      </c>
    </row>
    <row r="624" spans="1:15" x14ac:dyDescent="0.3">
      <c r="A624" s="4">
        <v>148</v>
      </c>
      <c r="B624" s="4">
        <v>148000</v>
      </c>
      <c r="C624" s="4" t="s">
        <v>163</v>
      </c>
      <c r="D624" s="4" t="s">
        <v>161</v>
      </c>
      <c r="E624" s="4" t="s">
        <v>17</v>
      </c>
      <c r="F624" s="4" t="s">
        <v>18</v>
      </c>
      <c r="G624" s="5">
        <v>0.54444444444444451</v>
      </c>
      <c r="H624" s="5">
        <v>0.8</v>
      </c>
      <c r="I624" s="5">
        <v>0.05</v>
      </c>
      <c r="J624" s="6">
        <v>0.61016949152542377</v>
      </c>
      <c r="K624" s="6">
        <v>0.86499999999999977</v>
      </c>
      <c r="L624" s="6">
        <v>0.7860371930290051</v>
      </c>
      <c r="M624" s="4" t="s">
        <v>52</v>
      </c>
      <c r="N624" s="4">
        <v>8.753092066543583E-2</v>
      </c>
      <c r="O624" s="4">
        <v>0</v>
      </c>
    </row>
    <row r="625" spans="1:15" x14ac:dyDescent="0.3">
      <c r="A625" s="4">
        <v>149</v>
      </c>
      <c r="B625" s="4">
        <v>149000</v>
      </c>
      <c r="C625" s="4" t="s">
        <v>163</v>
      </c>
      <c r="D625" s="4" t="s">
        <v>161</v>
      </c>
      <c r="E625" s="4" t="s">
        <v>17</v>
      </c>
      <c r="F625" s="4" t="s">
        <v>18</v>
      </c>
      <c r="G625" s="5">
        <v>0.54444444444444451</v>
      </c>
      <c r="H625" s="5">
        <v>0.8</v>
      </c>
      <c r="I625" s="5">
        <v>0.05</v>
      </c>
      <c r="J625" s="6">
        <v>0.67272727272727273</v>
      </c>
      <c r="K625" s="6">
        <v>0.8864864864864862</v>
      </c>
      <c r="L625" s="6">
        <v>0.71225115354726176</v>
      </c>
      <c r="M625" s="4" t="s">
        <v>52</v>
      </c>
      <c r="N625" s="4">
        <v>8.8275912937589185E-2</v>
      </c>
      <c r="O625" s="4">
        <v>0</v>
      </c>
    </row>
    <row r="626" spans="1:15" x14ac:dyDescent="0.3">
      <c r="A626" s="4">
        <v>150</v>
      </c>
      <c r="B626" s="4">
        <v>150000</v>
      </c>
      <c r="C626" s="4" t="s">
        <v>163</v>
      </c>
      <c r="D626" s="4" t="s">
        <v>161</v>
      </c>
      <c r="E626" s="4" t="s">
        <v>17</v>
      </c>
      <c r="F626" s="4" t="s">
        <v>18</v>
      </c>
      <c r="G626" s="5">
        <v>0.72222222222222221</v>
      </c>
      <c r="H626" s="5">
        <v>0.8</v>
      </c>
      <c r="I626" s="5">
        <v>0.05</v>
      </c>
      <c r="J626" s="6">
        <v>0.6</v>
      </c>
      <c r="K626" s="6">
        <v>0.90181818181818163</v>
      </c>
      <c r="L626" s="6">
        <v>0.78753055042475284</v>
      </c>
      <c r="M626" s="4" t="s">
        <v>19</v>
      </c>
      <c r="N626" s="4">
        <v>1</v>
      </c>
      <c r="O626" s="4">
        <v>1</v>
      </c>
    </row>
    <row r="627" spans="1:15" x14ac:dyDescent="0.3">
      <c r="A627" s="4">
        <v>151</v>
      </c>
      <c r="B627" s="4">
        <v>151000</v>
      </c>
      <c r="C627" s="4" t="s">
        <v>163</v>
      </c>
      <c r="D627" s="4" t="s">
        <v>161</v>
      </c>
      <c r="E627" s="4" t="s">
        <v>17</v>
      </c>
      <c r="F627" s="4" t="s">
        <v>18</v>
      </c>
      <c r="G627" s="5">
        <v>0.72222222222222221</v>
      </c>
      <c r="H627" s="5">
        <v>0.8</v>
      </c>
      <c r="I627" s="5">
        <v>0.05</v>
      </c>
      <c r="J627" s="6">
        <v>0.6</v>
      </c>
      <c r="K627" s="6">
        <v>0.90121212121212102</v>
      </c>
      <c r="L627" s="6">
        <v>0.79085746545187929</v>
      </c>
      <c r="M627" s="4" t="s">
        <v>189</v>
      </c>
      <c r="N627" s="4">
        <v>1.8021611510471991E-2</v>
      </c>
      <c r="O627" s="4">
        <v>0</v>
      </c>
    </row>
    <row r="628" spans="1:15" x14ac:dyDescent="0.3">
      <c r="A628" s="4">
        <v>152</v>
      </c>
      <c r="B628" s="4">
        <v>152000</v>
      </c>
      <c r="C628" s="4" t="s">
        <v>163</v>
      </c>
      <c r="D628" s="4" t="s">
        <v>161</v>
      </c>
      <c r="E628" s="4" t="s">
        <v>17</v>
      </c>
      <c r="F628" s="4" t="s">
        <v>18</v>
      </c>
      <c r="G628" s="5">
        <v>0.72222222222222221</v>
      </c>
      <c r="H628" s="5">
        <v>0.8</v>
      </c>
      <c r="I628" s="5">
        <v>0.05</v>
      </c>
      <c r="J628" s="6">
        <v>0.59649122807017541</v>
      </c>
      <c r="K628" s="6">
        <v>0.90411764705882325</v>
      </c>
      <c r="L628" s="6">
        <v>0.82069984677761254</v>
      </c>
      <c r="M628" s="4" t="s">
        <v>167</v>
      </c>
      <c r="N628" s="4">
        <v>2.9755480432446552E-2</v>
      </c>
      <c r="O628" s="4">
        <v>0</v>
      </c>
    </row>
    <row r="629" spans="1:15" x14ac:dyDescent="0.3">
      <c r="A629" s="4">
        <v>153</v>
      </c>
      <c r="B629" s="4">
        <v>153000</v>
      </c>
      <c r="C629" s="4" t="s">
        <v>163</v>
      </c>
      <c r="D629" s="4" t="s">
        <v>161</v>
      </c>
      <c r="E629" s="4" t="s">
        <v>17</v>
      </c>
      <c r="F629" s="4" t="s">
        <v>18</v>
      </c>
      <c r="G629" s="5">
        <v>0.72222222222222221</v>
      </c>
      <c r="H629" s="5">
        <v>0.8</v>
      </c>
      <c r="I629" s="5">
        <v>0.05</v>
      </c>
      <c r="J629" s="6">
        <v>0.57894736842105265</v>
      </c>
      <c r="K629" s="6">
        <v>0.91060606060606042</v>
      </c>
      <c r="L629" s="6">
        <v>0.79434156635235709</v>
      </c>
      <c r="M629" s="4" t="s">
        <v>165</v>
      </c>
      <c r="N629" s="4">
        <v>3.3749986039905658E-2</v>
      </c>
      <c r="O629" s="4">
        <v>0</v>
      </c>
    </row>
    <row r="630" spans="1:15" x14ac:dyDescent="0.3">
      <c r="A630" s="4">
        <v>154</v>
      </c>
      <c r="B630" s="4">
        <v>154000</v>
      </c>
      <c r="C630" s="4" t="s">
        <v>163</v>
      </c>
      <c r="D630" s="4" t="s">
        <v>161</v>
      </c>
      <c r="E630" s="4" t="s">
        <v>17</v>
      </c>
      <c r="F630" s="4" t="s">
        <v>18</v>
      </c>
      <c r="G630" s="5">
        <v>0.72222222222222221</v>
      </c>
      <c r="H630" s="5">
        <v>0.8</v>
      </c>
      <c r="I630" s="5">
        <v>0.05</v>
      </c>
      <c r="J630" s="6">
        <v>0.57894736842105265</v>
      </c>
      <c r="K630" s="6">
        <v>0.91242424242424214</v>
      </c>
      <c r="L630" s="6">
        <v>0.79427785122041372</v>
      </c>
      <c r="M630" s="4" t="s">
        <v>190</v>
      </c>
      <c r="N630" s="4">
        <v>3.5776614024227951E-2</v>
      </c>
      <c r="O630" s="4">
        <v>0</v>
      </c>
    </row>
    <row r="631" spans="1:15" x14ac:dyDescent="0.3">
      <c r="A631" s="4">
        <v>155</v>
      </c>
      <c r="B631" s="4">
        <v>155000</v>
      </c>
      <c r="C631" s="4" t="s">
        <v>163</v>
      </c>
      <c r="D631" s="4" t="s">
        <v>161</v>
      </c>
      <c r="E631" s="4" t="s">
        <v>17</v>
      </c>
      <c r="F631" s="4" t="s">
        <v>18</v>
      </c>
      <c r="G631" s="5">
        <v>0.72222222222222221</v>
      </c>
      <c r="H631" s="5">
        <v>0.8</v>
      </c>
      <c r="I631" s="5">
        <v>0.05</v>
      </c>
      <c r="J631" s="6">
        <v>0.56896551724137934</v>
      </c>
      <c r="K631" s="6">
        <v>0.91030303030303006</v>
      </c>
      <c r="L631" s="6">
        <v>0.80948462876404081</v>
      </c>
      <c r="M631" s="4" t="s">
        <v>191</v>
      </c>
      <c r="N631" s="4">
        <v>4.069470174837627E-2</v>
      </c>
      <c r="O631" s="4">
        <v>0</v>
      </c>
    </row>
    <row r="632" spans="1:15" x14ac:dyDescent="0.3">
      <c r="A632" s="4">
        <v>156</v>
      </c>
      <c r="B632" s="4">
        <v>156000</v>
      </c>
      <c r="C632" s="4" t="s">
        <v>163</v>
      </c>
      <c r="D632" s="4" t="s">
        <v>161</v>
      </c>
      <c r="E632" s="4" t="s">
        <v>17</v>
      </c>
      <c r="F632" s="4" t="s">
        <v>18</v>
      </c>
      <c r="G632" s="5">
        <v>0.54444444444444451</v>
      </c>
      <c r="H632" s="5">
        <v>0.8</v>
      </c>
      <c r="I632" s="5">
        <v>0.05</v>
      </c>
      <c r="J632" s="6">
        <v>0.59322033898305082</v>
      </c>
      <c r="K632" s="6">
        <v>0.89628571428571413</v>
      </c>
      <c r="L632" s="6">
        <v>0.8297216869090086</v>
      </c>
      <c r="M632" s="4" t="s">
        <v>19</v>
      </c>
      <c r="N632" s="4">
        <v>1</v>
      </c>
      <c r="O632" s="4">
        <v>1</v>
      </c>
    </row>
    <row r="633" spans="1:15" x14ac:dyDescent="0.3">
      <c r="A633" s="4">
        <v>157</v>
      </c>
      <c r="B633" s="4">
        <v>157000</v>
      </c>
      <c r="C633" s="4" t="s">
        <v>163</v>
      </c>
      <c r="D633" s="4" t="s">
        <v>161</v>
      </c>
      <c r="E633" s="4" t="s">
        <v>17</v>
      </c>
      <c r="F633" s="4" t="s">
        <v>18</v>
      </c>
      <c r="G633" s="5">
        <v>0.54444444444444451</v>
      </c>
      <c r="H633" s="5">
        <v>0.8</v>
      </c>
      <c r="I633" s="5">
        <v>0.05</v>
      </c>
      <c r="J633" s="6">
        <v>0.61016949152542377</v>
      </c>
      <c r="K633" s="6">
        <v>0.89944444444444427</v>
      </c>
      <c r="L633" s="6">
        <v>0.84056953209962182</v>
      </c>
      <c r="M633" s="4" t="s">
        <v>177</v>
      </c>
      <c r="N633" s="4">
        <v>1.6857122904947439E-2</v>
      </c>
      <c r="O633" s="4">
        <v>0</v>
      </c>
    </row>
    <row r="634" spans="1:15" x14ac:dyDescent="0.3">
      <c r="A634" s="4">
        <v>158</v>
      </c>
      <c r="B634" s="4">
        <v>158000</v>
      </c>
      <c r="C634" s="4" t="s">
        <v>163</v>
      </c>
      <c r="D634" s="4" t="s">
        <v>161</v>
      </c>
      <c r="E634" s="4" t="s">
        <v>17</v>
      </c>
      <c r="F634" s="4" t="s">
        <v>18</v>
      </c>
      <c r="G634" s="5">
        <v>0.54444444444444451</v>
      </c>
      <c r="H634" s="5">
        <v>0.8</v>
      </c>
      <c r="I634" s="5">
        <v>0.05</v>
      </c>
      <c r="J634" s="6">
        <v>0.5901639344262295</v>
      </c>
      <c r="K634" s="6">
        <v>0.90277777777777801</v>
      </c>
      <c r="L634" s="6">
        <v>0.83723782405296343</v>
      </c>
      <c r="M634" s="4" t="s">
        <v>191</v>
      </c>
      <c r="N634" s="4">
        <v>4.0812155594955997E-2</v>
      </c>
      <c r="O634" s="4">
        <v>0</v>
      </c>
    </row>
    <row r="635" spans="1:15" x14ac:dyDescent="0.3">
      <c r="A635" s="4">
        <v>159</v>
      </c>
      <c r="B635" s="4">
        <v>159000</v>
      </c>
      <c r="C635" s="4" t="s">
        <v>163</v>
      </c>
      <c r="D635" s="4" t="s">
        <v>161</v>
      </c>
      <c r="E635" s="4" t="s">
        <v>17</v>
      </c>
      <c r="F635" s="4" t="s">
        <v>18</v>
      </c>
      <c r="G635" s="5">
        <v>0.54444444444444451</v>
      </c>
      <c r="H635" s="5">
        <v>0.8</v>
      </c>
      <c r="I635" s="5">
        <v>0.05</v>
      </c>
      <c r="J635" s="6">
        <v>0.61290322580645162</v>
      </c>
      <c r="K635" s="6">
        <v>0.87999999999999989</v>
      </c>
      <c r="L635" s="6">
        <v>0.82516466506700825</v>
      </c>
      <c r="M635" s="4" t="s">
        <v>192</v>
      </c>
      <c r="N635" s="4">
        <v>4.6906532083887911E-2</v>
      </c>
      <c r="O635" s="4">
        <v>0</v>
      </c>
    </row>
    <row r="636" spans="1:15" x14ac:dyDescent="0.3">
      <c r="A636" s="4">
        <v>160</v>
      </c>
      <c r="B636" s="4">
        <v>160000</v>
      </c>
      <c r="C636" s="4" t="s">
        <v>163</v>
      </c>
      <c r="D636" s="4" t="s">
        <v>161</v>
      </c>
      <c r="E636" s="4" t="s">
        <v>17</v>
      </c>
      <c r="F636" s="4" t="s">
        <v>18</v>
      </c>
      <c r="G636" s="5">
        <v>0.54444444444444451</v>
      </c>
      <c r="H636" s="5">
        <v>0.8</v>
      </c>
      <c r="I636" s="5">
        <v>0.05</v>
      </c>
      <c r="J636" s="6">
        <v>0.61290322580645162</v>
      </c>
      <c r="K636" s="6">
        <v>0.87868421052631562</v>
      </c>
      <c r="L636" s="6">
        <v>0.82647735931879573</v>
      </c>
      <c r="M636" s="4" t="s">
        <v>193</v>
      </c>
      <c r="N636" s="4">
        <v>4.8137617007043852E-2</v>
      </c>
      <c r="O636" s="4">
        <v>0</v>
      </c>
    </row>
    <row r="637" spans="1:15" x14ac:dyDescent="0.3">
      <c r="A637" s="4">
        <v>161</v>
      </c>
      <c r="B637" s="4">
        <v>161000</v>
      </c>
      <c r="C637" s="4" t="s">
        <v>163</v>
      </c>
      <c r="D637" s="4" t="s">
        <v>161</v>
      </c>
      <c r="E637" s="4" t="s">
        <v>17</v>
      </c>
      <c r="F637" s="4" t="s">
        <v>18</v>
      </c>
      <c r="G637" s="5">
        <v>0.54444444444444451</v>
      </c>
      <c r="H637" s="5">
        <v>0.8</v>
      </c>
      <c r="I637" s="5">
        <v>0.05</v>
      </c>
      <c r="J637" s="6">
        <v>0.61290322580645162</v>
      </c>
      <c r="K637" s="6">
        <v>0.87789473684210506</v>
      </c>
      <c r="L637" s="6">
        <v>0.825574352233021</v>
      </c>
      <c r="M637" s="4" t="s">
        <v>182</v>
      </c>
      <c r="N637" s="4">
        <v>5.2451037954199857E-2</v>
      </c>
      <c r="O637" s="4">
        <v>0</v>
      </c>
    </row>
    <row r="638" spans="1:15" x14ac:dyDescent="0.3">
      <c r="A638" s="4">
        <v>162</v>
      </c>
      <c r="B638" s="4">
        <v>162000</v>
      </c>
      <c r="C638" s="4" t="s">
        <v>163</v>
      </c>
      <c r="D638" s="4" t="s">
        <v>161</v>
      </c>
      <c r="E638" s="4" t="s">
        <v>17</v>
      </c>
      <c r="F638" s="4" t="s">
        <v>18</v>
      </c>
      <c r="G638" s="5">
        <v>0.54444444444444451</v>
      </c>
      <c r="H638" s="5">
        <v>0.8</v>
      </c>
      <c r="I638" s="5">
        <v>0.05</v>
      </c>
      <c r="J638" s="6">
        <v>0.59677419354838712</v>
      </c>
      <c r="K638" s="6">
        <v>0.87810810810810802</v>
      </c>
      <c r="L638" s="6">
        <v>0.81716924717952821</v>
      </c>
      <c r="M638" s="4" t="s">
        <v>164</v>
      </c>
      <c r="N638" s="4">
        <v>5.2803924413353562E-2</v>
      </c>
      <c r="O638" s="4">
        <v>0</v>
      </c>
    </row>
    <row r="639" spans="1:15" x14ac:dyDescent="0.3">
      <c r="A639" s="4">
        <v>163</v>
      </c>
      <c r="B639" s="4">
        <v>163000</v>
      </c>
      <c r="C639" s="4" t="s">
        <v>163</v>
      </c>
      <c r="D639" s="4" t="s">
        <v>161</v>
      </c>
      <c r="E639" s="4" t="s">
        <v>17</v>
      </c>
      <c r="F639" s="4" t="s">
        <v>18</v>
      </c>
      <c r="G639" s="5">
        <v>0.54444444444444451</v>
      </c>
      <c r="H639" s="5">
        <v>0.8</v>
      </c>
      <c r="I639" s="5">
        <v>0.05</v>
      </c>
      <c r="J639" s="6">
        <v>0.6166666666666667</v>
      </c>
      <c r="K639" s="6">
        <v>0.87891891891891882</v>
      </c>
      <c r="L639" s="6">
        <v>0.81599903926081974</v>
      </c>
      <c r="M639" s="4" t="s">
        <v>185</v>
      </c>
      <c r="N639" s="4">
        <v>6.0257482320620073E-2</v>
      </c>
      <c r="O639" s="4">
        <v>0</v>
      </c>
    </row>
    <row r="640" spans="1:15" x14ac:dyDescent="0.3">
      <c r="A640" s="4">
        <v>164</v>
      </c>
      <c r="B640" s="4">
        <v>164000</v>
      </c>
      <c r="C640" s="4" t="s">
        <v>163</v>
      </c>
      <c r="D640" s="4" t="s">
        <v>161</v>
      </c>
      <c r="E640" s="4" t="s">
        <v>17</v>
      </c>
      <c r="F640" s="4" t="s">
        <v>18</v>
      </c>
      <c r="G640" s="5">
        <v>0.54444444444444451</v>
      </c>
      <c r="H640" s="5">
        <v>0.8</v>
      </c>
      <c r="I640" s="5">
        <v>0.05</v>
      </c>
      <c r="J640" s="6">
        <v>0.60655737704918034</v>
      </c>
      <c r="K640" s="6">
        <v>0.88135135135135134</v>
      </c>
      <c r="L640" s="6">
        <v>0.81251950300952669</v>
      </c>
      <c r="M640" s="4" t="s">
        <v>194</v>
      </c>
      <c r="N640" s="4">
        <v>6.2499391843739489E-2</v>
      </c>
      <c r="O640" s="4">
        <v>0</v>
      </c>
    </row>
    <row r="641" spans="1:15" x14ac:dyDescent="0.3">
      <c r="A641" s="4">
        <v>165</v>
      </c>
      <c r="B641" s="4">
        <v>165000</v>
      </c>
      <c r="C641" s="4" t="s">
        <v>163</v>
      </c>
      <c r="D641" s="4" t="s">
        <v>161</v>
      </c>
      <c r="E641" s="4" t="s">
        <v>17</v>
      </c>
      <c r="F641" s="4" t="s">
        <v>18</v>
      </c>
      <c r="G641" s="5">
        <v>0.54444444444444451</v>
      </c>
      <c r="H641" s="5">
        <v>0.8</v>
      </c>
      <c r="I641" s="5">
        <v>0.05</v>
      </c>
      <c r="J641" s="6">
        <v>0.60655737704918034</v>
      </c>
      <c r="K641" s="6">
        <v>0.88486486486486471</v>
      </c>
      <c r="L641" s="6">
        <v>0.79449696951160065</v>
      </c>
      <c r="M641" s="4" t="s">
        <v>186</v>
      </c>
      <c r="N641" s="4">
        <v>6.5206182173382671E-2</v>
      </c>
      <c r="O641" s="4">
        <v>0</v>
      </c>
    </row>
    <row r="642" spans="1:15" x14ac:dyDescent="0.3">
      <c r="A642" s="4">
        <v>166</v>
      </c>
      <c r="B642" s="4">
        <v>166000</v>
      </c>
      <c r="C642" s="4" t="s">
        <v>163</v>
      </c>
      <c r="D642" s="4" t="s">
        <v>161</v>
      </c>
      <c r="E642" s="4" t="s">
        <v>17</v>
      </c>
      <c r="F642" s="4" t="s">
        <v>18</v>
      </c>
      <c r="G642" s="5">
        <v>0.54444444444444451</v>
      </c>
      <c r="H642" s="5">
        <v>0.8</v>
      </c>
      <c r="I642" s="5">
        <v>0.05</v>
      </c>
      <c r="J642" s="6">
        <v>0.6166666666666667</v>
      </c>
      <c r="K642" s="6">
        <v>0.88459459459459433</v>
      </c>
      <c r="L642" s="6">
        <v>0.79761283032373609</v>
      </c>
      <c r="M642" s="4" t="s">
        <v>195</v>
      </c>
      <c r="N642" s="4">
        <v>6.9050961716564913E-2</v>
      </c>
      <c r="O642" s="4">
        <v>0</v>
      </c>
    </row>
    <row r="643" spans="1:15" x14ac:dyDescent="0.3">
      <c r="A643" s="4">
        <v>167</v>
      </c>
      <c r="B643" s="4">
        <v>167000</v>
      </c>
      <c r="C643" s="4" t="s">
        <v>163</v>
      </c>
      <c r="D643" s="4" t="s">
        <v>161</v>
      </c>
      <c r="E643" s="4" t="s">
        <v>17</v>
      </c>
      <c r="F643" s="4" t="s">
        <v>18</v>
      </c>
      <c r="G643" s="5">
        <v>0.54444444444444451</v>
      </c>
      <c r="H643" s="5">
        <v>0.8</v>
      </c>
      <c r="I643" s="5">
        <v>0.05</v>
      </c>
      <c r="J643" s="6">
        <v>0.61016949152542377</v>
      </c>
      <c r="K643" s="6">
        <v>0.90444444444444427</v>
      </c>
      <c r="L643" s="6">
        <v>0.81663254217432635</v>
      </c>
      <c r="M643" s="4" t="s">
        <v>24</v>
      </c>
      <c r="N643" s="4">
        <v>7.3411323691829206E-2</v>
      </c>
      <c r="O643" s="4">
        <v>0</v>
      </c>
    </row>
    <row r="644" spans="1:15" x14ac:dyDescent="0.3">
      <c r="A644" s="4">
        <v>168</v>
      </c>
      <c r="B644" s="4">
        <v>168000</v>
      </c>
      <c r="C644" s="4" t="s">
        <v>163</v>
      </c>
      <c r="D644" s="4" t="s">
        <v>161</v>
      </c>
      <c r="E644" s="4" t="s">
        <v>17</v>
      </c>
      <c r="F644" s="4" t="s">
        <v>18</v>
      </c>
      <c r="G644" s="5">
        <v>0.54444444444444451</v>
      </c>
      <c r="H644" s="5">
        <v>0.8</v>
      </c>
      <c r="I644" s="5">
        <v>0.05</v>
      </c>
      <c r="J644" s="6">
        <v>0.61016949152542377</v>
      </c>
      <c r="K644" s="6">
        <v>0.90333333333333321</v>
      </c>
      <c r="L644" s="6">
        <v>0.81686040601184329</v>
      </c>
      <c r="M644" s="4" t="s">
        <v>20</v>
      </c>
      <c r="N644" s="4">
        <v>7.5606250840690239E-2</v>
      </c>
      <c r="O644" s="4">
        <v>0</v>
      </c>
    </row>
    <row r="645" spans="1:15" x14ac:dyDescent="0.3">
      <c r="A645" s="4">
        <v>169</v>
      </c>
      <c r="B645" s="4">
        <v>169000</v>
      </c>
      <c r="C645" s="4" t="s">
        <v>163</v>
      </c>
      <c r="D645" s="4" t="s">
        <v>161</v>
      </c>
      <c r="E645" s="4" t="s">
        <v>17</v>
      </c>
      <c r="F645" s="4" t="s">
        <v>18</v>
      </c>
      <c r="G645" s="5">
        <v>0.54444444444444451</v>
      </c>
      <c r="H645" s="5">
        <v>0.8</v>
      </c>
      <c r="I645" s="5">
        <v>0.05</v>
      </c>
      <c r="J645" s="6">
        <v>0.60344827586206895</v>
      </c>
      <c r="K645" s="6">
        <v>0.90942857142857114</v>
      </c>
      <c r="L645" s="6">
        <v>0.7964792401154619</v>
      </c>
      <c r="M645" s="4" t="s">
        <v>170</v>
      </c>
      <c r="N645" s="4">
        <v>8.1083383740369067E-2</v>
      </c>
      <c r="O645" s="4">
        <v>0</v>
      </c>
    </row>
    <row r="646" spans="1:15" x14ac:dyDescent="0.3">
      <c r="A646" s="4">
        <v>170</v>
      </c>
      <c r="B646" s="4">
        <v>170000</v>
      </c>
      <c r="C646" s="4" t="s">
        <v>163</v>
      </c>
      <c r="D646" s="4" t="s">
        <v>161</v>
      </c>
      <c r="E646" s="4" t="s">
        <v>17</v>
      </c>
      <c r="F646" s="4" t="s">
        <v>18</v>
      </c>
      <c r="G646" s="5">
        <v>0.54444444444444451</v>
      </c>
      <c r="H646" s="5">
        <v>0.8</v>
      </c>
      <c r="I646" s="5">
        <v>0.05</v>
      </c>
      <c r="J646" s="6">
        <v>0.59322033898305082</v>
      </c>
      <c r="K646" s="6">
        <v>0.90914285714285681</v>
      </c>
      <c r="L646" s="6">
        <v>0.79544090424345903</v>
      </c>
      <c r="M646" s="4" t="s">
        <v>27</v>
      </c>
      <c r="N646" s="4">
        <v>8.3335438844810164E-2</v>
      </c>
      <c r="O646" s="4">
        <v>0</v>
      </c>
    </row>
    <row r="647" spans="1:15" x14ac:dyDescent="0.3">
      <c r="A647" s="4">
        <v>171</v>
      </c>
      <c r="B647" s="4">
        <v>171000</v>
      </c>
      <c r="C647" s="4" t="s">
        <v>163</v>
      </c>
      <c r="D647" s="4" t="s">
        <v>161</v>
      </c>
      <c r="E647" s="4" t="s">
        <v>17</v>
      </c>
      <c r="F647" s="4" t="s">
        <v>18</v>
      </c>
      <c r="G647" s="5">
        <v>0.54444444444444451</v>
      </c>
      <c r="H647" s="5">
        <v>0.8</v>
      </c>
      <c r="I647" s="5">
        <v>0.05</v>
      </c>
      <c r="J647" s="6">
        <v>0.57627118644067798</v>
      </c>
      <c r="K647" s="6">
        <v>0.90794117647058792</v>
      </c>
      <c r="L647" s="6">
        <v>0.7676117487218026</v>
      </c>
      <c r="M647" s="4" t="s">
        <v>106</v>
      </c>
      <c r="N647" s="4">
        <v>8.2251621134379782E-2</v>
      </c>
      <c r="O647" s="4">
        <v>0</v>
      </c>
    </row>
    <row r="648" spans="1:15" x14ac:dyDescent="0.3">
      <c r="A648" s="4">
        <v>172</v>
      </c>
      <c r="B648" s="4">
        <v>172000</v>
      </c>
      <c r="C648" s="4" t="s">
        <v>163</v>
      </c>
      <c r="D648" s="4" t="s">
        <v>161</v>
      </c>
      <c r="E648" s="4" t="s">
        <v>17</v>
      </c>
      <c r="F648" s="4" t="s">
        <v>18</v>
      </c>
      <c r="G648" s="5">
        <v>0.54444444444444451</v>
      </c>
      <c r="H648" s="5">
        <v>0.8</v>
      </c>
      <c r="I648" s="5">
        <v>0.05</v>
      </c>
      <c r="J648" s="6">
        <v>0.56666666666666665</v>
      </c>
      <c r="K648" s="6">
        <v>0.90764705882352925</v>
      </c>
      <c r="L648" s="6">
        <v>0.77378236892973007</v>
      </c>
      <c r="M648" s="4" t="s">
        <v>106</v>
      </c>
      <c r="N648" s="4">
        <v>8.1749797665465557E-2</v>
      </c>
      <c r="O648" s="4">
        <v>0</v>
      </c>
    </row>
    <row r="649" spans="1:15" x14ac:dyDescent="0.3">
      <c r="A649" s="4">
        <v>173</v>
      </c>
      <c r="B649" s="4">
        <v>173000</v>
      </c>
      <c r="C649" s="4" t="s">
        <v>163</v>
      </c>
      <c r="D649" s="4" t="s">
        <v>161</v>
      </c>
      <c r="E649" s="4" t="s">
        <v>17</v>
      </c>
      <c r="F649" s="4" t="s">
        <v>18</v>
      </c>
      <c r="G649" s="5">
        <v>0.54444444444444451</v>
      </c>
      <c r="H649" s="5">
        <v>0.8</v>
      </c>
      <c r="I649" s="5">
        <v>0.05</v>
      </c>
      <c r="J649" s="6">
        <v>0.59322033898305082</v>
      </c>
      <c r="K649" s="6">
        <v>0.90628571428571414</v>
      </c>
      <c r="L649" s="6">
        <v>0.78796386101736171</v>
      </c>
      <c r="M649" s="4" t="s">
        <v>21</v>
      </c>
      <c r="N649" s="4">
        <v>8.3966784490423357E-2</v>
      </c>
      <c r="O649" s="4">
        <v>0</v>
      </c>
    </row>
    <row r="650" spans="1:15" x14ac:dyDescent="0.3">
      <c r="A650" s="4">
        <v>174</v>
      </c>
      <c r="B650" s="4">
        <v>174000</v>
      </c>
      <c r="C650" s="4" t="s">
        <v>163</v>
      </c>
      <c r="D650" s="4" t="s">
        <v>161</v>
      </c>
      <c r="E650" s="4" t="s">
        <v>17</v>
      </c>
      <c r="F650" s="4" t="s">
        <v>18</v>
      </c>
      <c r="G650" s="5">
        <v>0.54444444444444451</v>
      </c>
      <c r="H650" s="5">
        <v>0.8</v>
      </c>
      <c r="I650" s="5">
        <v>0.05</v>
      </c>
      <c r="J650" s="6">
        <v>0.59322033898305082</v>
      </c>
      <c r="K650" s="6">
        <v>0.9008571428571428</v>
      </c>
      <c r="L650" s="6">
        <v>0.67459345579997709</v>
      </c>
      <c r="M650" s="4" t="s">
        <v>97</v>
      </c>
      <c r="N650" s="4">
        <v>8.6218935599776225E-2</v>
      </c>
      <c r="O650" s="4">
        <v>0</v>
      </c>
    </row>
    <row r="651" spans="1:15" x14ac:dyDescent="0.3">
      <c r="A651" s="4">
        <v>175</v>
      </c>
      <c r="B651" s="4">
        <v>175000</v>
      </c>
      <c r="C651" s="4" t="s">
        <v>163</v>
      </c>
      <c r="D651" s="4" t="s">
        <v>161</v>
      </c>
      <c r="E651" s="4" t="s">
        <v>17</v>
      </c>
      <c r="F651" s="4" t="s">
        <v>18</v>
      </c>
      <c r="G651" s="5">
        <v>0.54444444444444451</v>
      </c>
      <c r="H651" s="5">
        <v>0.8</v>
      </c>
      <c r="I651" s="5">
        <v>0.05</v>
      </c>
      <c r="J651" s="6">
        <v>0.61016949152542377</v>
      </c>
      <c r="K651" s="6">
        <v>0.90194444444444444</v>
      </c>
      <c r="L651" s="6">
        <v>0.71055732898085078</v>
      </c>
      <c r="M651" s="4" t="s">
        <v>52</v>
      </c>
      <c r="N651" s="4">
        <v>8.8130695480413968E-2</v>
      </c>
      <c r="O651" s="4">
        <v>0</v>
      </c>
    </row>
    <row r="652" spans="1:15" x14ac:dyDescent="0.3">
      <c r="A652" s="4">
        <v>176</v>
      </c>
      <c r="B652" s="4">
        <v>176000</v>
      </c>
      <c r="C652" s="4" t="s">
        <v>163</v>
      </c>
      <c r="D652" s="4" t="s">
        <v>161</v>
      </c>
      <c r="E652" s="4" t="s">
        <v>17</v>
      </c>
      <c r="F652" s="4" t="s">
        <v>18</v>
      </c>
      <c r="G652" s="5">
        <v>0.54444444444444451</v>
      </c>
      <c r="H652" s="5">
        <v>0.8</v>
      </c>
      <c r="I652" s="5">
        <v>0.05</v>
      </c>
      <c r="J652" s="6">
        <v>0.63157894736842102</v>
      </c>
      <c r="K652" s="6">
        <v>0.9030555555555555</v>
      </c>
      <c r="L652" s="6">
        <v>0.71325334698306875</v>
      </c>
      <c r="M652" s="4" t="s">
        <v>22</v>
      </c>
      <c r="N652" s="4">
        <v>9.4462023966602068E-2</v>
      </c>
      <c r="O652" s="4">
        <v>0</v>
      </c>
    </row>
    <row r="653" spans="1:15" x14ac:dyDescent="0.3">
      <c r="A653" s="4">
        <v>177</v>
      </c>
      <c r="B653" s="4">
        <v>177000</v>
      </c>
      <c r="C653" s="4" t="s">
        <v>163</v>
      </c>
      <c r="D653" s="4" t="s">
        <v>161</v>
      </c>
      <c r="E653" s="4" t="s">
        <v>17</v>
      </c>
      <c r="F653" s="4" t="s">
        <v>18</v>
      </c>
      <c r="G653" s="5">
        <v>0.54444444444444451</v>
      </c>
      <c r="H653" s="5">
        <v>0.8</v>
      </c>
      <c r="I653" s="5">
        <v>0.05</v>
      </c>
      <c r="J653" s="6">
        <v>0.61016949152542377</v>
      </c>
      <c r="K653" s="6">
        <v>0.89583333333333337</v>
      </c>
      <c r="L653" s="6">
        <v>0.70373297845821214</v>
      </c>
      <c r="M653" s="4" t="s">
        <v>39</v>
      </c>
      <c r="N653" s="4">
        <v>9.3231897149552809E-2</v>
      </c>
      <c r="O653" s="4">
        <v>0</v>
      </c>
    </row>
    <row r="654" spans="1:15" x14ac:dyDescent="0.3">
      <c r="A654" s="4">
        <v>178</v>
      </c>
      <c r="B654" s="4">
        <v>178000</v>
      </c>
      <c r="C654" s="4" t="s">
        <v>163</v>
      </c>
      <c r="D654" s="4" t="s">
        <v>161</v>
      </c>
      <c r="E654" s="4" t="s">
        <v>17</v>
      </c>
      <c r="F654" s="4" t="s">
        <v>18</v>
      </c>
      <c r="G654" s="5">
        <v>0.54444444444444451</v>
      </c>
      <c r="H654" s="5">
        <v>0.8</v>
      </c>
      <c r="I654" s="5">
        <v>0.05</v>
      </c>
      <c r="J654" s="6">
        <v>0.66101694915254239</v>
      </c>
      <c r="K654" s="6">
        <v>0.89179487179487182</v>
      </c>
      <c r="L654" s="6">
        <v>0.7302740035897507</v>
      </c>
      <c r="M654" s="4" t="s">
        <v>129</v>
      </c>
      <c r="N654" s="4">
        <v>9.6938616806762856E-2</v>
      </c>
      <c r="O654" s="4">
        <v>0</v>
      </c>
    </row>
    <row r="655" spans="1:15" x14ac:dyDescent="0.3">
      <c r="A655" s="4">
        <v>179</v>
      </c>
      <c r="B655" s="4">
        <v>179000</v>
      </c>
      <c r="C655" s="4" t="s">
        <v>163</v>
      </c>
      <c r="D655" s="4" t="s">
        <v>161</v>
      </c>
      <c r="E655" s="4" t="s">
        <v>17</v>
      </c>
      <c r="F655" s="4" t="s">
        <v>18</v>
      </c>
      <c r="G655" s="5">
        <v>0.54444444444444451</v>
      </c>
      <c r="H655" s="5">
        <v>0.8</v>
      </c>
      <c r="I655" s="5">
        <v>0.05</v>
      </c>
      <c r="J655" s="6">
        <v>0.62068965517241381</v>
      </c>
      <c r="K655" s="6">
        <v>0.89444444444444438</v>
      </c>
      <c r="L655" s="6">
        <v>0.70030176281120649</v>
      </c>
      <c r="M655" s="4" t="s">
        <v>129</v>
      </c>
      <c r="N655" s="4">
        <v>9.6629615989375084E-2</v>
      </c>
      <c r="O655" s="4">
        <v>0</v>
      </c>
    </row>
    <row r="656" spans="1:15" x14ac:dyDescent="0.3">
      <c r="A656" s="4">
        <v>180</v>
      </c>
      <c r="B656" s="4">
        <v>180000</v>
      </c>
      <c r="C656" s="4" t="s">
        <v>163</v>
      </c>
      <c r="D656" s="4" t="s">
        <v>161</v>
      </c>
      <c r="E656" s="4" t="s">
        <v>17</v>
      </c>
      <c r="F656" s="4" t="s">
        <v>18</v>
      </c>
      <c r="G656" s="5">
        <v>0.54444444444444451</v>
      </c>
      <c r="H656" s="5">
        <v>0.8</v>
      </c>
      <c r="I656" s="5">
        <v>0.05</v>
      </c>
      <c r="J656" s="6">
        <v>0.63793103448275867</v>
      </c>
      <c r="K656" s="6">
        <v>0.8891891891891891</v>
      </c>
      <c r="L656" s="6">
        <v>0.73200842720643222</v>
      </c>
      <c r="M656" s="4" t="s">
        <v>28</v>
      </c>
      <c r="N656" s="4">
        <v>0.1007649588503453</v>
      </c>
      <c r="O656" s="4">
        <v>0</v>
      </c>
    </row>
    <row r="657" spans="1:15" x14ac:dyDescent="0.3">
      <c r="A657" s="4">
        <v>181</v>
      </c>
      <c r="B657" s="4">
        <v>181000</v>
      </c>
      <c r="C657" s="4" t="s">
        <v>163</v>
      </c>
      <c r="D657" s="4" t="s">
        <v>161</v>
      </c>
      <c r="E657" s="4" t="s">
        <v>17</v>
      </c>
      <c r="F657" s="4" t="s">
        <v>18</v>
      </c>
      <c r="G657" s="5">
        <v>0.54444444444444451</v>
      </c>
      <c r="H657" s="5">
        <v>0.8</v>
      </c>
      <c r="I657" s="5">
        <v>0.05</v>
      </c>
      <c r="J657" s="6">
        <v>0.6785714285714286</v>
      </c>
      <c r="K657" s="6">
        <v>0.88263157894736843</v>
      </c>
      <c r="L657" s="6">
        <v>0.67596362973345658</v>
      </c>
      <c r="M657" s="4" t="s">
        <v>93</v>
      </c>
      <c r="N657" s="4">
        <v>0.1054950592344774</v>
      </c>
      <c r="O657" s="4">
        <v>0</v>
      </c>
    </row>
    <row r="658" spans="1:15" x14ac:dyDescent="0.3">
      <c r="A658" s="4">
        <v>182</v>
      </c>
      <c r="B658" s="4">
        <v>182000</v>
      </c>
      <c r="C658" s="4" t="s">
        <v>163</v>
      </c>
      <c r="D658" s="4" t="s">
        <v>161</v>
      </c>
      <c r="E658" s="4" t="s">
        <v>17</v>
      </c>
      <c r="F658" s="4" t="s">
        <v>18</v>
      </c>
      <c r="G658" s="5">
        <v>0.54444444444444451</v>
      </c>
      <c r="H658" s="5">
        <v>0.8</v>
      </c>
      <c r="I658" s="5">
        <v>0.05</v>
      </c>
      <c r="J658" s="6">
        <v>0.6785714285714286</v>
      </c>
      <c r="K658" s="6">
        <v>0.88052631578947371</v>
      </c>
      <c r="L658" s="6">
        <v>0.73465906306437001</v>
      </c>
      <c r="M658" s="4" t="s">
        <v>103</v>
      </c>
      <c r="N658" s="4">
        <v>0.10926606726245799</v>
      </c>
      <c r="O658" s="4">
        <v>0</v>
      </c>
    </row>
    <row r="659" spans="1:15" x14ac:dyDescent="0.3">
      <c r="A659" s="4">
        <v>183</v>
      </c>
      <c r="B659" s="4">
        <v>183000</v>
      </c>
      <c r="C659" s="4" t="s">
        <v>163</v>
      </c>
      <c r="D659" s="4" t="s">
        <v>161</v>
      </c>
      <c r="E659" s="4" t="s">
        <v>17</v>
      </c>
      <c r="F659" s="4" t="s">
        <v>18</v>
      </c>
      <c r="G659" s="5">
        <v>0.54444444444444451</v>
      </c>
      <c r="H659" s="5">
        <v>0.8</v>
      </c>
      <c r="I659" s="5">
        <v>0.05</v>
      </c>
      <c r="J659" s="6">
        <v>0.65517241379310343</v>
      </c>
      <c r="K659" s="6">
        <v>0.88263157894736843</v>
      </c>
      <c r="L659" s="6">
        <v>0.73766185197004575</v>
      </c>
      <c r="M659" s="4" t="s">
        <v>103</v>
      </c>
      <c r="N659" s="4">
        <v>0.1094739542092984</v>
      </c>
      <c r="O659" s="4">
        <v>0</v>
      </c>
    </row>
    <row r="660" spans="1:15" x14ac:dyDescent="0.3">
      <c r="A660" s="4">
        <v>184</v>
      </c>
      <c r="B660" s="4">
        <v>184000</v>
      </c>
      <c r="C660" s="4" t="s">
        <v>163</v>
      </c>
      <c r="D660" s="4" t="s">
        <v>161</v>
      </c>
      <c r="E660" s="4" t="s">
        <v>17</v>
      </c>
      <c r="F660" s="4" t="s">
        <v>18</v>
      </c>
      <c r="G660" s="5">
        <v>0.54444444444444451</v>
      </c>
      <c r="H660" s="5">
        <v>0.8</v>
      </c>
      <c r="I660" s="5">
        <v>0.05</v>
      </c>
      <c r="J660" s="6">
        <v>0.64912280701754388</v>
      </c>
      <c r="K660" s="6">
        <v>0.88621621621621605</v>
      </c>
      <c r="L660" s="6">
        <v>0.73893605630007142</v>
      </c>
      <c r="M660" s="4" t="s">
        <v>63</v>
      </c>
      <c r="N660" s="4">
        <v>0.1114041981899738</v>
      </c>
      <c r="O660" s="4">
        <v>0</v>
      </c>
    </row>
    <row r="661" spans="1:15" x14ac:dyDescent="0.3">
      <c r="A661" s="4">
        <v>185</v>
      </c>
      <c r="B661" s="4">
        <v>185000</v>
      </c>
      <c r="C661" s="4" t="s">
        <v>163</v>
      </c>
      <c r="D661" s="4" t="s">
        <v>161</v>
      </c>
      <c r="E661" s="4" t="s">
        <v>17</v>
      </c>
      <c r="F661" s="4" t="s">
        <v>18</v>
      </c>
      <c r="G661" s="5">
        <v>0.81111111111111112</v>
      </c>
      <c r="H661" s="5">
        <v>0.60000000000000009</v>
      </c>
      <c r="I661" s="5">
        <v>0.05</v>
      </c>
      <c r="J661" s="6">
        <v>0.5357142857142857</v>
      </c>
      <c r="K661" s="6">
        <v>0.92166666666666641</v>
      </c>
      <c r="L661" s="6">
        <v>0.88641434942443975</v>
      </c>
      <c r="M661" s="4" t="s">
        <v>19</v>
      </c>
      <c r="N661" s="4">
        <v>1</v>
      </c>
      <c r="O661" s="4">
        <v>1</v>
      </c>
    </row>
    <row r="662" spans="1:15" x14ac:dyDescent="0.3">
      <c r="A662" s="4">
        <v>186</v>
      </c>
      <c r="B662" s="4">
        <v>186000</v>
      </c>
      <c r="C662" s="4" t="s">
        <v>163</v>
      </c>
      <c r="D662" s="4" t="s">
        <v>161</v>
      </c>
      <c r="E662" s="4" t="s">
        <v>17</v>
      </c>
      <c r="F662" s="4" t="s">
        <v>18</v>
      </c>
      <c r="G662" s="5">
        <v>0.81111111111111112</v>
      </c>
      <c r="H662" s="5">
        <v>0.60000000000000009</v>
      </c>
      <c r="I662" s="5">
        <v>0.05</v>
      </c>
      <c r="J662" s="6">
        <v>0.5178571428571429</v>
      </c>
      <c r="K662" s="6">
        <v>0.92172413793103403</v>
      </c>
      <c r="L662" s="6">
        <v>0.87452870827109142</v>
      </c>
      <c r="M662" s="4" t="s">
        <v>196</v>
      </c>
      <c r="N662" s="4">
        <v>1.850863906893294E-2</v>
      </c>
      <c r="O662" s="4">
        <v>0</v>
      </c>
    </row>
    <row r="663" spans="1:15" x14ac:dyDescent="0.3">
      <c r="A663" s="4">
        <v>187</v>
      </c>
      <c r="B663" s="4">
        <v>187000</v>
      </c>
      <c r="C663" s="4" t="s">
        <v>163</v>
      </c>
      <c r="D663" s="4" t="s">
        <v>161</v>
      </c>
      <c r="E663" s="4" t="s">
        <v>17</v>
      </c>
      <c r="F663" s="4" t="s">
        <v>18</v>
      </c>
      <c r="G663" s="5">
        <v>0.81111111111111112</v>
      </c>
      <c r="H663" s="5">
        <v>0.60000000000000009</v>
      </c>
      <c r="I663" s="5">
        <v>0.05</v>
      </c>
      <c r="J663" s="6">
        <v>0.50909090909090904</v>
      </c>
      <c r="K663" s="6">
        <v>0.92178571428571399</v>
      </c>
      <c r="L663" s="6">
        <v>0.87434424013311152</v>
      </c>
      <c r="M663" s="4" t="s">
        <v>197</v>
      </c>
      <c r="N663" s="4">
        <v>3.1461574628687657E-2</v>
      </c>
      <c r="O663" s="4">
        <v>0</v>
      </c>
    </row>
    <row r="664" spans="1:15" x14ac:dyDescent="0.3">
      <c r="A664" s="4">
        <v>188</v>
      </c>
      <c r="B664" s="4">
        <v>188000</v>
      </c>
      <c r="C664" s="4" t="s">
        <v>163</v>
      </c>
      <c r="D664" s="4" t="s">
        <v>161</v>
      </c>
      <c r="E664" s="4" t="s">
        <v>17</v>
      </c>
      <c r="F664" s="4" t="s">
        <v>18</v>
      </c>
      <c r="G664" s="5">
        <v>0.81111111111111112</v>
      </c>
      <c r="H664" s="5">
        <v>0.60000000000000009</v>
      </c>
      <c r="I664" s="5">
        <v>0.05</v>
      </c>
      <c r="J664" s="6">
        <v>0.50909090909090904</v>
      </c>
      <c r="K664" s="6">
        <v>0.92249999999999965</v>
      </c>
      <c r="L664" s="6">
        <v>0.87398029617850548</v>
      </c>
      <c r="M664" s="4" t="s">
        <v>179</v>
      </c>
      <c r="N664" s="4">
        <v>3.6570744711483603E-2</v>
      </c>
      <c r="O664" s="4">
        <v>0</v>
      </c>
    </row>
    <row r="665" spans="1:15" x14ac:dyDescent="0.3">
      <c r="A665" s="4">
        <v>189</v>
      </c>
      <c r="B665" s="4">
        <v>189000</v>
      </c>
      <c r="C665" s="4" t="s">
        <v>163</v>
      </c>
      <c r="D665" s="4" t="s">
        <v>161</v>
      </c>
      <c r="E665" s="4" t="s">
        <v>17</v>
      </c>
      <c r="F665" s="4" t="s">
        <v>18</v>
      </c>
      <c r="G665" s="5">
        <v>0.81111111111111112</v>
      </c>
      <c r="H665" s="5">
        <v>0.60000000000000009</v>
      </c>
      <c r="I665" s="5">
        <v>0.05</v>
      </c>
      <c r="J665" s="6">
        <v>0.48275862068965519</v>
      </c>
      <c r="K665" s="6">
        <v>0.92571428571428538</v>
      </c>
      <c r="L665" s="6">
        <v>0.87111242489507124</v>
      </c>
      <c r="M665" s="4" t="s">
        <v>181</v>
      </c>
      <c r="N665" s="4">
        <v>4.6334408275461862E-2</v>
      </c>
      <c r="O665" s="4">
        <v>0</v>
      </c>
    </row>
    <row r="666" spans="1:15" x14ac:dyDescent="0.3">
      <c r="A666" s="4">
        <v>190</v>
      </c>
      <c r="B666" s="4">
        <v>190000</v>
      </c>
      <c r="C666" s="4" t="s">
        <v>163</v>
      </c>
      <c r="D666" s="4" t="s">
        <v>161</v>
      </c>
      <c r="E666" s="4" t="s">
        <v>17</v>
      </c>
      <c r="F666" s="4" t="s">
        <v>18</v>
      </c>
      <c r="G666" s="5">
        <v>0.81111111111111112</v>
      </c>
      <c r="H666" s="5">
        <v>0.60000000000000009</v>
      </c>
      <c r="I666" s="5">
        <v>0.05</v>
      </c>
      <c r="J666" s="6">
        <v>0.48275862068965519</v>
      </c>
      <c r="K666" s="6">
        <v>0.92464285714285688</v>
      </c>
      <c r="L666" s="6">
        <v>0.87060804264894309</v>
      </c>
      <c r="M666" s="4" t="s">
        <v>192</v>
      </c>
      <c r="N666" s="4">
        <v>4.7468340818325253E-2</v>
      </c>
      <c r="O666" s="4">
        <v>0</v>
      </c>
    </row>
    <row r="667" spans="1:15" x14ac:dyDescent="0.3">
      <c r="A667" s="4">
        <v>191</v>
      </c>
      <c r="B667" s="4">
        <v>191000</v>
      </c>
      <c r="C667" s="4" t="s">
        <v>163</v>
      </c>
      <c r="D667" s="4" t="s">
        <v>161</v>
      </c>
      <c r="E667" s="4" t="s">
        <v>17</v>
      </c>
      <c r="F667" s="4" t="s">
        <v>18</v>
      </c>
      <c r="G667" s="5">
        <v>0.81111111111111112</v>
      </c>
      <c r="H667" s="5">
        <v>0.60000000000000009</v>
      </c>
      <c r="I667" s="5">
        <v>0.05</v>
      </c>
      <c r="J667" s="6">
        <v>0.48275862068965519</v>
      </c>
      <c r="K667" s="6">
        <v>0.92464285714285677</v>
      </c>
      <c r="L667" s="6">
        <v>0.87060617950472186</v>
      </c>
      <c r="M667" s="4" t="s">
        <v>198</v>
      </c>
      <c r="N667" s="4">
        <v>5.0444707475372177E-2</v>
      </c>
      <c r="O667" s="4">
        <v>0</v>
      </c>
    </row>
    <row r="668" spans="1:15" x14ac:dyDescent="0.3">
      <c r="A668" s="4">
        <v>192</v>
      </c>
      <c r="B668" s="4">
        <v>192000</v>
      </c>
      <c r="C668" s="4" t="s">
        <v>163</v>
      </c>
      <c r="D668" s="4" t="s">
        <v>161</v>
      </c>
      <c r="E668" s="4" t="s">
        <v>17</v>
      </c>
      <c r="F668" s="4" t="s">
        <v>18</v>
      </c>
      <c r="G668" s="5">
        <v>0.81111111111111112</v>
      </c>
      <c r="H668" s="5">
        <v>0.60000000000000009</v>
      </c>
      <c r="I668" s="5">
        <v>0.05</v>
      </c>
      <c r="J668" s="6">
        <v>0.47457627118644069</v>
      </c>
      <c r="K668" s="6">
        <v>0.92428571428571382</v>
      </c>
      <c r="L668" s="6">
        <v>0.8714484286266464</v>
      </c>
      <c r="M668" s="4" t="s">
        <v>164</v>
      </c>
      <c r="N668" s="4">
        <v>5.3191711696934513E-2</v>
      </c>
      <c r="O668" s="4">
        <v>0</v>
      </c>
    </row>
    <row r="669" spans="1:15" x14ac:dyDescent="0.3">
      <c r="A669" s="4">
        <v>193</v>
      </c>
      <c r="B669" s="4">
        <v>193000</v>
      </c>
      <c r="C669" s="4" t="s">
        <v>163</v>
      </c>
      <c r="D669" s="4" t="s">
        <v>161</v>
      </c>
      <c r="E669" s="4" t="s">
        <v>17</v>
      </c>
      <c r="F669" s="4" t="s">
        <v>18</v>
      </c>
      <c r="G669" s="5">
        <v>0.81111111111111112</v>
      </c>
      <c r="H669" s="5">
        <v>0.60000000000000009</v>
      </c>
      <c r="I669" s="5">
        <v>0.05</v>
      </c>
      <c r="J669" s="6">
        <v>0.5</v>
      </c>
      <c r="K669" s="6">
        <v>0.91899999999999971</v>
      </c>
      <c r="L669" s="6">
        <v>0.82809017102331339</v>
      </c>
      <c r="M669" s="4" t="s">
        <v>44</v>
      </c>
      <c r="N669" s="4">
        <v>6.3279738145263789E-2</v>
      </c>
      <c r="O669" s="4">
        <v>0</v>
      </c>
    </row>
    <row r="670" spans="1:15" x14ac:dyDescent="0.3">
      <c r="A670" s="4">
        <v>194</v>
      </c>
      <c r="B670" s="4">
        <v>194000</v>
      </c>
      <c r="C670" s="4" t="s">
        <v>163</v>
      </c>
      <c r="D670" s="4" t="s">
        <v>161</v>
      </c>
      <c r="E670" s="4" t="s">
        <v>17</v>
      </c>
      <c r="F670" s="4" t="s">
        <v>18</v>
      </c>
      <c r="G670" s="5">
        <v>0.81111111111111112</v>
      </c>
      <c r="H670" s="5">
        <v>0.60000000000000009</v>
      </c>
      <c r="I670" s="5">
        <v>0.05</v>
      </c>
      <c r="J670" s="6">
        <v>0.52459016393442626</v>
      </c>
      <c r="K670" s="6">
        <v>0.88749999999999973</v>
      </c>
      <c r="L670" s="6">
        <v>0.8173514667237447</v>
      </c>
      <c r="M670" s="4" t="s">
        <v>187</v>
      </c>
      <c r="N670" s="4">
        <v>6.7834611732428954E-2</v>
      </c>
      <c r="O670" s="4">
        <v>0</v>
      </c>
    </row>
    <row r="671" spans="1:15" x14ac:dyDescent="0.3">
      <c r="A671" s="4">
        <v>195</v>
      </c>
      <c r="B671" s="4">
        <v>195000</v>
      </c>
      <c r="C671" s="4" t="s">
        <v>163</v>
      </c>
      <c r="D671" s="4" t="s">
        <v>161</v>
      </c>
      <c r="E671" s="4" t="s">
        <v>17</v>
      </c>
      <c r="F671" s="4" t="s">
        <v>18</v>
      </c>
      <c r="G671" s="5">
        <v>0.9</v>
      </c>
      <c r="H671" s="5">
        <v>0.8</v>
      </c>
      <c r="I671" s="5">
        <v>0.05</v>
      </c>
      <c r="J671" s="6">
        <v>0.42622950819672129</v>
      </c>
      <c r="K671" s="6">
        <v>0.92769230769230759</v>
      </c>
      <c r="L671" s="6">
        <v>0.86540534092226984</v>
      </c>
      <c r="M671" s="4" t="s">
        <v>19</v>
      </c>
      <c r="N671" s="4">
        <v>1</v>
      </c>
      <c r="O671" s="4">
        <v>1</v>
      </c>
    </row>
    <row r="672" spans="1:15" x14ac:dyDescent="0.3">
      <c r="A672" s="4">
        <v>196</v>
      </c>
      <c r="B672" s="4">
        <v>196000</v>
      </c>
      <c r="C672" s="4" t="s">
        <v>163</v>
      </c>
      <c r="D672" s="4" t="s">
        <v>161</v>
      </c>
      <c r="E672" s="4" t="s">
        <v>17</v>
      </c>
      <c r="F672" s="4" t="s">
        <v>18</v>
      </c>
      <c r="G672" s="5">
        <v>0.9</v>
      </c>
      <c r="H672" s="5">
        <v>0.8</v>
      </c>
      <c r="I672" s="5">
        <v>0.05</v>
      </c>
      <c r="J672" s="6">
        <v>0.44262295081967212</v>
      </c>
      <c r="K672" s="6">
        <v>0.92703703703703677</v>
      </c>
      <c r="L672" s="6">
        <v>0.86532675599432618</v>
      </c>
      <c r="M672" s="4" t="s">
        <v>199</v>
      </c>
      <c r="N672" s="4">
        <v>8.7880870027270616E-3</v>
      </c>
      <c r="O672" s="4">
        <v>0</v>
      </c>
    </row>
    <row r="673" spans="1:15" x14ac:dyDescent="0.3">
      <c r="A673" s="4">
        <v>197</v>
      </c>
      <c r="B673" s="4">
        <v>197000</v>
      </c>
      <c r="C673" s="4" t="s">
        <v>163</v>
      </c>
      <c r="D673" s="4" t="s">
        <v>161</v>
      </c>
      <c r="E673" s="4" t="s">
        <v>17</v>
      </c>
      <c r="F673" s="4" t="s">
        <v>18</v>
      </c>
      <c r="G673" s="5">
        <v>0.9</v>
      </c>
      <c r="H673" s="5">
        <v>0.8</v>
      </c>
      <c r="I673" s="5">
        <v>0.05</v>
      </c>
      <c r="J673" s="6">
        <v>0.42622950819672129</v>
      </c>
      <c r="K673" s="6">
        <v>0.96230769230769198</v>
      </c>
      <c r="L673" s="6">
        <v>0.86523842454664368</v>
      </c>
      <c r="M673" s="4" t="s">
        <v>200</v>
      </c>
      <c r="N673" s="4">
        <v>1.410740841709239E-2</v>
      </c>
      <c r="O673" s="4">
        <v>0</v>
      </c>
    </row>
    <row r="674" spans="1:15" x14ac:dyDescent="0.3">
      <c r="A674" s="4">
        <v>198</v>
      </c>
      <c r="B674" s="4">
        <v>198000</v>
      </c>
      <c r="C674" s="4" t="s">
        <v>163</v>
      </c>
      <c r="D674" s="4" t="s">
        <v>161</v>
      </c>
      <c r="E674" s="4" t="s">
        <v>17</v>
      </c>
      <c r="F674" s="4" t="s">
        <v>18</v>
      </c>
      <c r="G674" s="5">
        <v>0.9</v>
      </c>
      <c r="H674" s="5">
        <v>0.8</v>
      </c>
      <c r="I674" s="5">
        <v>0.05</v>
      </c>
      <c r="J674" s="6">
        <v>0.41666666666666669</v>
      </c>
      <c r="K674" s="6">
        <v>0.96559999999999979</v>
      </c>
      <c r="L674" s="6">
        <v>0.86513463677449842</v>
      </c>
      <c r="M674" s="4" t="s">
        <v>166</v>
      </c>
      <c r="N674" s="4">
        <v>1.9923206962817529E-2</v>
      </c>
      <c r="O674" s="4">
        <v>0</v>
      </c>
    </row>
    <row r="675" spans="1:15" x14ac:dyDescent="0.3">
      <c r="A675" s="4">
        <v>199</v>
      </c>
      <c r="B675" s="4">
        <v>199000</v>
      </c>
      <c r="C675" s="4" t="s">
        <v>163</v>
      </c>
      <c r="D675" s="4" t="s">
        <v>161</v>
      </c>
      <c r="E675" s="4" t="s">
        <v>17</v>
      </c>
      <c r="F675" s="4" t="s">
        <v>18</v>
      </c>
      <c r="G675" s="5">
        <v>0.9</v>
      </c>
      <c r="H675" s="5">
        <v>0.8</v>
      </c>
      <c r="I675" s="5">
        <v>0.05</v>
      </c>
      <c r="J675" s="6">
        <v>0.41666666666666669</v>
      </c>
      <c r="K675" s="6">
        <v>0.96479999999999977</v>
      </c>
      <c r="L675" s="6">
        <v>0.86683111366237353</v>
      </c>
      <c r="M675" s="4" t="s">
        <v>201</v>
      </c>
      <c r="N675" s="4">
        <v>2.228693164863935E-2</v>
      </c>
      <c r="O675" s="4">
        <v>0</v>
      </c>
    </row>
    <row r="676" spans="1:15" x14ac:dyDescent="0.3">
      <c r="A676" s="4">
        <v>200</v>
      </c>
      <c r="B676" s="4">
        <v>200000</v>
      </c>
      <c r="C676" s="4" t="s">
        <v>163</v>
      </c>
      <c r="D676" s="4" t="s">
        <v>161</v>
      </c>
      <c r="E676" s="4" t="s">
        <v>17</v>
      </c>
      <c r="F676" s="4" t="s">
        <v>18</v>
      </c>
      <c r="G676" s="5">
        <v>0.9</v>
      </c>
      <c r="H676" s="5">
        <v>0.8</v>
      </c>
      <c r="I676" s="5">
        <v>0.05</v>
      </c>
      <c r="J676" s="6">
        <v>0.41666666666666669</v>
      </c>
      <c r="K676" s="6">
        <v>0.96399999999999975</v>
      </c>
      <c r="L676" s="6">
        <v>0.86775416778651915</v>
      </c>
      <c r="M676" s="4" t="s">
        <v>202</v>
      </c>
      <c r="N676" s="4">
        <v>2.293290040957353E-2</v>
      </c>
      <c r="O676" s="4">
        <v>0</v>
      </c>
    </row>
    <row r="677" spans="1:15" x14ac:dyDescent="0.3">
      <c r="A677" s="4">
        <v>201</v>
      </c>
      <c r="B677" s="4">
        <v>201000</v>
      </c>
      <c r="C677" s="4" t="s">
        <v>163</v>
      </c>
      <c r="D677" s="4" t="s">
        <v>161</v>
      </c>
      <c r="E677" s="4" t="s">
        <v>17</v>
      </c>
      <c r="F677" s="4" t="s">
        <v>18</v>
      </c>
      <c r="G677" s="5">
        <v>0.81111111111111112</v>
      </c>
      <c r="H677" s="5">
        <v>0.8</v>
      </c>
      <c r="I677" s="5">
        <v>0.05</v>
      </c>
      <c r="J677" s="6">
        <v>0.45161290322580638</v>
      </c>
      <c r="K677" s="6">
        <v>0.9496428571428569</v>
      </c>
      <c r="L677" s="6">
        <v>0.87173951517096115</v>
      </c>
      <c r="M677" s="4" t="s">
        <v>19</v>
      </c>
      <c r="N677" s="4">
        <v>1</v>
      </c>
      <c r="O677" s="4">
        <v>1</v>
      </c>
    </row>
    <row r="678" spans="1:15" x14ac:dyDescent="0.3">
      <c r="A678" s="4">
        <v>202</v>
      </c>
      <c r="B678" s="4">
        <v>202000</v>
      </c>
      <c r="C678" s="4" t="s">
        <v>163</v>
      </c>
      <c r="D678" s="4" t="s">
        <v>161</v>
      </c>
      <c r="E678" s="4" t="s">
        <v>17</v>
      </c>
      <c r="F678" s="4" t="s">
        <v>18</v>
      </c>
      <c r="G678" s="5">
        <v>0.81111111111111112</v>
      </c>
      <c r="H678" s="5">
        <v>0.8</v>
      </c>
      <c r="I678" s="5">
        <v>0.05</v>
      </c>
      <c r="J678" s="6">
        <v>0.46031746031746029</v>
      </c>
      <c r="K678" s="6">
        <v>0.94586206896551694</v>
      </c>
      <c r="L678" s="6">
        <v>0.88746239798528215</v>
      </c>
      <c r="M678" s="4" t="s">
        <v>177</v>
      </c>
      <c r="N678" s="4">
        <v>1.6611543044852441E-2</v>
      </c>
      <c r="O678" s="4">
        <v>0</v>
      </c>
    </row>
    <row r="679" spans="1:15" x14ac:dyDescent="0.3">
      <c r="A679" s="4">
        <v>203</v>
      </c>
      <c r="B679" s="4">
        <v>203000</v>
      </c>
      <c r="C679" s="4" t="s">
        <v>163</v>
      </c>
      <c r="D679" s="4" t="s">
        <v>161</v>
      </c>
      <c r="E679" s="4" t="s">
        <v>17</v>
      </c>
      <c r="F679" s="4" t="s">
        <v>18</v>
      </c>
      <c r="G679" s="5">
        <v>0.81111111111111112</v>
      </c>
      <c r="H679" s="5">
        <v>0.8</v>
      </c>
      <c r="I679" s="5">
        <v>0.05</v>
      </c>
      <c r="J679" s="6">
        <v>0.46031746031746029</v>
      </c>
      <c r="K679" s="6">
        <v>0.94551724137931004</v>
      </c>
      <c r="L679" s="6">
        <v>0.88589217292401168</v>
      </c>
      <c r="M679" s="4" t="s">
        <v>166</v>
      </c>
      <c r="N679" s="4">
        <v>1.9976569712556701E-2</v>
      </c>
      <c r="O679" s="4">
        <v>0</v>
      </c>
    </row>
    <row r="680" spans="1:15" x14ac:dyDescent="0.3">
      <c r="A680" s="4">
        <v>204</v>
      </c>
      <c r="B680" s="4">
        <v>204000</v>
      </c>
      <c r="C680" s="4" t="s">
        <v>163</v>
      </c>
      <c r="D680" s="4" t="s">
        <v>161</v>
      </c>
      <c r="E680" s="4" t="s">
        <v>17</v>
      </c>
      <c r="F680" s="4" t="s">
        <v>18</v>
      </c>
      <c r="G680" s="5">
        <v>0.81111111111111112</v>
      </c>
      <c r="H680" s="5">
        <v>0.8</v>
      </c>
      <c r="I680" s="5">
        <v>0.05</v>
      </c>
      <c r="J680" s="6">
        <v>0.46031746031746029</v>
      </c>
      <c r="K680" s="6">
        <v>0.94551724137931004</v>
      </c>
      <c r="L680" s="6">
        <v>0.88395469486474376</v>
      </c>
      <c r="M680" s="4" t="s">
        <v>201</v>
      </c>
      <c r="N680" s="4">
        <v>2.20077912041854E-2</v>
      </c>
      <c r="O680" s="4">
        <v>0</v>
      </c>
    </row>
    <row r="681" spans="1:15" x14ac:dyDescent="0.3">
      <c r="A681" s="4">
        <v>205</v>
      </c>
      <c r="B681" s="4">
        <v>205000</v>
      </c>
      <c r="C681" s="4" t="s">
        <v>163</v>
      </c>
      <c r="D681" s="4" t="s">
        <v>161</v>
      </c>
      <c r="E681" s="4" t="s">
        <v>17</v>
      </c>
      <c r="F681" s="4" t="s">
        <v>18</v>
      </c>
      <c r="G681" s="5">
        <v>0.81111111111111112</v>
      </c>
      <c r="H681" s="5">
        <v>0.8</v>
      </c>
      <c r="I681" s="5">
        <v>0.05</v>
      </c>
      <c r="J681" s="6">
        <v>0.45161290322580638</v>
      </c>
      <c r="K681" s="6">
        <v>0.94499999999999973</v>
      </c>
      <c r="L681" s="6">
        <v>0.867587019968176</v>
      </c>
      <c r="M681" s="4" t="s">
        <v>197</v>
      </c>
      <c r="N681" s="4">
        <v>3.0809012521178871E-2</v>
      </c>
      <c r="O681" s="4">
        <v>0</v>
      </c>
    </row>
    <row r="682" spans="1:15" x14ac:dyDescent="0.3">
      <c r="A682" s="4">
        <v>206</v>
      </c>
      <c r="B682" s="4">
        <v>206000</v>
      </c>
      <c r="C682" s="4" t="s">
        <v>163</v>
      </c>
      <c r="D682" s="4" t="s">
        <v>161</v>
      </c>
      <c r="E682" s="4" t="s">
        <v>17</v>
      </c>
      <c r="F682" s="4" t="s">
        <v>18</v>
      </c>
      <c r="G682" s="5">
        <v>0.81111111111111112</v>
      </c>
      <c r="H682" s="5">
        <v>0.8</v>
      </c>
      <c r="I682" s="5">
        <v>0.05</v>
      </c>
      <c r="J682" s="6">
        <v>0.42857142857142849</v>
      </c>
      <c r="K682" s="6">
        <v>0.95037037037037009</v>
      </c>
      <c r="L682" s="6">
        <v>0.86827613861345132</v>
      </c>
      <c r="M682" s="4" t="s">
        <v>203</v>
      </c>
      <c r="N682" s="4">
        <v>3.4989312279448202E-2</v>
      </c>
      <c r="O682" s="4">
        <v>0</v>
      </c>
    </row>
    <row r="683" spans="1:15" x14ac:dyDescent="0.3">
      <c r="A683" s="4">
        <v>207</v>
      </c>
      <c r="B683" s="4">
        <v>207000</v>
      </c>
      <c r="C683" s="4" t="s">
        <v>163</v>
      </c>
      <c r="D683" s="4" t="s">
        <v>161</v>
      </c>
      <c r="E683" s="4" t="s">
        <v>17</v>
      </c>
      <c r="F683" s="4" t="s">
        <v>18</v>
      </c>
      <c r="G683" s="5">
        <v>0.81111111111111112</v>
      </c>
      <c r="H683" s="5">
        <v>0.8</v>
      </c>
      <c r="I683" s="5">
        <v>0.05</v>
      </c>
      <c r="J683" s="6">
        <v>0.42857142857142849</v>
      </c>
      <c r="K683" s="6">
        <v>0.95074074074074044</v>
      </c>
      <c r="L683" s="6">
        <v>0.868017592872244</v>
      </c>
      <c r="M683" s="4" t="s">
        <v>179</v>
      </c>
      <c r="N683" s="4">
        <v>3.7078760767733039E-2</v>
      </c>
      <c r="O683" s="4">
        <v>0</v>
      </c>
    </row>
    <row r="684" spans="1:15" x14ac:dyDescent="0.3">
      <c r="A684" s="4">
        <v>208</v>
      </c>
      <c r="B684" s="4">
        <v>208000</v>
      </c>
      <c r="C684" s="4" t="s">
        <v>163</v>
      </c>
      <c r="D684" s="4" t="s">
        <v>161</v>
      </c>
      <c r="E684" s="4" t="s">
        <v>17</v>
      </c>
      <c r="F684" s="4" t="s">
        <v>18</v>
      </c>
      <c r="G684" s="5">
        <v>0.81111111111111112</v>
      </c>
      <c r="H684" s="5">
        <v>0.8</v>
      </c>
      <c r="I684" s="5">
        <v>0.05</v>
      </c>
      <c r="J684" s="6">
        <v>0.42857142857142849</v>
      </c>
      <c r="K684" s="6">
        <v>0.95148148148148115</v>
      </c>
      <c r="L684" s="6">
        <v>0.8681810414936324</v>
      </c>
      <c r="M684" s="4" t="s">
        <v>180</v>
      </c>
      <c r="N684" s="4">
        <v>3.7670005544948967E-2</v>
      </c>
      <c r="O684" s="4">
        <v>0</v>
      </c>
    </row>
    <row r="685" spans="1:15" x14ac:dyDescent="0.3">
      <c r="A685" s="4">
        <v>209</v>
      </c>
      <c r="B685" s="4">
        <v>209000</v>
      </c>
      <c r="C685" s="4" t="s">
        <v>163</v>
      </c>
      <c r="D685" s="4" t="s">
        <v>161</v>
      </c>
      <c r="E685" s="4" t="s">
        <v>17</v>
      </c>
      <c r="F685" s="4" t="s">
        <v>18</v>
      </c>
      <c r="G685" s="5">
        <v>0.81111111111111112</v>
      </c>
      <c r="H685" s="5">
        <v>0.8</v>
      </c>
      <c r="I685" s="5">
        <v>0.05</v>
      </c>
      <c r="J685" s="6">
        <v>0.41269841269841268</v>
      </c>
      <c r="K685" s="6">
        <v>0.95615384615384602</v>
      </c>
      <c r="L685" s="6">
        <v>0.85074368662408528</v>
      </c>
      <c r="M685" s="4" t="s">
        <v>204</v>
      </c>
      <c r="N685" s="4">
        <v>3.8600082515959012E-2</v>
      </c>
      <c r="O685" s="4">
        <v>0</v>
      </c>
    </row>
    <row r="686" spans="1:15" x14ac:dyDescent="0.3">
      <c r="A686" s="4">
        <v>210</v>
      </c>
      <c r="B686" s="4">
        <v>210000</v>
      </c>
      <c r="C686" s="4" t="s">
        <v>163</v>
      </c>
      <c r="D686" s="4" t="s">
        <v>161</v>
      </c>
      <c r="E686" s="4" t="s">
        <v>17</v>
      </c>
      <c r="F686" s="4" t="s">
        <v>18</v>
      </c>
      <c r="G686" s="5">
        <v>0.81111111111111112</v>
      </c>
      <c r="H686" s="5">
        <v>0.8</v>
      </c>
      <c r="I686" s="5">
        <v>0.05</v>
      </c>
      <c r="J686" s="6">
        <v>0.41269841269841268</v>
      </c>
      <c r="K686" s="6">
        <v>0.95576923076923059</v>
      </c>
      <c r="L686" s="6">
        <v>0.8513113634383046</v>
      </c>
      <c r="M686" s="4" t="s">
        <v>204</v>
      </c>
      <c r="N686" s="4">
        <v>3.902450197534197E-2</v>
      </c>
      <c r="O686" s="4">
        <v>0</v>
      </c>
    </row>
    <row r="687" spans="1:15" x14ac:dyDescent="0.3">
      <c r="A687" s="4">
        <v>211</v>
      </c>
      <c r="B687" s="4">
        <v>211000</v>
      </c>
      <c r="C687" s="4" t="s">
        <v>163</v>
      </c>
      <c r="D687" s="4" t="s">
        <v>161</v>
      </c>
      <c r="E687" s="4" t="s">
        <v>17</v>
      </c>
      <c r="F687" s="4" t="s">
        <v>18</v>
      </c>
      <c r="G687" s="5">
        <v>0.81111111111111112</v>
      </c>
      <c r="H687" s="5">
        <v>0.8</v>
      </c>
      <c r="I687" s="5">
        <v>0.05</v>
      </c>
      <c r="J687" s="6">
        <v>0.3968253968253968</v>
      </c>
      <c r="K687" s="6">
        <v>0.96399999999999975</v>
      </c>
      <c r="L687" s="6">
        <v>0.84592246396275417</v>
      </c>
      <c r="M687" s="4" t="s">
        <v>191</v>
      </c>
      <c r="N687" s="4">
        <v>4.0587765312256413E-2</v>
      </c>
      <c r="O687" s="4">
        <v>0</v>
      </c>
    </row>
    <row r="688" spans="1:15" x14ac:dyDescent="0.3">
      <c r="A688" s="4">
        <v>212</v>
      </c>
      <c r="B688" s="4">
        <v>212000</v>
      </c>
      <c r="C688" s="4" t="s">
        <v>163</v>
      </c>
      <c r="D688" s="4" t="s">
        <v>161</v>
      </c>
      <c r="E688" s="4" t="s">
        <v>17</v>
      </c>
      <c r="F688" s="4" t="s">
        <v>18</v>
      </c>
      <c r="G688" s="5">
        <v>0.81111111111111112</v>
      </c>
      <c r="H688" s="5">
        <v>0.8</v>
      </c>
      <c r="I688" s="5">
        <v>0.05</v>
      </c>
      <c r="J688" s="6">
        <v>0.40625</v>
      </c>
      <c r="K688" s="6">
        <v>0.92576923076923068</v>
      </c>
      <c r="L688" s="6">
        <v>0.84204467830335761</v>
      </c>
      <c r="M688" s="4" t="s">
        <v>192</v>
      </c>
      <c r="N688" s="4">
        <v>4.6932491359326867E-2</v>
      </c>
      <c r="O688" s="4">
        <v>0</v>
      </c>
    </row>
    <row r="689" spans="1:15" x14ac:dyDescent="0.3">
      <c r="A689" s="4">
        <v>213</v>
      </c>
      <c r="B689" s="4">
        <v>213000</v>
      </c>
      <c r="C689" s="4" t="s">
        <v>163</v>
      </c>
      <c r="D689" s="4" t="s">
        <v>161</v>
      </c>
      <c r="E689" s="4" t="s">
        <v>17</v>
      </c>
      <c r="F689" s="4" t="s">
        <v>18</v>
      </c>
      <c r="G689" s="5">
        <v>0.81111111111111112</v>
      </c>
      <c r="H689" s="5">
        <v>0.8</v>
      </c>
      <c r="I689" s="5">
        <v>0.05</v>
      </c>
      <c r="J689" s="6">
        <v>0.4</v>
      </c>
      <c r="K689" s="6">
        <v>0.92538461538461525</v>
      </c>
      <c r="L689" s="6">
        <v>0.84051422166176282</v>
      </c>
      <c r="M689" s="4" t="s">
        <v>164</v>
      </c>
      <c r="N689" s="4">
        <v>5.2974892658199831E-2</v>
      </c>
      <c r="O689" s="4">
        <v>0</v>
      </c>
    </row>
    <row r="690" spans="1:15" x14ac:dyDescent="0.3">
      <c r="A690" s="4">
        <v>214</v>
      </c>
      <c r="B690" s="4">
        <v>214000</v>
      </c>
      <c r="C690" s="4" t="s">
        <v>163</v>
      </c>
      <c r="D690" s="4" t="s">
        <v>161</v>
      </c>
      <c r="E690" s="4" t="s">
        <v>17</v>
      </c>
      <c r="F690" s="4" t="s">
        <v>18</v>
      </c>
      <c r="G690" s="5">
        <v>0.81111111111111112</v>
      </c>
      <c r="H690" s="5">
        <v>0.8</v>
      </c>
      <c r="I690" s="5">
        <v>0.05</v>
      </c>
      <c r="J690" s="6">
        <v>0.39393939393939392</v>
      </c>
      <c r="K690" s="6">
        <v>0.92538461538461525</v>
      </c>
      <c r="L690" s="6">
        <v>0.84139784946236551</v>
      </c>
      <c r="M690" s="4" t="s">
        <v>205</v>
      </c>
      <c r="N690" s="4">
        <v>5.6284603106810487E-2</v>
      </c>
      <c r="O690" s="4">
        <v>0</v>
      </c>
    </row>
    <row r="691" spans="1:15" x14ac:dyDescent="0.3">
      <c r="A691" s="4">
        <v>215</v>
      </c>
      <c r="B691" s="4">
        <v>215000</v>
      </c>
      <c r="C691" s="4" t="s">
        <v>163</v>
      </c>
      <c r="D691" s="4" t="s">
        <v>161</v>
      </c>
      <c r="E691" s="4" t="s">
        <v>17</v>
      </c>
      <c r="F691" s="4" t="s">
        <v>18</v>
      </c>
      <c r="G691" s="5">
        <v>0.81111111111111112</v>
      </c>
      <c r="H691" s="5">
        <v>0.8</v>
      </c>
      <c r="I691" s="5">
        <v>0.05</v>
      </c>
      <c r="J691" s="6">
        <v>0.39393939393939392</v>
      </c>
      <c r="K691" s="6">
        <v>0.92576923076923046</v>
      </c>
      <c r="L691" s="6">
        <v>0.84224337121212123</v>
      </c>
      <c r="M691" s="4" t="s">
        <v>206</v>
      </c>
      <c r="N691" s="4">
        <v>5.6964808736637451E-2</v>
      </c>
      <c r="O691" s="4">
        <v>0</v>
      </c>
    </row>
    <row r="692" spans="1:15" x14ac:dyDescent="0.3">
      <c r="A692" s="4">
        <v>216</v>
      </c>
      <c r="B692" s="4">
        <v>216000</v>
      </c>
      <c r="C692" s="4" t="s">
        <v>163</v>
      </c>
      <c r="D692" s="4" t="s">
        <v>161</v>
      </c>
      <c r="E692" s="4" t="s">
        <v>17</v>
      </c>
      <c r="F692" s="4" t="s">
        <v>18</v>
      </c>
      <c r="G692" s="5">
        <v>0.81111111111111112</v>
      </c>
      <c r="H692" s="5">
        <v>0.8</v>
      </c>
      <c r="I692" s="5">
        <v>0.05</v>
      </c>
      <c r="J692" s="6">
        <v>0.4</v>
      </c>
      <c r="K692" s="6">
        <v>0.92461538461538428</v>
      </c>
      <c r="L692" s="6">
        <v>0.84071948181365219</v>
      </c>
      <c r="M692" s="4" t="s">
        <v>184</v>
      </c>
      <c r="N692" s="4">
        <v>5.9253803842426567E-2</v>
      </c>
      <c r="O692" s="4">
        <v>0</v>
      </c>
    </row>
    <row r="693" spans="1:15" x14ac:dyDescent="0.3">
      <c r="A693" s="4">
        <v>217</v>
      </c>
      <c r="B693" s="4">
        <v>217000</v>
      </c>
      <c r="C693" s="4" t="s">
        <v>163</v>
      </c>
      <c r="D693" s="4" t="s">
        <v>161</v>
      </c>
      <c r="E693" s="4" t="s">
        <v>17</v>
      </c>
      <c r="F693" s="4" t="s">
        <v>18</v>
      </c>
      <c r="G693" s="5">
        <v>0.81111111111111112</v>
      </c>
      <c r="H693" s="5">
        <v>0.8</v>
      </c>
      <c r="I693" s="5">
        <v>0.05</v>
      </c>
      <c r="J693" s="6">
        <v>0.43076923076923079</v>
      </c>
      <c r="K693" s="6">
        <v>0.91857142857142826</v>
      </c>
      <c r="L693" s="6">
        <v>0.86127705824675527</v>
      </c>
      <c r="M693" s="4" t="s">
        <v>44</v>
      </c>
      <c r="N693" s="4">
        <v>6.3469876863937305E-2</v>
      </c>
      <c r="O693" s="4">
        <v>0</v>
      </c>
    </row>
    <row r="694" spans="1:15" x14ac:dyDescent="0.3">
      <c r="A694" s="4">
        <v>218</v>
      </c>
      <c r="B694" s="4">
        <v>218000</v>
      </c>
      <c r="C694" s="4" t="s">
        <v>163</v>
      </c>
      <c r="D694" s="4" t="s">
        <v>161</v>
      </c>
      <c r="E694" s="4" t="s">
        <v>17</v>
      </c>
      <c r="F694" s="4" t="s">
        <v>18</v>
      </c>
      <c r="G694" s="5">
        <v>0.81111111111111112</v>
      </c>
      <c r="H694" s="5">
        <v>0.8</v>
      </c>
      <c r="I694" s="5">
        <v>0.05</v>
      </c>
      <c r="J694" s="6">
        <v>0.44615384615384618</v>
      </c>
      <c r="K694" s="6">
        <v>0.91827586206896539</v>
      </c>
      <c r="L694" s="6">
        <v>0.83457158262788333</v>
      </c>
      <c r="M694" s="4" t="s">
        <v>187</v>
      </c>
      <c r="N694" s="4">
        <v>6.8433647988623364E-2</v>
      </c>
      <c r="O694" s="4">
        <v>0</v>
      </c>
    </row>
    <row r="695" spans="1:15" x14ac:dyDescent="0.3">
      <c r="A695" s="4">
        <v>219</v>
      </c>
      <c r="B695" s="4">
        <v>219000</v>
      </c>
      <c r="C695" s="4" t="s">
        <v>163</v>
      </c>
      <c r="D695" s="4" t="s">
        <v>161</v>
      </c>
      <c r="E695" s="4" t="s">
        <v>17</v>
      </c>
      <c r="F695" s="4" t="s">
        <v>18</v>
      </c>
      <c r="G695" s="5">
        <v>0.81111111111111112</v>
      </c>
      <c r="H695" s="5">
        <v>0.8</v>
      </c>
      <c r="I695" s="5">
        <v>0.05</v>
      </c>
      <c r="J695" s="6">
        <v>0.44615384615384618</v>
      </c>
      <c r="K695" s="6">
        <v>0.91862068965517218</v>
      </c>
      <c r="L695" s="6">
        <v>0.83008198054506754</v>
      </c>
      <c r="M695" s="4" t="s">
        <v>128</v>
      </c>
      <c r="N695" s="4">
        <v>7.0760495812185215E-2</v>
      </c>
      <c r="O695" s="4">
        <v>0</v>
      </c>
    </row>
    <row r="696" spans="1:15" x14ac:dyDescent="0.3">
      <c r="A696" s="4">
        <v>220</v>
      </c>
      <c r="B696" s="4">
        <v>220000</v>
      </c>
      <c r="C696" s="4" t="s">
        <v>163</v>
      </c>
      <c r="D696" s="4" t="s">
        <v>161</v>
      </c>
      <c r="E696" s="4" t="s">
        <v>17</v>
      </c>
      <c r="F696" s="4" t="s">
        <v>18</v>
      </c>
      <c r="G696" s="5">
        <v>0.81111111111111112</v>
      </c>
      <c r="H696" s="5">
        <v>0.8</v>
      </c>
      <c r="I696" s="5">
        <v>0.05</v>
      </c>
      <c r="J696" s="6">
        <v>0.453125</v>
      </c>
      <c r="K696" s="6">
        <v>0.92275862068965508</v>
      </c>
      <c r="L696" s="6">
        <v>0.82802583325552781</v>
      </c>
      <c r="M696" s="4" t="s">
        <v>46</v>
      </c>
      <c r="N696" s="4">
        <v>7.8899004274989609E-2</v>
      </c>
      <c r="O696" s="4">
        <v>0</v>
      </c>
    </row>
    <row r="697" spans="1:15" x14ac:dyDescent="0.3">
      <c r="A697" s="4">
        <v>221</v>
      </c>
      <c r="B697" s="4">
        <v>221000</v>
      </c>
      <c r="C697" s="4" t="s">
        <v>163</v>
      </c>
      <c r="D697" s="4" t="s">
        <v>161</v>
      </c>
      <c r="E697" s="4" t="s">
        <v>17</v>
      </c>
      <c r="F697" s="4" t="s">
        <v>18</v>
      </c>
      <c r="G697" s="5">
        <v>0.81111111111111112</v>
      </c>
      <c r="H697" s="5">
        <v>0.8</v>
      </c>
      <c r="I697" s="5">
        <v>0.05</v>
      </c>
      <c r="J697" s="6">
        <v>0.453125</v>
      </c>
      <c r="K697" s="6">
        <v>0.92206896551724116</v>
      </c>
      <c r="L697" s="6">
        <v>0.8267421449985527</v>
      </c>
      <c r="M697" s="4" t="s">
        <v>106</v>
      </c>
      <c r="N697" s="4">
        <v>8.1759653978049615E-2</v>
      </c>
      <c r="O697" s="4">
        <v>0</v>
      </c>
    </row>
    <row r="698" spans="1:15" x14ac:dyDescent="0.3">
      <c r="A698" s="4">
        <v>222</v>
      </c>
      <c r="B698" s="4">
        <v>222000</v>
      </c>
      <c r="C698" s="4" t="s">
        <v>163</v>
      </c>
      <c r="D698" s="4" t="s">
        <v>161</v>
      </c>
      <c r="E698" s="4" t="s">
        <v>17</v>
      </c>
      <c r="F698" s="4" t="s">
        <v>18</v>
      </c>
      <c r="G698" s="5">
        <v>0.81111111111111112</v>
      </c>
      <c r="H698" s="5">
        <v>0.8</v>
      </c>
      <c r="I698" s="5">
        <v>0.05</v>
      </c>
      <c r="J698" s="6">
        <v>0.453125</v>
      </c>
      <c r="K698" s="6">
        <v>0.92172413793103436</v>
      </c>
      <c r="L698" s="6">
        <v>0.82519733766555081</v>
      </c>
      <c r="M698" s="4" t="s">
        <v>97</v>
      </c>
      <c r="N698" s="4">
        <v>8.5632812505482409E-2</v>
      </c>
      <c r="O698" s="4">
        <v>0</v>
      </c>
    </row>
    <row r="699" spans="1:15" x14ac:dyDescent="0.3">
      <c r="A699" s="4">
        <v>223</v>
      </c>
      <c r="B699" s="4">
        <v>223000</v>
      </c>
      <c r="C699" s="4" t="s">
        <v>163</v>
      </c>
      <c r="D699" s="4" t="s">
        <v>161</v>
      </c>
      <c r="E699" s="4" t="s">
        <v>17</v>
      </c>
      <c r="F699" s="4" t="s">
        <v>18</v>
      </c>
      <c r="G699" s="5">
        <v>0.81111111111111112</v>
      </c>
      <c r="H699" s="5">
        <v>0.8</v>
      </c>
      <c r="I699" s="5">
        <v>0.05</v>
      </c>
      <c r="J699" s="6">
        <v>0.46774193548387089</v>
      </c>
      <c r="K699" s="6">
        <v>0.92206896551724116</v>
      </c>
      <c r="L699" s="6">
        <v>0.82543352495523703</v>
      </c>
      <c r="M699" s="4" t="s">
        <v>59</v>
      </c>
      <c r="N699" s="4">
        <v>9.1232941763337613E-2</v>
      </c>
      <c r="O699" s="4">
        <v>0</v>
      </c>
    </row>
    <row r="700" spans="1:15" x14ac:dyDescent="0.3">
      <c r="A700" s="4">
        <v>224</v>
      </c>
      <c r="B700" s="4">
        <v>224000</v>
      </c>
      <c r="C700" s="4" t="s">
        <v>163</v>
      </c>
      <c r="D700" s="4" t="s">
        <v>161</v>
      </c>
      <c r="E700" s="4" t="s">
        <v>17</v>
      </c>
      <c r="F700" s="4" t="s">
        <v>18</v>
      </c>
      <c r="G700" s="5">
        <v>0.81111111111111112</v>
      </c>
      <c r="H700" s="5">
        <v>0.8</v>
      </c>
      <c r="I700" s="5">
        <v>0.05</v>
      </c>
      <c r="J700" s="6">
        <v>0.50819672131147542</v>
      </c>
      <c r="K700" s="6">
        <v>0.92129032258064503</v>
      </c>
      <c r="L700" s="6">
        <v>0.87277077542577874</v>
      </c>
      <c r="M700" s="4" t="s">
        <v>22</v>
      </c>
      <c r="N700" s="4">
        <v>9.4380747849718533E-2</v>
      </c>
      <c r="O700" s="4">
        <v>0</v>
      </c>
    </row>
    <row r="701" spans="1:15" x14ac:dyDescent="0.3">
      <c r="A701" s="4">
        <v>225</v>
      </c>
      <c r="B701" s="4">
        <v>225000</v>
      </c>
      <c r="C701" s="4" t="s">
        <v>163</v>
      </c>
      <c r="D701" s="4" t="s">
        <v>161</v>
      </c>
      <c r="E701" s="4" t="s">
        <v>17</v>
      </c>
      <c r="F701" s="4" t="s">
        <v>18</v>
      </c>
      <c r="G701" s="5">
        <v>0.81111111111111112</v>
      </c>
      <c r="H701" s="5">
        <v>0.8</v>
      </c>
      <c r="I701" s="5">
        <v>0.05</v>
      </c>
      <c r="J701" s="6">
        <v>0.47540983606557369</v>
      </c>
      <c r="K701" s="6">
        <v>0.92137931034482745</v>
      </c>
      <c r="L701" s="6">
        <v>0.82781352460323365</v>
      </c>
      <c r="M701" s="4" t="s">
        <v>78</v>
      </c>
      <c r="N701" s="4">
        <v>9.5770692983159739E-2</v>
      </c>
      <c r="O701" s="4">
        <v>0</v>
      </c>
    </row>
    <row r="702" spans="1:15" x14ac:dyDescent="0.3">
      <c r="A702" s="4">
        <v>226</v>
      </c>
      <c r="B702" s="4">
        <v>226000</v>
      </c>
      <c r="C702" s="4" t="s">
        <v>163</v>
      </c>
      <c r="D702" s="4" t="s">
        <v>161</v>
      </c>
      <c r="E702" s="4" t="s">
        <v>17</v>
      </c>
      <c r="F702" s="4" t="s">
        <v>18</v>
      </c>
      <c r="G702" s="5">
        <v>0.81111111111111112</v>
      </c>
      <c r="H702" s="5">
        <v>0.8</v>
      </c>
      <c r="I702" s="5">
        <v>0.05</v>
      </c>
      <c r="J702" s="6">
        <v>0.49180327868852458</v>
      </c>
      <c r="K702" s="6">
        <v>0.8913333333333332</v>
      </c>
      <c r="L702" s="6">
        <v>0.75160597578788568</v>
      </c>
      <c r="M702" s="4" t="s">
        <v>78</v>
      </c>
      <c r="N702" s="4">
        <v>9.6065340090861262E-2</v>
      </c>
      <c r="O702" s="4">
        <v>0</v>
      </c>
    </row>
    <row r="703" spans="1:15" x14ac:dyDescent="0.3">
      <c r="A703" s="4">
        <v>227</v>
      </c>
      <c r="B703" s="4">
        <v>227000</v>
      </c>
      <c r="C703" s="4" t="s">
        <v>163</v>
      </c>
      <c r="D703" s="4" t="s">
        <v>161</v>
      </c>
      <c r="E703" s="4" t="s">
        <v>17</v>
      </c>
      <c r="F703" s="4" t="s">
        <v>18</v>
      </c>
      <c r="G703" s="5">
        <v>0.81111111111111112</v>
      </c>
      <c r="H703" s="5">
        <v>0.8</v>
      </c>
      <c r="I703" s="5">
        <v>0.05</v>
      </c>
      <c r="J703" s="6">
        <v>0.52542372881355937</v>
      </c>
      <c r="K703" s="6">
        <v>0.8899999999999999</v>
      </c>
      <c r="L703" s="6">
        <v>0.78313345489743957</v>
      </c>
      <c r="M703" s="4" t="s">
        <v>82</v>
      </c>
      <c r="N703" s="4">
        <v>0.1015367513997532</v>
      </c>
      <c r="O703" s="4">
        <v>0</v>
      </c>
    </row>
    <row r="704" spans="1:15" x14ac:dyDescent="0.3">
      <c r="A704" s="4">
        <v>228</v>
      </c>
      <c r="B704" s="4">
        <v>228000</v>
      </c>
      <c r="C704" s="4" t="s">
        <v>163</v>
      </c>
      <c r="D704" s="4" t="s">
        <v>161</v>
      </c>
      <c r="E704" s="4" t="s">
        <v>17</v>
      </c>
      <c r="F704" s="4" t="s">
        <v>18</v>
      </c>
      <c r="G704" s="5">
        <v>0.81111111111111112</v>
      </c>
      <c r="H704" s="5">
        <v>0.8</v>
      </c>
      <c r="I704" s="5">
        <v>0.05</v>
      </c>
      <c r="J704" s="6">
        <v>0.54385964912280704</v>
      </c>
      <c r="K704" s="6">
        <v>0.89193548387096744</v>
      </c>
      <c r="L704" s="6">
        <v>0.78475788869645069</v>
      </c>
      <c r="M704" s="4" t="s">
        <v>99</v>
      </c>
      <c r="N704" s="4">
        <v>0.10274111149342061</v>
      </c>
      <c r="O704" s="4">
        <v>0</v>
      </c>
    </row>
    <row r="705" spans="1:15" x14ac:dyDescent="0.3">
      <c r="A705" s="4">
        <v>229</v>
      </c>
      <c r="B705" s="4">
        <v>229000</v>
      </c>
      <c r="C705" s="4" t="s">
        <v>163</v>
      </c>
      <c r="D705" s="4" t="s">
        <v>161</v>
      </c>
      <c r="E705" s="4" t="s">
        <v>17</v>
      </c>
      <c r="F705" s="4" t="s">
        <v>18</v>
      </c>
      <c r="G705" s="5">
        <v>0.81111111111111112</v>
      </c>
      <c r="H705" s="5">
        <v>0.8</v>
      </c>
      <c r="I705" s="5">
        <v>0.05</v>
      </c>
      <c r="J705" s="6">
        <v>0.5</v>
      </c>
      <c r="K705" s="6">
        <v>0.92620689655172395</v>
      </c>
      <c r="L705" s="6">
        <v>0.82935596036518344</v>
      </c>
      <c r="M705" s="4" t="s">
        <v>28</v>
      </c>
      <c r="N705" s="4">
        <v>0.1010562556151864</v>
      </c>
      <c r="O705" s="4">
        <v>0</v>
      </c>
    </row>
    <row r="706" spans="1:15" x14ac:dyDescent="0.3">
      <c r="A706" s="4">
        <v>230</v>
      </c>
      <c r="B706" s="4">
        <v>230000</v>
      </c>
      <c r="C706" s="4" t="s">
        <v>163</v>
      </c>
      <c r="D706" s="4" t="s">
        <v>161</v>
      </c>
      <c r="E706" s="4" t="s">
        <v>17</v>
      </c>
      <c r="F706" s="4" t="s">
        <v>18</v>
      </c>
      <c r="G706" s="5">
        <v>0.81111111111111112</v>
      </c>
      <c r="H706" s="5">
        <v>0.8</v>
      </c>
      <c r="I706" s="5">
        <v>0.05</v>
      </c>
      <c r="J706" s="6">
        <v>0.5</v>
      </c>
      <c r="K706" s="6">
        <v>0.9234482758620689</v>
      </c>
      <c r="L706" s="6">
        <v>0.83055540174936493</v>
      </c>
      <c r="M706" s="4" t="s">
        <v>28</v>
      </c>
      <c r="N706" s="4">
        <v>0.10107780046668929</v>
      </c>
      <c r="O706" s="4">
        <v>0</v>
      </c>
    </row>
    <row r="707" spans="1:15" x14ac:dyDescent="0.3">
      <c r="A707" s="4">
        <v>231</v>
      </c>
      <c r="B707" s="4">
        <v>231000</v>
      </c>
      <c r="C707" s="4" t="s">
        <v>163</v>
      </c>
      <c r="D707" s="4" t="s">
        <v>161</v>
      </c>
      <c r="E707" s="4" t="s">
        <v>17</v>
      </c>
      <c r="F707" s="4" t="s">
        <v>18</v>
      </c>
      <c r="G707" s="5">
        <v>0.81111111111111112</v>
      </c>
      <c r="H707" s="5">
        <v>0.8</v>
      </c>
      <c r="I707" s="5">
        <v>0.05</v>
      </c>
      <c r="J707" s="6">
        <v>0.5</v>
      </c>
      <c r="K707" s="6">
        <v>0.9234482758620689</v>
      </c>
      <c r="L707" s="6">
        <v>0.83146708117618662</v>
      </c>
      <c r="M707" s="4" t="s">
        <v>160</v>
      </c>
      <c r="N707" s="4">
        <v>0.1003619352803337</v>
      </c>
      <c r="O707" s="4">
        <v>0</v>
      </c>
    </row>
    <row r="708" spans="1:15" x14ac:dyDescent="0.3">
      <c r="A708" s="4">
        <v>232</v>
      </c>
      <c r="B708" s="4">
        <v>232000</v>
      </c>
      <c r="C708" s="4" t="s">
        <v>163</v>
      </c>
      <c r="D708" s="4" t="s">
        <v>161</v>
      </c>
      <c r="E708" s="4" t="s">
        <v>17</v>
      </c>
      <c r="F708" s="4" t="s">
        <v>18</v>
      </c>
      <c r="G708" s="5">
        <v>0.81111111111111112</v>
      </c>
      <c r="H708" s="5">
        <v>0.8</v>
      </c>
      <c r="I708" s="5">
        <v>0.05</v>
      </c>
      <c r="J708" s="6">
        <v>0.5</v>
      </c>
      <c r="K708" s="6">
        <v>0.92206896551724116</v>
      </c>
      <c r="L708" s="6">
        <v>0.83071765864020142</v>
      </c>
      <c r="M708" s="4" t="s">
        <v>99</v>
      </c>
      <c r="N708" s="4">
        <v>0.1027482994903533</v>
      </c>
      <c r="O708" s="4">
        <v>0</v>
      </c>
    </row>
    <row r="709" spans="1:15" x14ac:dyDescent="0.3">
      <c r="A709" s="4">
        <v>233</v>
      </c>
      <c r="B709" s="4">
        <v>233000</v>
      </c>
      <c r="C709" s="4" t="s">
        <v>163</v>
      </c>
      <c r="D709" s="4" t="s">
        <v>161</v>
      </c>
      <c r="E709" s="4" t="s">
        <v>17</v>
      </c>
      <c r="F709" s="4" t="s">
        <v>18</v>
      </c>
      <c r="G709" s="5">
        <v>0.81111111111111112</v>
      </c>
      <c r="H709" s="5">
        <v>0.8</v>
      </c>
      <c r="I709" s="5">
        <v>0.05</v>
      </c>
      <c r="J709" s="6">
        <v>0.51724137931034486</v>
      </c>
      <c r="K709" s="6">
        <v>0.91999999999999982</v>
      </c>
      <c r="L709" s="6">
        <v>0.84428228064506439</v>
      </c>
      <c r="M709" s="4" t="s">
        <v>99</v>
      </c>
      <c r="N709" s="4">
        <v>0.1028317724706902</v>
      </c>
      <c r="O709" s="4">
        <v>0</v>
      </c>
    </row>
    <row r="710" spans="1:15" x14ac:dyDescent="0.3">
      <c r="A710" s="4">
        <v>234</v>
      </c>
      <c r="B710" s="4">
        <v>234000</v>
      </c>
      <c r="C710" s="4" t="s">
        <v>163</v>
      </c>
      <c r="D710" s="4" t="s">
        <v>161</v>
      </c>
      <c r="E710" s="4" t="s">
        <v>17</v>
      </c>
      <c r="F710" s="4" t="s">
        <v>18</v>
      </c>
      <c r="G710" s="5">
        <v>0.81111111111111112</v>
      </c>
      <c r="H710" s="5">
        <v>0.8</v>
      </c>
      <c r="I710" s="5">
        <v>0.05</v>
      </c>
      <c r="J710" s="6">
        <v>0.5178571428571429</v>
      </c>
      <c r="K710" s="6">
        <v>0.9196551724137928</v>
      </c>
      <c r="L710" s="6">
        <v>0.83131707050584802</v>
      </c>
      <c r="M710" s="4" t="s">
        <v>136</v>
      </c>
      <c r="N710" s="4">
        <v>0.1063863386324571</v>
      </c>
      <c r="O710" s="4">
        <v>0</v>
      </c>
    </row>
    <row r="711" spans="1:15" x14ac:dyDescent="0.3">
      <c r="A711" s="4">
        <v>235</v>
      </c>
      <c r="B711" s="4">
        <v>235000</v>
      </c>
      <c r="C711" s="4" t="s">
        <v>163</v>
      </c>
      <c r="D711" s="4" t="s">
        <v>161</v>
      </c>
      <c r="E711" s="4" t="s">
        <v>17</v>
      </c>
      <c r="F711" s="4" t="s">
        <v>18</v>
      </c>
      <c r="G711" s="5">
        <v>0.81111111111111112</v>
      </c>
      <c r="H711" s="5">
        <v>0.8</v>
      </c>
      <c r="I711" s="5">
        <v>0.05</v>
      </c>
      <c r="J711" s="6">
        <v>0.52727272727272723</v>
      </c>
      <c r="K711" s="6">
        <v>0.92275862068965497</v>
      </c>
      <c r="L711" s="6">
        <v>0.82202105725405727</v>
      </c>
      <c r="M711" s="4" t="s">
        <v>103</v>
      </c>
      <c r="N711" s="4">
        <v>0.1093704771806439</v>
      </c>
      <c r="O711" s="4">
        <v>0</v>
      </c>
    </row>
    <row r="712" spans="1:15" x14ac:dyDescent="0.3">
      <c r="A712" s="4">
        <v>236</v>
      </c>
      <c r="B712" s="4">
        <v>236000</v>
      </c>
      <c r="C712" s="4" t="s">
        <v>163</v>
      </c>
      <c r="D712" s="4" t="s">
        <v>161</v>
      </c>
      <c r="E712" s="4" t="s">
        <v>17</v>
      </c>
      <c r="F712" s="4" t="s">
        <v>18</v>
      </c>
      <c r="G712" s="5">
        <v>0.81111111111111112</v>
      </c>
      <c r="H712" s="5">
        <v>0.8</v>
      </c>
      <c r="I712" s="5">
        <v>0.05</v>
      </c>
      <c r="J712" s="6">
        <v>0.5636363636363636</v>
      </c>
      <c r="K712" s="6">
        <v>0.91967741935483849</v>
      </c>
      <c r="L712" s="6">
        <v>0.80457261231069821</v>
      </c>
      <c r="M712" s="4" t="s">
        <v>25</v>
      </c>
      <c r="N712" s="4">
        <v>0.11168156913131699</v>
      </c>
      <c r="O712" s="4">
        <v>0</v>
      </c>
    </row>
    <row r="713" spans="1:15" x14ac:dyDescent="0.3">
      <c r="A713" s="4">
        <v>237</v>
      </c>
      <c r="B713" s="4">
        <v>237000</v>
      </c>
      <c r="C713" s="4" t="s">
        <v>163</v>
      </c>
      <c r="D713" s="4" t="s">
        <v>161</v>
      </c>
      <c r="E713" s="4" t="s">
        <v>17</v>
      </c>
      <c r="F713" s="4" t="s">
        <v>18</v>
      </c>
      <c r="G713" s="5">
        <v>0.81111111111111112</v>
      </c>
      <c r="H713" s="5">
        <v>0.8</v>
      </c>
      <c r="I713" s="5">
        <v>0.05</v>
      </c>
      <c r="J713" s="6">
        <v>0.5892857142857143</v>
      </c>
      <c r="K713" s="6">
        <v>0.91636363636363627</v>
      </c>
      <c r="L713" s="6">
        <v>0.83665878913318736</v>
      </c>
      <c r="M713" s="4" t="s">
        <v>47</v>
      </c>
      <c r="N713" s="4">
        <v>0.1080007224304282</v>
      </c>
      <c r="O713" s="4">
        <v>0</v>
      </c>
    </row>
    <row r="714" spans="1:15" x14ac:dyDescent="0.3">
      <c r="A714" s="4">
        <v>238</v>
      </c>
      <c r="B714" s="4">
        <v>238000</v>
      </c>
      <c r="C714" s="4" t="s">
        <v>163</v>
      </c>
      <c r="D714" s="4" t="s">
        <v>161</v>
      </c>
      <c r="E714" s="4" t="s">
        <v>17</v>
      </c>
      <c r="F714" s="4" t="s">
        <v>18</v>
      </c>
      <c r="G714" s="5">
        <v>0.81111111111111112</v>
      </c>
      <c r="H714" s="5">
        <v>0.8</v>
      </c>
      <c r="I714" s="5">
        <v>0.05</v>
      </c>
      <c r="J714" s="6">
        <v>0.61111111111111116</v>
      </c>
      <c r="K714" s="6">
        <v>0.91606060606060602</v>
      </c>
      <c r="L714" s="6">
        <v>0.85232096354538756</v>
      </c>
      <c r="M714" s="4" t="s">
        <v>63</v>
      </c>
      <c r="N714" s="4">
        <v>0.1106704995233057</v>
      </c>
      <c r="O714" s="4">
        <v>0</v>
      </c>
    </row>
    <row r="715" spans="1:15" x14ac:dyDescent="0.3">
      <c r="A715" s="4">
        <v>239</v>
      </c>
      <c r="B715" s="4">
        <v>239000</v>
      </c>
      <c r="C715" s="4" t="s">
        <v>163</v>
      </c>
      <c r="D715" s="4" t="s">
        <v>161</v>
      </c>
      <c r="E715" s="4" t="s">
        <v>17</v>
      </c>
      <c r="F715" s="4" t="s">
        <v>18</v>
      </c>
      <c r="G715" s="5">
        <v>0.81111111111111112</v>
      </c>
      <c r="H715" s="5">
        <v>0.8</v>
      </c>
      <c r="I715" s="5">
        <v>0.05</v>
      </c>
      <c r="J715" s="6">
        <v>0.660377358490566</v>
      </c>
      <c r="K715" s="6">
        <v>0.88857142857142846</v>
      </c>
      <c r="L715" s="6">
        <v>0.80010571550376142</v>
      </c>
      <c r="M715" s="4" t="s">
        <v>40</v>
      </c>
      <c r="N715" s="4">
        <v>0.1133527942912298</v>
      </c>
      <c r="O715" s="4">
        <v>0</v>
      </c>
    </row>
    <row r="716" spans="1:15" x14ac:dyDescent="0.3">
      <c r="A716" s="4">
        <v>240</v>
      </c>
      <c r="B716" s="4">
        <v>240000</v>
      </c>
      <c r="C716" s="4" t="s">
        <v>163</v>
      </c>
      <c r="D716" s="4" t="s">
        <v>161</v>
      </c>
      <c r="E716" s="4" t="s">
        <v>17</v>
      </c>
      <c r="F716" s="4" t="s">
        <v>18</v>
      </c>
      <c r="G716" s="5">
        <v>0.81111111111111112</v>
      </c>
      <c r="H716" s="5">
        <v>0.8</v>
      </c>
      <c r="I716" s="5">
        <v>0.05</v>
      </c>
      <c r="J716" s="6">
        <v>0.64814814814814814</v>
      </c>
      <c r="K716" s="6">
        <v>0.88914285714285701</v>
      </c>
      <c r="L716" s="6">
        <v>0.7961619257904835</v>
      </c>
      <c r="M716" s="4" t="s">
        <v>63</v>
      </c>
      <c r="N716" s="4">
        <v>0.1105051292192159</v>
      </c>
      <c r="O716" s="4">
        <v>0</v>
      </c>
    </row>
    <row r="717" spans="1:15" x14ac:dyDescent="0.3">
      <c r="A717" s="4">
        <v>241</v>
      </c>
      <c r="B717" s="4">
        <v>241000</v>
      </c>
      <c r="C717" s="4" t="s">
        <v>163</v>
      </c>
      <c r="D717" s="4" t="s">
        <v>161</v>
      </c>
      <c r="E717" s="4" t="s">
        <v>17</v>
      </c>
      <c r="F717" s="4" t="s">
        <v>18</v>
      </c>
      <c r="G717" s="5">
        <v>0.81111111111111112</v>
      </c>
      <c r="H717" s="5">
        <v>0.8</v>
      </c>
      <c r="I717" s="5">
        <v>0.05</v>
      </c>
      <c r="J717" s="6">
        <v>0.660377358490566</v>
      </c>
      <c r="K717" s="6">
        <v>0.88971428571428557</v>
      </c>
      <c r="L717" s="6">
        <v>0.80518707571691794</v>
      </c>
      <c r="M717" s="4" t="s">
        <v>47</v>
      </c>
      <c r="N717" s="4">
        <v>0.1078916044061837</v>
      </c>
      <c r="O717" s="4">
        <v>0</v>
      </c>
    </row>
    <row r="718" spans="1:15" x14ac:dyDescent="0.3">
      <c r="A718" s="4">
        <v>242</v>
      </c>
      <c r="B718" s="4">
        <v>242000</v>
      </c>
      <c r="C718" s="4" t="s">
        <v>163</v>
      </c>
      <c r="D718" s="4" t="s">
        <v>161</v>
      </c>
      <c r="E718" s="4" t="s">
        <v>17</v>
      </c>
      <c r="F718" s="4" t="s">
        <v>18</v>
      </c>
      <c r="G718" s="5">
        <v>0.81111111111111112</v>
      </c>
      <c r="H718" s="5">
        <v>0.8</v>
      </c>
      <c r="I718" s="5">
        <v>0.05</v>
      </c>
      <c r="J718" s="6">
        <v>0.64150943396226412</v>
      </c>
      <c r="K718" s="6">
        <v>0.89029411764705868</v>
      </c>
      <c r="L718" s="6">
        <v>0.79570350080095731</v>
      </c>
      <c r="M718" s="4" t="s">
        <v>142</v>
      </c>
      <c r="N718" s="4">
        <v>0.109765155127831</v>
      </c>
      <c r="O718" s="4">
        <v>0</v>
      </c>
    </row>
    <row r="719" spans="1:15" x14ac:dyDescent="0.3">
      <c r="A719" s="4">
        <v>243</v>
      </c>
      <c r="B719" s="4">
        <v>243000</v>
      </c>
      <c r="C719" s="4" t="s">
        <v>163</v>
      </c>
      <c r="D719" s="4" t="s">
        <v>161</v>
      </c>
      <c r="E719" s="4" t="s">
        <v>17</v>
      </c>
      <c r="F719" s="4" t="s">
        <v>18</v>
      </c>
      <c r="G719" s="5">
        <v>0.81111111111111112</v>
      </c>
      <c r="H719" s="5">
        <v>0.8</v>
      </c>
      <c r="I719" s="5">
        <v>0.05</v>
      </c>
      <c r="J719" s="6">
        <v>0.62264150943396224</v>
      </c>
      <c r="K719" s="6">
        <v>0.89303030303030273</v>
      </c>
      <c r="L719" s="6">
        <v>0.8080320890227437</v>
      </c>
      <c r="M719" s="4" t="s">
        <v>103</v>
      </c>
      <c r="N719" s="4">
        <v>0.1090337330991472</v>
      </c>
      <c r="O719" s="4">
        <v>0</v>
      </c>
    </row>
    <row r="720" spans="1:15" x14ac:dyDescent="0.3">
      <c r="A720" s="4">
        <v>244</v>
      </c>
      <c r="B720" s="4">
        <v>244000</v>
      </c>
      <c r="C720" s="4" t="s">
        <v>163</v>
      </c>
      <c r="D720" s="4" t="s">
        <v>161</v>
      </c>
      <c r="E720" s="4" t="s">
        <v>17</v>
      </c>
      <c r="F720" s="4" t="s">
        <v>18</v>
      </c>
      <c r="G720" s="5">
        <v>0.81111111111111112</v>
      </c>
      <c r="H720" s="5">
        <v>0.8</v>
      </c>
      <c r="I720" s="5">
        <v>0.05</v>
      </c>
      <c r="J720" s="6">
        <v>0.61111111111111116</v>
      </c>
      <c r="K720" s="6">
        <v>0.89333333333333309</v>
      </c>
      <c r="L720" s="6">
        <v>0.8110320872903416</v>
      </c>
      <c r="M720" s="4" t="s">
        <v>47</v>
      </c>
      <c r="N720" s="4">
        <v>0.10835425008238569</v>
      </c>
      <c r="O720" s="4">
        <v>0</v>
      </c>
    </row>
    <row r="721" spans="1:15" x14ac:dyDescent="0.3">
      <c r="A721" s="4">
        <v>245</v>
      </c>
      <c r="B721" s="4">
        <v>245000</v>
      </c>
      <c r="C721" s="4" t="s">
        <v>163</v>
      </c>
      <c r="D721" s="4" t="s">
        <v>161</v>
      </c>
      <c r="E721" s="4" t="s">
        <v>17</v>
      </c>
      <c r="F721" s="4" t="s">
        <v>18</v>
      </c>
      <c r="G721" s="5">
        <v>0.81111111111111112</v>
      </c>
      <c r="H721" s="5">
        <v>0.8</v>
      </c>
      <c r="I721" s="5">
        <v>0.05</v>
      </c>
      <c r="J721" s="6">
        <v>0.60377358490566035</v>
      </c>
      <c r="K721" s="6">
        <v>0.8921874999999998</v>
      </c>
      <c r="L721" s="6">
        <v>0.78356495455087505</v>
      </c>
      <c r="M721" s="4" t="s">
        <v>136</v>
      </c>
      <c r="N721" s="4">
        <v>0.10643168385395189</v>
      </c>
      <c r="O721" s="4">
        <v>0</v>
      </c>
    </row>
    <row r="722" spans="1:15" x14ac:dyDescent="0.3">
      <c r="A722" s="4">
        <v>246</v>
      </c>
      <c r="B722" s="4">
        <v>246000</v>
      </c>
      <c r="C722" s="4" t="s">
        <v>163</v>
      </c>
      <c r="D722" s="4" t="s">
        <v>161</v>
      </c>
      <c r="E722" s="4" t="s">
        <v>17</v>
      </c>
      <c r="F722" s="4" t="s">
        <v>18</v>
      </c>
      <c r="G722" s="5">
        <v>0.81111111111111112</v>
      </c>
      <c r="H722" s="5">
        <v>0.8</v>
      </c>
      <c r="I722" s="5">
        <v>0.05</v>
      </c>
      <c r="J722" s="6">
        <v>0.60377358490566035</v>
      </c>
      <c r="K722" s="6">
        <v>0.89156249999999981</v>
      </c>
      <c r="L722" s="6">
        <v>0.78890353795924573</v>
      </c>
      <c r="M722" s="4" t="s">
        <v>47</v>
      </c>
      <c r="N722" s="4">
        <v>0.1079636633726221</v>
      </c>
      <c r="O722" s="4">
        <v>0</v>
      </c>
    </row>
    <row r="723" spans="1:15" x14ac:dyDescent="0.3">
      <c r="A723" s="4">
        <v>247</v>
      </c>
      <c r="B723" s="4">
        <v>247000</v>
      </c>
      <c r="C723" s="4" t="s">
        <v>163</v>
      </c>
      <c r="D723" s="4" t="s">
        <v>161</v>
      </c>
      <c r="E723" s="4" t="s">
        <v>17</v>
      </c>
      <c r="F723" s="4" t="s">
        <v>18</v>
      </c>
      <c r="G723" s="5">
        <v>0.81111111111111112</v>
      </c>
      <c r="H723" s="5">
        <v>0.8</v>
      </c>
      <c r="I723" s="5">
        <v>0.05</v>
      </c>
      <c r="J723" s="6">
        <v>0.58490566037735847</v>
      </c>
      <c r="K723" s="6">
        <v>0.88838709677419336</v>
      </c>
      <c r="L723" s="6">
        <v>0.76743192605337829</v>
      </c>
      <c r="M723" s="4" t="s">
        <v>47</v>
      </c>
      <c r="N723" s="4">
        <v>0.1082845087215594</v>
      </c>
      <c r="O723" s="4">
        <v>0</v>
      </c>
    </row>
    <row r="724" spans="1:15" x14ac:dyDescent="0.3">
      <c r="A724" s="4">
        <v>248</v>
      </c>
      <c r="B724" s="4">
        <v>248000</v>
      </c>
      <c r="C724" s="4" t="s">
        <v>163</v>
      </c>
      <c r="D724" s="4" t="s">
        <v>161</v>
      </c>
      <c r="E724" s="4" t="s">
        <v>17</v>
      </c>
      <c r="F724" s="4" t="s">
        <v>18</v>
      </c>
      <c r="G724" s="5">
        <v>0.81111111111111112</v>
      </c>
      <c r="H724" s="5">
        <v>0.8</v>
      </c>
      <c r="I724" s="5">
        <v>0.05</v>
      </c>
      <c r="J724" s="6">
        <v>0.55555555555555558</v>
      </c>
      <c r="K724" s="6">
        <v>0.88799999999999979</v>
      </c>
      <c r="L724" s="6">
        <v>0.771374193664084</v>
      </c>
      <c r="M724" s="4" t="s">
        <v>142</v>
      </c>
      <c r="N724" s="4">
        <v>0.11008615598397931</v>
      </c>
      <c r="O724" s="4">
        <v>0</v>
      </c>
    </row>
    <row r="725" spans="1:15" x14ac:dyDescent="0.3">
      <c r="A725" s="4">
        <v>249</v>
      </c>
      <c r="B725" s="4">
        <v>249000</v>
      </c>
      <c r="C725" s="4" t="s">
        <v>163</v>
      </c>
      <c r="D725" s="4" t="s">
        <v>161</v>
      </c>
      <c r="E725" s="4" t="s">
        <v>17</v>
      </c>
      <c r="F725" s="4" t="s">
        <v>18</v>
      </c>
      <c r="G725" s="5">
        <v>0.81111111111111112</v>
      </c>
      <c r="H725" s="5">
        <v>0.8</v>
      </c>
      <c r="I725" s="5">
        <v>0.05</v>
      </c>
      <c r="J725" s="6">
        <v>0.55555555555555558</v>
      </c>
      <c r="K725" s="6">
        <v>0.8899999999999999</v>
      </c>
      <c r="L725" s="6">
        <v>0.77413878819310356</v>
      </c>
      <c r="M725" s="4" t="s">
        <v>142</v>
      </c>
      <c r="N725" s="4">
        <v>0.1098192619722947</v>
      </c>
      <c r="O725" s="4">
        <v>0</v>
      </c>
    </row>
    <row r="726" spans="1:15" x14ac:dyDescent="0.3">
      <c r="A726" s="4">
        <v>250</v>
      </c>
      <c r="B726" s="4">
        <v>250000</v>
      </c>
      <c r="C726" s="4" t="s">
        <v>163</v>
      </c>
      <c r="D726" s="4" t="s">
        <v>161</v>
      </c>
      <c r="E726" s="4" t="s">
        <v>17</v>
      </c>
      <c r="F726" s="4" t="s">
        <v>18</v>
      </c>
      <c r="G726" s="5">
        <v>0.81111111111111112</v>
      </c>
      <c r="H726" s="5">
        <v>0.8</v>
      </c>
      <c r="I726" s="5">
        <v>0.05</v>
      </c>
      <c r="J726" s="6">
        <v>0.57407407407407407</v>
      </c>
      <c r="K726" s="6">
        <v>0.89193548387096755</v>
      </c>
      <c r="L726" s="6">
        <v>0.79491193863397447</v>
      </c>
      <c r="M726" s="4" t="s">
        <v>142</v>
      </c>
      <c r="N726" s="4">
        <v>0.1102859481548073</v>
      </c>
      <c r="O726" s="4">
        <v>0</v>
      </c>
    </row>
    <row r="727" spans="1:15" x14ac:dyDescent="0.3">
      <c r="A727" s="4">
        <v>251</v>
      </c>
      <c r="B727" s="4">
        <v>251000</v>
      </c>
      <c r="C727" s="4" t="s">
        <v>163</v>
      </c>
      <c r="D727" s="4" t="s">
        <v>161</v>
      </c>
      <c r="E727" s="4" t="s">
        <v>17</v>
      </c>
      <c r="F727" s="4" t="s">
        <v>18</v>
      </c>
      <c r="G727" s="5">
        <v>0.81111111111111112</v>
      </c>
      <c r="H727" s="5">
        <v>0.8</v>
      </c>
      <c r="I727" s="5">
        <v>0.05</v>
      </c>
      <c r="J727" s="6">
        <v>0.55555555555555558</v>
      </c>
      <c r="K727" s="6">
        <v>0.89066666666666638</v>
      </c>
      <c r="L727" s="6">
        <v>0.76990459937673805</v>
      </c>
      <c r="M727" s="4" t="s">
        <v>25</v>
      </c>
      <c r="N727" s="4">
        <v>0.1122414905224558</v>
      </c>
      <c r="O727" s="4">
        <v>0</v>
      </c>
    </row>
    <row r="728" spans="1:15" x14ac:dyDescent="0.3">
      <c r="A728" s="4">
        <v>252</v>
      </c>
      <c r="B728" s="4">
        <v>252000</v>
      </c>
      <c r="C728" s="4" t="s">
        <v>163</v>
      </c>
      <c r="D728" s="4" t="s">
        <v>161</v>
      </c>
      <c r="E728" s="4" t="s">
        <v>17</v>
      </c>
      <c r="F728" s="4" t="s">
        <v>18</v>
      </c>
      <c r="G728" s="5">
        <v>0.81111111111111112</v>
      </c>
      <c r="H728" s="5">
        <v>0.8</v>
      </c>
      <c r="I728" s="5">
        <v>0.05</v>
      </c>
      <c r="J728" s="6">
        <v>0.56603773584905659</v>
      </c>
      <c r="K728" s="6">
        <v>0.89033333333333309</v>
      </c>
      <c r="L728" s="6">
        <v>0.77805052529400398</v>
      </c>
      <c r="M728" s="4" t="s">
        <v>25</v>
      </c>
      <c r="N728" s="4">
        <v>0.1119847807377921</v>
      </c>
      <c r="O728" s="4">
        <v>0</v>
      </c>
    </row>
    <row r="729" spans="1:15" x14ac:dyDescent="0.3">
      <c r="A729" s="4">
        <v>253</v>
      </c>
      <c r="B729" s="4">
        <v>253000</v>
      </c>
      <c r="C729" s="4" t="s">
        <v>163</v>
      </c>
      <c r="D729" s="4" t="s">
        <v>161</v>
      </c>
      <c r="E729" s="4" t="s">
        <v>17</v>
      </c>
      <c r="F729" s="4" t="s">
        <v>18</v>
      </c>
      <c r="G729" s="5">
        <v>0.81111111111111112</v>
      </c>
      <c r="H729" s="5">
        <v>0.8</v>
      </c>
      <c r="I729" s="5">
        <v>0.05</v>
      </c>
      <c r="J729" s="6">
        <v>0.5535714285714286</v>
      </c>
      <c r="K729" s="6">
        <v>0.88870967741935458</v>
      </c>
      <c r="L729" s="6">
        <v>0.77376693315355427</v>
      </c>
      <c r="M729" s="4" t="s">
        <v>103</v>
      </c>
      <c r="N729" s="4">
        <v>0.1093608334118015</v>
      </c>
      <c r="O729" s="4">
        <v>0</v>
      </c>
    </row>
    <row r="730" spans="1:15" x14ac:dyDescent="0.3">
      <c r="A730" s="4">
        <v>254</v>
      </c>
      <c r="B730" s="4">
        <v>254000</v>
      </c>
      <c r="C730" s="4" t="s">
        <v>163</v>
      </c>
      <c r="D730" s="4" t="s">
        <v>161</v>
      </c>
      <c r="E730" s="4" t="s">
        <v>17</v>
      </c>
      <c r="F730" s="4" t="s">
        <v>18</v>
      </c>
      <c r="G730" s="5">
        <v>0.81111111111111112</v>
      </c>
      <c r="H730" s="5">
        <v>0.8</v>
      </c>
      <c r="I730" s="5">
        <v>0.05</v>
      </c>
      <c r="J730" s="6">
        <v>0.54385964912280704</v>
      </c>
      <c r="K730" s="6">
        <v>0.89096774193548356</v>
      </c>
      <c r="L730" s="6">
        <v>0.78519469344975601</v>
      </c>
      <c r="M730" s="4" t="s">
        <v>25</v>
      </c>
      <c r="N730" s="4">
        <v>0.1118101760212724</v>
      </c>
      <c r="O730" s="4">
        <v>0</v>
      </c>
    </row>
    <row r="731" spans="1:15" x14ac:dyDescent="0.3">
      <c r="A731" s="4">
        <v>255</v>
      </c>
      <c r="B731" s="4">
        <v>255000</v>
      </c>
      <c r="C731" s="4" t="s">
        <v>163</v>
      </c>
      <c r="D731" s="4" t="s">
        <v>161</v>
      </c>
      <c r="E731" s="4" t="s">
        <v>17</v>
      </c>
      <c r="F731" s="4" t="s">
        <v>18</v>
      </c>
      <c r="G731" s="5">
        <v>0.81111111111111112</v>
      </c>
      <c r="H731" s="5">
        <v>0.8</v>
      </c>
      <c r="I731" s="5">
        <v>0.05</v>
      </c>
      <c r="J731" s="6">
        <v>0.50847457627118642</v>
      </c>
      <c r="K731" s="6">
        <v>0.89166666666666639</v>
      </c>
      <c r="L731" s="6">
        <v>0.78241322413486025</v>
      </c>
      <c r="M731" s="4" t="s">
        <v>47</v>
      </c>
      <c r="N731" s="4">
        <v>0.1083763947348096</v>
      </c>
      <c r="O731" s="4">
        <v>0</v>
      </c>
    </row>
    <row r="732" spans="1:15" x14ac:dyDescent="0.3">
      <c r="A732" s="4">
        <v>256</v>
      </c>
      <c r="B732" s="4">
        <v>256000</v>
      </c>
      <c r="C732" s="4" t="s">
        <v>163</v>
      </c>
      <c r="D732" s="4" t="s">
        <v>161</v>
      </c>
      <c r="E732" s="4" t="s">
        <v>17</v>
      </c>
      <c r="F732" s="4" t="s">
        <v>18</v>
      </c>
      <c r="G732" s="5">
        <v>0.81111111111111112</v>
      </c>
      <c r="H732" s="5">
        <v>0.8</v>
      </c>
      <c r="I732" s="5">
        <v>0.05</v>
      </c>
      <c r="J732" s="6">
        <v>0.49152542372881358</v>
      </c>
      <c r="K732" s="6">
        <v>0.88862068965517216</v>
      </c>
      <c r="L732" s="6">
        <v>0.77027894541884412</v>
      </c>
      <c r="M732" s="4" t="s">
        <v>63</v>
      </c>
      <c r="N732" s="4">
        <v>0.1110752082669671</v>
      </c>
      <c r="O732" s="4">
        <v>0</v>
      </c>
    </row>
    <row r="733" spans="1:15" x14ac:dyDescent="0.3">
      <c r="A733" s="4">
        <v>257</v>
      </c>
      <c r="B733" s="4">
        <v>257000</v>
      </c>
      <c r="C733" s="4" t="s">
        <v>163</v>
      </c>
      <c r="D733" s="4" t="s">
        <v>161</v>
      </c>
      <c r="E733" s="4" t="s">
        <v>17</v>
      </c>
      <c r="F733" s="4" t="s">
        <v>18</v>
      </c>
      <c r="G733" s="5">
        <v>0.81111111111111112</v>
      </c>
      <c r="H733" s="5">
        <v>0.8</v>
      </c>
      <c r="I733" s="5">
        <v>0.05</v>
      </c>
      <c r="J733" s="6">
        <v>0.49152542372881358</v>
      </c>
      <c r="K733" s="6">
        <v>0.88724137931034475</v>
      </c>
      <c r="L733" s="6">
        <v>0.76805121984196711</v>
      </c>
      <c r="M733" s="4" t="s">
        <v>63</v>
      </c>
      <c r="N733" s="4">
        <v>0.1113273512787285</v>
      </c>
      <c r="O733" s="4">
        <v>0</v>
      </c>
    </row>
    <row r="734" spans="1:15" x14ac:dyDescent="0.3">
      <c r="A734" s="4">
        <v>258</v>
      </c>
      <c r="B734" s="4">
        <v>258000</v>
      </c>
      <c r="C734" s="4" t="s">
        <v>163</v>
      </c>
      <c r="D734" s="4" t="s">
        <v>161</v>
      </c>
      <c r="E734" s="4" t="s">
        <v>17</v>
      </c>
      <c r="F734" s="4" t="s">
        <v>18</v>
      </c>
      <c r="G734" s="5">
        <v>0.81111111111111112</v>
      </c>
      <c r="H734" s="5">
        <v>0.8</v>
      </c>
      <c r="I734" s="5">
        <v>0.05</v>
      </c>
      <c r="J734" s="6">
        <v>0.49152542372881358</v>
      </c>
      <c r="K734" s="6">
        <v>0.88724137931034475</v>
      </c>
      <c r="L734" s="6">
        <v>0.77017338015167314</v>
      </c>
      <c r="M734" s="4" t="s">
        <v>25</v>
      </c>
      <c r="N734" s="4">
        <v>0.11195796471076511</v>
      </c>
      <c r="O734" s="4">
        <v>0</v>
      </c>
    </row>
    <row r="735" spans="1:15" x14ac:dyDescent="0.3">
      <c r="A735" s="4">
        <v>259</v>
      </c>
      <c r="B735" s="4">
        <v>259000</v>
      </c>
      <c r="C735" s="4" t="s">
        <v>163</v>
      </c>
      <c r="D735" s="4" t="s">
        <v>161</v>
      </c>
      <c r="E735" s="4" t="s">
        <v>17</v>
      </c>
      <c r="F735" s="4" t="s">
        <v>18</v>
      </c>
      <c r="G735" s="5">
        <v>0.81111111111111112</v>
      </c>
      <c r="H735" s="5">
        <v>0.8</v>
      </c>
      <c r="I735" s="5">
        <v>0.05</v>
      </c>
      <c r="J735" s="6">
        <v>0.47457627118644069</v>
      </c>
      <c r="K735" s="6">
        <v>0.88714285714285679</v>
      </c>
      <c r="L735" s="6">
        <v>0.7760942225362617</v>
      </c>
      <c r="M735" s="4" t="s">
        <v>40</v>
      </c>
      <c r="N735" s="4">
        <v>0.1129466403709395</v>
      </c>
      <c r="O735" s="4">
        <v>0</v>
      </c>
    </row>
    <row r="736" spans="1:15" x14ac:dyDescent="0.3">
      <c r="A736" s="4">
        <v>260</v>
      </c>
      <c r="B736" s="4">
        <v>260000</v>
      </c>
      <c r="C736" s="4" t="s">
        <v>163</v>
      </c>
      <c r="D736" s="4" t="s">
        <v>161</v>
      </c>
      <c r="E736" s="4" t="s">
        <v>17</v>
      </c>
      <c r="F736" s="4" t="s">
        <v>18</v>
      </c>
      <c r="G736" s="5">
        <v>0.81111111111111112</v>
      </c>
      <c r="H736" s="5">
        <v>0.8</v>
      </c>
      <c r="I736" s="5">
        <v>0.05</v>
      </c>
      <c r="J736" s="6">
        <v>0.47457627118644069</v>
      </c>
      <c r="K736" s="6">
        <v>0.88571428571428545</v>
      </c>
      <c r="L736" s="6">
        <v>0.77636466244992941</v>
      </c>
      <c r="M736" s="4" t="s">
        <v>84</v>
      </c>
      <c r="N736" s="4">
        <v>0.1141907262522998</v>
      </c>
      <c r="O736" s="4">
        <v>0</v>
      </c>
    </row>
    <row r="737" spans="1:15" x14ac:dyDescent="0.3">
      <c r="A737" s="4">
        <v>261</v>
      </c>
      <c r="B737" s="4">
        <v>261000</v>
      </c>
      <c r="C737" s="4" t="s">
        <v>163</v>
      </c>
      <c r="D737" s="4" t="s">
        <v>161</v>
      </c>
      <c r="E737" s="4" t="s">
        <v>17</v>
      </c>
      <c r="F737" s="4" t="s">
        <v>18</v>
      </c>
      <c r="G737" s="5">
        <v>0.81111111111111112</v>
      </c>
      <c r="H737" s="5">
        <v>0.8</v>
      </c>
      <c r="I737" s="5">
        <v>0.05</v>
      </c>
      <c r="J737" s="6">
        <v>0.47457627118644069</v>
      </c>
      <c r="K737" s="6">
        <v>0.88607142857142851</v>
      </c>
      <c r="L737" s="6">
        <v>0.77762634158082267</v>
      </c>
      <c r="M737" s="4" t="s">
        <v>207</v>
      </c>
      <c r="N737" s="4">
        <v>0.1165538292404231</v>
      </c>
      <c r="O737" s="4">
        <v>0</v>
      </c>
    </row>
    <row r="738" spans="1:15" x14ac:dyDescent="0.3">
      <c r="A738" s="4">
        <v>262</v>
      </c>
      <c r="B738" s="4">
        <v>262000</v>
      </c>
      <c r="C738" s="4" t="s">
        <v>163</v>
      </c>
      <c r="D738" s="4" t="s">
        <v>161</v>
      </c>
      <c r="E738" s="4" t="s">
        <v>17</v>
      </c>
      <c r="F738" s="4" t="s">
        <v>18</v>
      </c>
      <c r="G738" s="5">
        <v>0.81111111111111112</v>
      </c>
      <c r="H738" s="5">
        <v>0.8</v>
      </c>
      <c r="I738" s="5">
        <v>0.05</v>
      </c>
      <c r="J738" s="6">
        <v>0.47457627118644069</v>
      </c>
      <c r="K738" s="6">
        <v>0.88535714285714284</v>
      </c>
      <c r="L738" s="6">
        <v>0.78031002873845823</v>
      </c>
      <c r="M738" s="4" t="s">
        <v>36</v>
      </c>
      <c r="N738" s="4">
        <v>0.116469963301156</v>
      </c>
      <c r="O738" s="4">
        <v>0</v>
      </c>
    </row>
    <row r="739" spans="1:15" x14ac:dyDescent="0.3">
      <c r="A739" s="4">
        <v>263</v>
      </c>
      <c r="B739" s="4">
        <v>263000</v>
      </c>
      <c r="C739" s="4" t="s">
        <v>163</v>
      </c>
      <c r="D739" s="4" t="s">
        <v>161</v>
      </c>
      <c r="E739" s="4" t="s">
        <v>17</v>
      </c>
      <c r="F739" s="4" t="s">
        <v>18</v>
      </c>
      <c r="G739" s="5">
        <v>0.81111111111111112</v>
      </c>
      <c r="H739" s="5">
        <v>0.8</v>
      </c>
      <c r="I739" s="5">
        <v>0.05</v>
      </c>
      <c r="J739" s="6">
        <v>0.5</v>
      </c>
      <c r="K739" s="6">
        <v>0.88689655172413773</v>
      </c>
      <c r="L739" s="6">
        <v>0.82167473839054028</v>
      </c>
      <c r="M739" s="4" t="s">
        <v>112</v>
      </c>
      <c r="N739" s="4">
        <v>0.12325831399444891</v>
      </c>
      <c r="O739" s="4">
        <v>0</v>
      </c>
    </row>
    <row r="740" spans="1:15" x14ac:dyDescent="0.3">
      <c r="A740" s="4">
        <v>264</v>
      </c>
      <c r="B740" s="4">
        <v>264000</v>
      </c>
      <c r="C740" s="4" t="s">
        <v>163</v>
      </c>
      <c r="D740" s="4" t="s">
        <v>161</v>
      </c>
      <c r="E740" s="4" t="s">
        <v>17</v>
      </c>
      <c r="F740" s="4" t="s">
        <v>18</v>
      </c>
      <c r="G740" s="5">
        <v>0.81111111111111112</v>
      </c>
      <c r="H740" s="5">
        <v>0.8</v>
      </c>
      <c r="I740" s="5">
        <v>0.05</v>
      </c>
      <c r="J740" s="6">
        <v>0.50877192982456143</v>
      </c>
      <c r="K740" s="6">
        <v>0.88724137931034464</v>
      </c>
      <c r="L740" s="6">
        <v>0.82207525661473035</v>
      </c>
      <c r="M740" s="4" t="s">
        <v>112</v>
      </c>
      <c r="N740" s="4">
        <v>0.1232379944966943</v>
      </c>
      <c r="O740" s="4">
        <v>0</v>
      </c>
    </row>
    <row r="741" spans="1:15" x14ac:dyDescent="0.3">
      <c r="A741" s="4">
        <v>265</v>
      </c>
      <c r="B741" s="4">
        <v>265000</v>
      </c>
      <c r="C741" s="4" t="s">
        <v>163</v>
      </c>
      <c r="D741" s="4" t="s">
        <v>161</v>
      </c>
      <c r="E741" s="4" t="s">
        <v>17</v>
      </c>
      <c r="F741" s="4" t="s">
        <v>18</v>
      </c>
      <c r="G741" s="5">
        <v>0.81111111111111112</v>
      </c>
      <c r="H741" s="5">
        <v>0.8</v>
      </c>
      <c r="I741" s="5">
        <v>0.05</v>
      </c>
      <c r="J741" s="6">
        <v>0.5</v>
      </c>
      <c r="K741" s="6">
        <v>0.88678571428571418</v>
      </c>
      <c r="L741" s="6">
        <v>0.82104986923528001</v>
      </c>
      <c r="M741" s="4" t="s">
        <v>58</v>
      </c>
      <c r="N741" s="4">
        <v>0.1249671677158922</v>
      </c>
      <c r="O741" s="4">
        <v>0</v>
      </c>
    </row>
    <row r="742" spans="1:15" x14ac:dyDescent="0.3">
      <c r="A742" s="4">
        <v>266</v>
      </c>
      <c r="B742" s="4">
        <v>266000</v>
      </c>
      <c r="C742" s="4" t="s">
        <v>163</v>
      </c>
      <c r="D742" s="4" t="s">
        <v>161</v>
      </c>
      <c r="E742" s="4" t="s">
        <v>17</v>
      </c>
      <c r="F742" s="4" t="s">
        <v>18</v>
      </c>
      <c r="G742" s="5">
        <v>0.81111111111111112</v>
      </c>
      <c r="H742" s="5">
        <v>0.8</v>
      </c>
      <c r="I742" s="5">
        <v>0.05</v>
      </c>
      <c r="J742" s="6">
        <v>0.48214285714285721</v>
      </c>
      <c r="K742" s="6">
        <v>0.88555555555555543</v>
      </c>
      <c r="L742" s="6">
        <v>0.81562741067458056</v>
      </c>
      <c r="M742" s="4" t="s">
        <v>29</v>
      </c>
      <c r="N742" s="4">
        <v>0.1209168765031312</v>
      </c>
      <c r="O742" s="4">
        <v>0</v>
      </c>
    </row>
    <row r="743" spans="1:15" x14ac:dyDescent="0.3">
      <c r="A743" s="4">
        <v>267</v>
      </c>
      <c r="B743" s="4">
        <v>267000</v>
      </c>
      <c r="C743" s="4" t="s">
        <v>163</v>
      </c>
      <c r="D743" s="4" t="s">
        <v>161</v>
      </c>
      <c r="E743" s="4" t="s">
        <v>17</v>
      </c>
      <c r="F743" s="4" t="s">
        <v>18</v>
      </c>
      <c r="G743" s="5">
        <v>0.81111111111111112</v>
      </c>
      <c r="H743" s="5">
        <v>0.8</v>
      </c>
      <c r="I743" s="5">
        <v>0.05</v>
      </c>
      <c r="J743" s="6">
        <v>0.48214285714285721</v>
      </c>
      <c r="K743" s="6">
        <v>0.88370370370370355</v>
      </c>
      <c r="L743" s="6">
        <v>0.82118781550675246</v>
      </c>
      <c r="M743" s="4" t="s">
        <v>112</v>
      </c>
      <c r="N743" s="4">
        <v>0.12264070568941381</v>
      </c>
      <c r="O743" s="4">
        <v>0</v>
      </c>
    </row>
    <row r="744" spans="1:15" x14ac:dyDescent="0.3">
      <c r="A744" s="4">
        <v>268</v>
      </c>
      <c r="B744" s="4">
        <v>268000</v>
      </c>
      <c r="C744" s="4" t="s">
        <v>163</v>
      </c>
      <c r="D744" s="4" t="s">
        <v>161</v>
      </c>
      <c r="E744" s="4" t="s">
        <v>17</v>
      </c>
      <c r="F744" s="4" t="s">
        <v>18</v>
      </c>
      <c r="G744" s="5">
        <v>0.81111111111111112</v>
      </c>
      <c r="H744" s="5">
        <v>0.8</v>
      </c>
      <c r="I744" s="5">
        <v>0.05</v>
      </c>
      <c r="J744" s="6">
        <v>0.47368421052631582</v>
      </c>
      <c r="K744" s="6">
        <v>0.88333333333333308</v>
      </c>
      <c r="L744" s="6">
        <v>0.82267528223410569</v>
      </c>
      <c r="M744" s="4" t="s">
        <v>112</v>
      </c>
      <c r="N744" s="4">
        <v>0.1228488901583718</v>
      </c>
      <c r="O744" s="4">
        <v>0</v>
      </c>
    </row>
    <row r="745" spans="1:15" x14ac:dyDescent="0.3">
      <c r="A745" s="4">
        <v>269</v>
      </c>
      <c r="B745" s="4">
        <v>269000</v>
      </c>
      <c r="C745" s="4" t="s">
        <v>163</v>
      </c>
      <c r="D745" s="4" t="s">
        <v>161</v>
      </c>
      <c r="E745" s="4" t="s">
        <v>17</v>
      </c>
      <c r="F745" s="4" t="s">
        <v>18</v>
      </c>
      <c r="G745" s="5">
        <v>0.81111111111111112</v>
      </c>
      <c r="H745" s="5">
        <v>0.8</v>
      </c>
      <c r="I745" s="5">
        <v>0.05</v>
      </c>
      <c r="J745" s="6">
        <v>0.48214285714285721</v>
      </c>
      <c r="K745" s="6">
        <v>0.8814814814814812</v>
      </c>
      <c r="L745" s="6">
        <v>0.81993854275458045</v>
      </c>
      <c r="M745" s="4" t="s">
        <v>207</v>
      </c>
      <c r="N745" s="4">
        <v>0.1174751504011516</v>
      </c>
      <c r="O745" s="4">
        <v>0</v>
      </c>
    </row>
    <row r="746" spans="1:15" x14ac:dyDescent="0.3">
      <c r="A746" s="4">
        <v>270</v>
      </c>
      <c r="B746" s="4">
        <v>270000</v>
      </c>
      <c r="C746" s="4" t="s">
        <v>163</v>
      </c>
      <c r="D746" s="4" t="s">
        <v>161</v>
      </c>
      <c r="E746" s="4" t="s">
        <v>17</v>
      </c>
      <c r="F746" s="4" t="s">
        <v>18</v>
      </c>
      <c r="G746" s="5">
        <v>0.81111111111111112</v>
      </c>
      <c r="H746" s="5">
        <v>0.8</v>
      </c>
      <c r="I746" s="5">
        <v>0.05</v>
      </c>
      <c r="J746" s="6">
        <v>0.48214285714285721</v>
      </c>
      <c r="K746" s="6">
        <v>0.8814814814814812</v>
      </c>
      <c r="L746" s="6">
        <v>0.82012442826882259</v>
      </c>
      <c r="M746" s="4" t="s">
        <v>68</v>
      </c>
      <c r="N746" s="4">
        <v>0.118126768450553</v>
      </c>
      <c r="O746" s="4">
        <v>0</v>
      </c>
    </row>
    <row r="747" spans="1:15" x14ac:dyDescent="0.3">
      <c r="A747" s="4">
        <v>271</v>
      </c>
      <c r="B747" s="4">
        <v>271000</v>
      </c>
      <c r="C747" s="4" t="s">
        <v>163</v>
      </c>
      <c r="D747" s="4" t="s">
        <v>161</v>
      </c>
      <c r="E747" s="4" t="s">
        <v>17</v>
      </c>
      <c r="F747" s="4" t="s">
        <v>18</v>
      </c>
      <c r="G747" s="5">
        <v>0.81111111111111112</v>
      </c>
      <c r="H747" s="5">
        <v>0.8</v>
      </c>
      <c r="I747" s="5">
        <v>0.05</v>
      </c>
      <c r="J747" s="6">
        <v>0.48214285714285721</v>
      </c>
      <c r="K747" s="6">
        <v>0.8814814814814812</v>
      </c>
      <c r="L747" s="6">
        <v>0.82107190503416927</v>
      </c>
      <c r="M747" s="4" t="s">
        <v>68</v>
      </c>
      <c r="N747" s="4">
        <v>0.1184259037792265</v>
      </c>
      <c r="O747" s="4">
        <v>0</v>
      </c>
    </row>
    <row r="748" spans="1:15" x14ac:dyDescent="0.3">
      <c r="A748" s="4">
        <v>272</v>
      </c>
      <c r="B748" s="4">
        <v>272000</v>
      </c>
      <c r="C748" s="4" t="s">
        <v>163</v>
      </c>
      <c r="D748" s="4" t="s">
        <v>161</v>
      </c>
      <c r="E748" s="4" t="s">
        <v>17</v>
      </c>
      <c r="F748" s="4" t="s">
        <v>18</v>
      </c>
      <c r="G748" s="5">
        <v>0.81111111111111112</v>
      </c>
      <c r="H748" s="5">
        <v>0.8</v>
      </c>
      <c r="I748" s="5">
        <v>0.05</v>
      </c>
      <c r="J748" s="6">
        <v>0.48214285714285721</v>
      </c>
      <c r="K748" s="6">
        <v>0.88074074074074049</v>
      </c>
      <c r="L748" s="6">
        <v>0.82024249974831376</v>
      </c>
      <c r="M748" s="4" t="s">
        <v>91</v>
      </c>
      <c r="N748" s="4">
        <v>0.11931729130444479</v>
      </c>
      <c r="O748" s="4">
        <v>0</v>
      </c>
    </row>
    <row r="749" spans="1:15" x14ac:dyDescent="0.3">
      <c r="A749" s="4">
        <v>273</v>
      </c>
      <c r="B749" s="4">
        <v>273000</v>
      </c>
      <c r="C749" s="4" t="s">
        <v>163</v>
      </c>
      <c r="D749" s="4" t="s">
        <v>161</v>
      </c>
      <c r="E749" s="4" t="s">
        <v>17</v>
      </c>
      <c r="F749" s="4" t="s">
        <v>18</v>
      </c>
      <c r="G749" s="5">
        <v>0.81111111111111112</v>
      </c>
      <c r="H749" s="5">
        <v>0.8</v>
      </c>
      <c r="I749" s="5">
        <v>0.05</v>
      </c>
      <c r="J749" s="6">
        <v>0.47368421052631582</v>
      </c>
      <c r="K749" s="6">
        <v>0.88444444444444403</v>
      </c>
      <c r="L749" s="6">
        <v>0.87689104868916001</v>
      </c>
      <c r="M749" s="4" t="s">
        <v>91</v>
      </c>
      <c r="N749" s="4">
        <v>0.1194151880658948</v>
      </c>
      <c r="O749" s="4">
        <v>0</v>
      </c>
    </row>
    <row r="750" spans="1:15" x14ac:dyDescent="0.3">
      <c r="A750" s="4">
        <v>274</v>
      </c>
      <c r="B750" s="4">
        <v>274000</v>
      </c>
      <c r="C750" s="4" t="s">
        <v>163</v>
      </c>
      <c r="D750" s="4" t="s">
        <v>161</v>
      </c>
      <c r="E750" s="4" t="s">
        <v>17</v>
      </c>
      <c r="F750" s="4" t="s">
        <v>18</v>
      </c>
      <c r="G750" s="5">
        <v>0.81111111111111112</v>
      </c>
      <c r="H750" s="5">
        <v>0.8</v>
      </c>
      <c r="I750" s="5">
        <v>0.05</v>
      </c>
      <c r="J750" s="6">
        <v>0.43103448275862072</v>
      </c>
      <c r="K750" s="6">
        <v>0.91559999999999975</v>
      </c>
      <c r="L750" s="6">
        <v>0.86050209632886798</v>
      </c>
      <c r="M750" s="4" t="s">
        <v>29</v>
      </c>
      <c r="N750" s="4">
        <v>0.12093934722166109</v>
      </c>
      <c r="O750" s="4">
        <v>0</v>
      </c>
    </row>
    <row r="751" spans="1:15" x14ac:dyDescent="0.3">
      <c r="A751" s="4">
        <v>275</v>
      </c>
      <c r="B751" s="4">
        <v>275000</v>
      </c>
      <c r="C751" s="4" t="s">
        <v>163</v>
      </c>
      <c r="D751" s="4" t="s">
        <v>161</v>
      </c>
      <c r="E751" s="4" t="s">
        <v>17</v>
      </c>
      <c r="F751" s="4" t="s">
        <v>18</v>
      </c>
      <c r="G751" s="5">
        <v>0.81111111111111112</v>
      </c>
      <c r="H751" s="5">
        <v>0.8</v>
      </c>
      <c r="I751" s="5">
        <v>0.05</v>
      </c>
      <c r="J751" s="6">
        <v>0.43103448275862072</v>
      </c>
      <c r="K751" s="6">
        <v>0.91239999999999966</v>
      </c>
      <c r="L751" s="6">
        <v>0.78724019787301247</v>
      </c>
      <c r="M751" s="4" t="s">
        <v>29</v>
      </c>
      <c r="N751" s="4">
        <v>0.1208497323110207</v>
      </c>
      <c r="O751" s="4">
        <v>0</v>
      </c>
    </row>
    <row r="752" spans="1:15" x14ac:dyDescent="0.3">
      <c r="A752" s="4">
        <v>276</v>
      </c>
      <c r="B752" s="4">
        <v>276000</v>
      </c>
      <c r="C752" s="4" t="s">
        <v>163</v>
      </c>
      <c r="D752" s="4" t="s">
        <v>161</v>
      </c>
      <c r="E752" s="4" t="s">
        <v>17</v>
      </c>
      <c r="F752" s="4" t="s">
        <v>18</v>
      </c>
      <c r="G752" s="5">
        <v>0.81111111111111112</v>
      </c>
      <c r="H752" s="5">
        <v>0.8</v>
      </c>
      <c r="I752" s="5">
        <v>0.05</v>
      </c>
      <c r="J752" s="6">
        <v>0.44067796610169491</v>
      </c>
      <c r="K752" s="6">
        <v>0.90884615384615342</v>
      </c>
      <c r="L752" s="6">
        <v>0.81578157815047059</v>
      </c>
      <c r="M752" s="4" t="s">
        <v>75</v>
      </c>
      <c r="N752" s="4">
        <v>0.1260161534298776</v>
      </c>
      <c r="O752" s="4">
        <v>0</v>
      </c>
    </row>
    <row r="753" spans="1:15" x14ac:dyDescent="0.3">
      <c r="A753" s="4">
        <v>277</v>
      </c>
      <c r="B753" s="4">
        <v>277000</v>
      </c>
      <c r="C753" s="4" t="s">
        <v>163</v>
      </c>
      <c r="D753" s="4" t="s">
        <v>161</v>
      </c>
      <c r="E753" s="4" t="s">
        <v>17</v>
      </c>
      <c r="F753" s="4" t="s">
        <v>18</v>
      </c>
      <c r="G753" s="5">
        <v>0.81111111111111112</v>
      </c>
      <c r="H753" s="5">
        <v>0.8</v>
      </c>
      <c r="I753" s="5">
        <v>0.05</v>
      </c>
      <c r="J753" s="6">
        <v>0.42372881355932202</v>
      </c>
      <c r="K753" s="6">
        <v>0.91399999999999959</v>
      </c>
      <c r="L753" s="6">
        <v>0.85015120707778458</v>
      </c>
      <c r="M753" s="4" t="s">
        <v>75</v>
      </c>
      <c r="N753" s="4">
        <v>0.1257136327440414</v>
      </c>
      <c r="O753" s="4">
        <v>0</v>
      </c>
    </row>
    <row r="754" spans="1:15" x14ac:dyDescent="0.3">
      <c r="A754" s="4">
        <v>278</v>
      </c>
      <c r="B754" s="4">
        <v>278000</v>
      </c>
      <c r="C754" s="4" t="s">
        <v>163</v>
      </c>
      <c r="D754" s="4" t="s">
        <v>161</v>
      </c>
      <c r="E754" s="4" t="s">
        <v>17</v>
      </c>
      <c r="F754" s="4" t="s">
        <v>18</v>
      </c>
      <c r="G754" s="5">
        <v>0.81111111111111112</v>
      </c>
      <c r="H754" s="5">
        <v>0.8</v>
      </c>
      <c r="I754" s="5">
        <v>0.05</v>
      </c>
      <c r="J754" s="6">
        <v>0.40677966101694918</v>
      </c>
      <c r="K754" s="6">
        <v>0.91708333333333292</v>
      </c>
      <c r="L754" s="6">
        <v>0.82605787458617641</v>
      </c>
      <c r="M754" s="4" t="s">
        <v>42</v>
      </c>
      <c r="N754" s="4">
        <v>0.1294971879114325</v>
      </c>
      <c r="O754" s="4">
        <v>0</v>
      </c>
    </row>
    <row r="755" spans="1:15" x14ac:dyDescent="0.3">
      <c r="A755" s="4">
        <v>279</v>
      </c>
      <c r="B755" s="4">
        <v>279000</v>
      </c>
      <c r="C755" s="4" t="s">
        <v>163</v>
      </c>
      <c r="D755" s="4" t="s">
        <v>161</v>
      </c>
      <c r="E755" s="4" t="s">
        <v>17</v>
      </c>
      <c r="F755" s="4" t="s">
        <v>18</v>
      </c>
      <c r="G755" s="5">
        <v>0.81111111111111112</v>
      </c>
      <c r="H755" s="5">
        <v>0.8</v>
      </c>
      <c r="I755" s="5">
        <v>0.05</v>
      </c>
      <c r="J755" s="6">
        <v>0.41666666666666669</v>
      </c>
      <c r="K755" s="6">
        <v>0.91639999999999955</v>
      </c>
      <c r="L755" s="6">
        <v>0.85775622006392227</v>
      </c>
      <c r="M755" s="4" t="s">
        <v>98</v>
      </c>
      <c r="N755" s="4">
        <v>0.12990318630268849</v>
      </c>
      <c r="O755" s="4">
        <v>0</v>
      </c>
    </row>
    <row r="756" spans="1:15" x14ac:dyDescent="0.3">
      <c r="A756" s="4">
        <v>280</v>
      </c>
      <c r="B756" s="4">
        <v>280000</v>
      </c>
      <c r="C756" s="4" t="s">
        <v>163</v>
      </c>
      <c r="D756" s="4" t="s">
        <v>161</v>
      </c>
      <c r="E756" s="4" t="s">
        <v>17</v>
      </c>
      <c r="F756" s="4" t="s">
        <v>18</v>
      </c>
      <c r="G756" s="5">
        <v>0.81111111111111112</v>
      </c>
      <c r="H756" s="5">
        <v>0.8</v>
      </c>
      <c r="I756" s="5">
        <v>0.05</v>
      </c>
      <c r="J756" s="6">
        <v>0.42372881355932202</v>
      </c>
      <c r="K756" s="6">
        <v>0.91559999999999975</v>
      </c>
      <c r="L756" s="6">
        <v>0.85765914714640212</v>
      </c>
      <c r="M756" s="4" t="s">
        <v>100</v>
      </c>
      <c r="N756" s="4">
        <v>0.1312416466922022</v>
      </c>
      <c r="O756" s="4">
        <v>0</v>
      </c>
    </row>
    <row r="757" spans="1:15" x14ac:dyDescent="0.3">
      <c r="A757" s="4">
        <v>281</v>
      </c>
      <c r="B757" s="4">
        <v>281000</v>
      </c>
      <c r="C757" s="4" t="s">
        <v>163</v>
      </c>
      <c r="D757" s="4" t="s">
        <v>161</v>
      </c>
      <c r="E757" s="4" t="s">
        <v>17</v>
      </c>
      <c r="F757" s="4" t="s">
        <v>18</v>
      </c>
      <c r="G757" s="5">
        <v>0.81111111111111112</v>
      </c>
      <c r="H757" s="5">
        <v>0.8</v>
      </c>
      <c r="I757" s="5">
        <v>0.05</v>
      </c>
      <c r="J757" s="6">
        <v>0.42372881355932202</v>
      </c>
      <c r="K757" s="6">
        <v>0.91799999999999959</v>
      </c>
      <c r="L757" s="6">
        <v>0.85822327745401339</v>
      </c>
      <c r="M757" s="4" t="s">
        <v>32</v>
      </c>
      <c r="N757" s="4">
        <v>0.13195647455385981</v>
      </c>
      <c r="O757" s="4">
        <v>0</v>
      </c>
    </row>
    <row r="758" spans="1:15" x14ac:dyDescent="0.3">
      <c r="A758" s="4">
        <v>282</v>
      </c>
      <c r="B758" s="4">
        <v>282000</v>
      </c>
      <c r="C758" s="4" t="s">
        <v>163</v>
      </c>
      <c r="D758" s="4" t="s">
        <v>161</v>
      </c>
      <c r="E758" s="4" t="s">
        <v>17</v>
      </c>
      <c r="F758" s="4" t="s">
        <v>18</v>
      </c>
      <c r="G758" s="5">
        <v>0.81111111111111112</v>
      </c>
      <c r="H758" s="5">
        <v>0.8</v>
      </c>
      <c r="I758" s="5">
        <v>0.05</v>
      </c>
      <c r="J758" s="6">
        <v>0.43103448275862072</v>
      </c>
      <c r="K758" s="6">
        <v>0.91799999999999959</v>
      </c>
      <c r="L758" s="6">
        <v>0.86338587848932669</v>
      </c>
      <c r="M758" s="4" t="s">
        <v>65</v>
      </c>
      <c r="N758" s="4">
        <v>0.13584712340347119</v>
      </c>
      <c r="O758" s="4">
        <v>0</v>
      </c>
    </row>
    <row r="759" spans="1:15" x14ac:dyDescent="0.3">
      <c r="A759" s="4">
        <v>283</v>
      </c>
      <c r="B759" s="4">
        <v>283000</v>
      </c>
      <c r="C759" s="4" t="s">
        <v>163</v>
      </c>
      <c r="D759" s="4" t="s">
        <v>161</v>
      </c>
      <c r="E759" s="4" t="s">
        <v>17</v>
      </c>
      <c r="F759" s="4" t="s">
        <v>18</v>
      </c>
      <c r="G759" s="5">
        <v>0.81111111111111112</v>
      </c>
      <c r="H759" s="5">
        <v>0.8</v>
      </c>
      <c r="I759" s="5">
        <v>0.05</v>
      </c>
      <c r="J759" s="6">
        <v>0.39655172413793099</v>
      </c>
      <c r="K759" s="6">
        <v>0.92217391304347796</v>
      </c>
      <c r="L759" s="6">
        <v>0.84323757904245711</v>
      </c>
      <c r="M759" s="4" t="s">
        <v>86</v>
      </c>
      <c r="N759" s="4">
        <v>0.1410185766108967</v>
      </c>
      <c r="O759" s="4">
        <v>0</v>
      </c>
    </row>
    <row r="760" spans="1:15" x14ac:dyDescent="0.3">
      <c r="A760" s="4">
        <v>284</v>
      </c>
      <c r="B760" s="4">
        <v>284000</v>
      </c>
      <c r="C760" s="4" t="s">
        <v>163</v>
      </c>
      <c r="D760" s="4" t="s">
        <v>161</v>
      </c>
      <c r="E760" s="4" t="s">
        <v>17</v>
      </c>
      <c r="F760" s="4" t="s">
        <v>18</v>
      </c>
      <c r="G760" s="5">
        <v>0.81111111111111112</v>
      </c>
      <c r="H760" s="5">
        <v>0.8</v>
      </c>
      <c r="I760" s="5">
        <v>0.05</v>
      </c>
      <c r="J760" s="6">
        <v>0.40350877192982448</v>
      </c>
      <c r="K760" s="6">
        <v>0.92173913043478228</v>
      </c>
      <c r="L760" s="6">
        <v>0.84303124569648702</v>
      </c>
      <c r="M760" s="4" t="s">
        <v>86</v>
      </c>
      <c r="N760" s="4">
        <v>0.14066078601918999</v>
      </c>
      <c r="O760" s="4">
        <v>0</v>
      </c>
    </row>
    <row r="761" spans="1:15" x14ac:dyDescent="0.3">
      <c r="A761" s="4">
        <v>285</v>
      </c>
      <c r="B761" s="4">
        <v>285000</v>
      </c>
      <c r="C761" s="4" t="s">
        <v>163</v>
      </c>
      <c r="D761" s="4" t="s">
        <v>161</v>
      </c>
      <c r="E761" s="4" t="s">
        <v>17</v>
      </c>
      <c r="F761" s="4" t="s">
        <v>18</v>
      </c>
      <c r="G761" s="5">
        <v>0.81111111111111112</v>
      </c>
      <c r="H761" s="5">
        <v>0.8</v>
      </c>
      <c r="I761" s="5">
        <v>0.05</v>
      </c>
      <c r="J761" s="6">
        <v>0.42105263157894729</v>
      </c>
      <c r="K761" s="6">
        <v>0.91708333333333292</v>
      </c>
      <c r="L761" s="6">
        <v>0.83411664072594083</v>
      </c>
      <c r="M761" s="4" t="s">
        <v>105</v>
      </c>
      <c r="N761" s="4">
        <v>0.1392272761593637</v>
      </c>
      <c r="O761" s="4">
        <v>0</v>
      </c>
    </row>
    <row r="762" spans="1:15" x14ac:dyDescent="0.3">
      <c r="A762" s="4">
        <v>286</v>
      </c>
      <c r="B762" s="4">
        <v>286000</v>
      </c>
      <c r="C762" s="4" t="s">
        <v>163</v>
      </c>
      <c r="D762" s="4" t="s">
        <v>161</v>
      </c>
      <c r="E762" s="4" t="s">
        <v>17</v>
      </c>
      <c r="F762" s="4" t="s">
        <v>18</v>
      </c>
      <c r="G762" s="5">
        <v>0.81111111111111112</v>
      </c>
      <c r="H762" s="5">
        <v>0.8</v>
      </c>
      <c r="I762" s="5">
        <v>0.05</v>
      </c>
      <c r="J762" s="6">
        <v>0.43103448275862072</v>
      </c>
      <c r="K762" s="6">
        <v>0.91439999999999966</v>
      </c>
      <c r="L762" s="6">
        <v>0.83922996000999428</v>
      </c>
      <c r="M762" s="4" t="s">
        <v>34</v>
      </c>
      <c r="N762" s="4">
        <v>0.1429923067759811</v>
      </c>
      <c r="O762" s="4">
        <v>0</v>
      </c>
    </row>
    <row r="763" spans="1:15" x14ac:dyDescent="0.3">
      <c r="A763" s="4">
        <v>287</v>
      </c>
      <c r="B763" s="4">
        <v>287000</v>
      </c>
      <c r="C763" s="4" t="s">
        <v>163</v>
      </c>
      <c r="D763" s="4" t="s">
        <v>161</v>
      </c>
      <c r="E763" s="4" t="s">
        <v>17</v>
      </c>
      <c r="F763" s="4" t="s">
        <v>18</v>
      </c>
      <c r="G763" s="5">
        <v>0.81111111111111112</v>
      </c>
      <c r="H763" s="5">
        <v>0.8</v>
      </c>
      <c r="I763" s="5">
        <v>0.05</v>
      </c>
      <c r="J763" s="6">
        <v>0.43103448275862072</v>
      </c>
      <c r="K763" s="6">
        <v>0.91399999999999959</v>
      </c>
      <c r="L763" s="6">
        <v>0.84748265720825944</v>
      </c>
      <c r="M763" s="4" t="s">
        <v>122</v>
      </c>
      <c r="N763" s="4">
        <v>0.14648738556292179</v>
      </c>
      <c r="O763" s="4">
        <v>0</v>
      </c>
    </row>
    <row r="764" spans="1:15" x14ac:dyDescent="0.3">
      <c r="A764" s="4">
        <v>288</v>
      </c>
      <c r="B764" s="4">
        <v>288000</v>
      </c>
      <c r="C764" s="4" t="s">
        <v>163</v>
      </c>
      <c r="D764" s="4" t="s">
        <v>161</v>
      </c>
      <c r="E764" s="4" t="s">
        <v>17</v>
      </c>
      <c r="F764" s="4" t="s">
        <v>18</v>
      </c>
      <c r="G764" s="5">
        <v>0.81111111111111112</v>
      </c>
      <c r="H764" s="5">
        <v>0.4</v>
      </c>
      <c r="I764" s="5">
        <v>0.05</v>
      </c>
      <c r="J764" s="6">
        <v>0.43103448275862072</v>
      </c>
      <c r="K764" s="6">
        <v>0.91359999999999975</v>
      </c>
      <c r="L764" s="6">
        <v>0.8474890360572932</v>
      </c>
      <c r="M764" s="4" t="s">
        <v>96</v>
      </c>
      <c r="N764" s="4">
        <v>0.1503312133022208</v>
      </c>
      <c r="O764" s="4">
        <v>1</v>
      </c>
    </row>
    <row r="765" spans="1:15" x14ac:dyDescent="0.3">
      <c r="A765" s="4">
        <v>289</v>
      </c>
      <c r="B765" s="4">
        <v>289000</v>
      </c>
      <c r="C765" s="4" t="s">
        <v>163</v>
      </c>
      <c r="D765" s="4" t="s">
        <v>161</v>
      </c>
      <c r="E765" s="4" t="s">
        <v>17</v>
      </c>
      <c r="F765" s="4" t="s">
        <v>18</v>
      </c>
      <c r="G765" s="5">
        <v>0.81111111111111112</v>
      </c>
      <c r="H765" s="5">
        <v>0.4</v>
      </c>
      <c r="I765" s="5">
        <v>0.05</v>
      </c>
      <c r="J765" s="6">
        <v>0.43103448275862072</v>
      </c>
      <c r="K765" s="6">
        <v>0.91319999999999968</v>
      </c>
      <c r="L765" s="6">
        <v>0.84833544021111251</v>
      </c>
      <c r="M765" s="4" t="s">
        <v>208</v>
      </c>
      <c r="N765" s="4">
        <v>1.476486936055952E-2</v>
      </c>
      <c r="O765" s="4">
        <v>0</v>
      </c>
    </row>
    <row r="766" spans="1:15" x14ac:dyDescent="0.3">
      <c r="A766" s="4">
        <v>290</v>
      </c>
      <c r="B766" s="4">
        <v>290000</v>
      </c>
      <c r="C766" s="4" t="s">
        <v>163</v>
      </c>
      <c r="D766" s="4" t="s">
        <v>161</v>
      </c>
      <c r="E766" s="4" t="s">
        <v>17</v>
      </c>
      <c r="F766" s="4" t="s">
        <v>18</v>
      </c>
      <c r="G766" s="5">
        <v>0.81111111111111112</v>
      </c>
      <c r="H766" s="5">
        <v>0.4</v>
      </c>
      <c r="I766" s="5">
        <v>0.05</v>
      </c>
      <c r="J766" s="6">
        <v>0.4642857142857143</v>
      </c>
      <c r="K766" s="6">
        <v>0.9119230769230765</v>
      </c>
      <c r="L766" s="6">
        <v>0.87230379187803753</v>
      </c>
      <c r="M766" s="4" t="s">
        <v>209</v>
      </c>
      <c r="N766" s="4">
        <v>3.2789939992155903E-2</v>
      </c>
      <c r="O766" s="4">
        <v>0</v>
      </c>
    </row>
    <row r="767" spans="1:15" x14ac:dyDescent="0.3">
      <c r="A767" s="4">
        <v>291</v>
      </c>
      <c r="B767" s="4">
        <v>291000</v>
      </c>
      <c r="C767" s="4" t="s">
        <v>163</v>
      </c>
      <c r="D767" s="4" t="s">
        <v>161</v>
      </c>
      <c r="E767" s="4" t="s">
        <v>17</v>
      </c>
      <c r="F767" s="4" t="s">
        <v>18</v>
      </c>
      <c r="G767" s="5">
        <v>0.81111111111111112</v>
      </c>
      <c r="H767" s="5">
        <v>0.4</v>
      </c>
      <c r="I767" s="5">
        <v>0.05</v>
      </c>
      <c r="J767" s="6">
        <v>0.44642857142857151</v>
      </c>
      <c r="K767" s="6">
        <v>0.91559999999999964</v>
      </c>
      <c r="L767" s="6">
        <v>0.87321998689312597</v>
      </c>
      <c r="M767" s="4" t="s">
        <v>203</v>
      </c>
      <c r="N767" s="4">
        <v>3.5219863300281401E-2</v>
      </c>
      <c r="O767" s="4">
        <v>0</v>
      </c>
    </row>
    <row r="768" spans="1:15" x14ac:dyDescent="0.3">
      <c r="A768" s="4">
        <v>292</v>
      </c>
      <c r="B768" s="4">
        <v>292000</v>
      </c>
      <c r="C768" s="4" t="s">
        <v>163</v>
      </c>
      <c r="D768" s="4" t="s">
        <v>161</v>
      </c>
      <c r="E768" s="4" t="s">
        <v>17</v>
      </c>
      <c r="F768" s="4" t="s">
        <v>18</v>
      </c>
      <c r="G768" s="5">
        <v>0.81111111111111112</v>
      </c>
      <c r="H768" s="5">
        <v>0.4</v>
      </c>
      <c r="I768" s="5">
        <v>0.05</v>
      </c>
      <c r="J768" s="6">
        <v>0.44642857142857151</v>
      </c>
      <c r="K768" s="6">
        <v>0.91639999999999977</v>
      </c>
      <c r="L768" s="6">
        <v>0.87205555160201609</v>
      </c>
      <c r="M768" s="4" t="s">
        <v>204</v>
      </c>
      <c r="N768" s="4">
        <v>3.8631936734404772E-2</v>
      </c>
      <c r="O768" s="4">
        <v>0</v>
      </c>
    </row>
    <row r="769" spans="1:15" x14ac:dyDescent="0.3">
      <c r="A769" s="4">
        <v>293</v>
      </c>
      <c r="B769" s="4">
        <v>293000</v>
      </c>
      <c r="C769" s="4" t="s">
        <v>163</v>
      </c>
      <c r="D769" s="4" t="s">
        <v>161</v>
      </c>
      <c r="E769" s="4" t="s">
        <v>17</v>
      </c>
      <c r="F769" s="4" t="s">
        <v>18</v>
      </c>
      <c r="G769" s="5">
        <v>0.81111111111111112</v>
      </c>
      <c r="H769" s="5">
        <v>0.4</v>
      </c>
      <c r="I769" s="5">
        <v>0.05</v>
      </c>
      <c r="J769" s="6">
        <v>0.44642857142857151</v>
      </c>
      <c r="K769" s="6">
        <v>0.91719999999999968</v>
      </c>
      <c r="L769" s="6">
        <v>0.87528236609320853</v>
      </c>
      <c r="M769" s="4" t="s">
        <v>210</v>
      </c>
      <c r="N769" s="4">
        <v>4.1735030744088963E-2</v>
      </c>
      <c r="O769" s="4">
        <v>0</v>
      </c>
    </row>
    <row r="770" spans="1:15" x14ac:dyDescent="0.3">
      <c r="A770" s="4">
        <v>294</v>
      </c>
      <c r="B770" s="4">
        <v>294000</v>
      </c>
      <c r="C770" s="4" t="s">
        <v>163</v>
      </c>
      <c r="D770" s="4" t="s">
        <v>161</v>
      </c>
      <c r="E770" s="4" t="s">
        <v>17</v>
      </c>
      <c r="F770" s="4" t="s">
        <v>18</v>
      </c>
      <c r="G770" s="5">
        <v>0.81111111111111112</v>
      </c>
      <c r="H770" s="5">
        <v>0.4</v>
      </c>
      <c r="I770" s="5">
        <v>0.05</v>
      </c>
      <c r="J770" s="6">
        <v>0.48214285714285721</v>
      </c>
      <c r="K770" s="6">
        <v>0.91555555555555523</v>
      </c>
      <c r="L770" s="6">
        <v>0.89151072694526778</v>
      </c>
      <c r="M770" s="4" t="s">
        <v>193</v>
      </c>
      <c r="N770" s="4">
        <v>4.7509123173672181E-2</v>
      </c>
      <c r="O770" s="4">
        <v>0</v>
      </c>
    </row>
    <row r="771" spans="1:15" x14ac:dyDescent="0.3">
      <c r="A771" s="4">
        <v>295</v>
      </c>
      <c r="B771" s="4">
        <v>295000</v>
      </c>
      <c r="C771" s="4" t="s">
        <v>163</v>
      </c>
      <c r="D771" s="4" t="s">
        <v>161</v>
      </c>
      <c r="E771" s="4" t="s">
        <v>17</v>
      </c>
      <c r="F771" s="4" t="s">
        <v>18</v>
      </c>
      <c r="G771" s="5">
        <v>0.81111111111111112</v>
      </c>
      <c r="H771" s="5">
        <v>0.4</v>
      </c>
      <c r="I771" s="5">
        <v>0.05</v>
      </c>
      <c r="J771" s="6">
        <v>0.4642857142857143</v>
      </c>
      <c r="K771" s="6">
        <v>0.91884615384615376</v>
      </c>
      <c r="L771" s="6">
        <v>0.87362091107673034</v>
      </c>
      <c r="M771" s="4" t="s">
        <v>181</v>
      </c>
      <c r="N771" s="4">
        <v>4.5789990711005077E-2</v>
      </c>
      <c r="O771" s="4">
        <v>0</v>
      </c>
    </row>
    <row r="772" spans="1:15" x14ac:dyDescent="0.3">
      <c r="A772" s="4">
        <v>296</v>
      </c>
      <c r="B772" s="4">
        <v>296000</v>
      </c>
      <c r="C772" s="4" t="s">
        <v>163</v>
      </c>
      <c r="D772" s="4" t="s">
        <v>161</v>
      </c>
      <c r="E772" s="4" t="s">
        <v>17</v>
      </c>
      <c r="F772" s="4" t="s">
        <v>18</v>
      </c>
      <c r="G772" s="5">
        <v>0.81111111111111112</v>
      </c>
      <c r="H772" s="5">
        <v>0.4</v>
      </c>
      <c r="I772" s="5">
        <v>0.05</v>
      </c>
      <c r="J772" s="6">
        <v>0.4642857142857143</v>
      </c>
      <c r="K772" s="6">
        <v>0.92076923076923056</v>
      </c>
      <c r="L772" s="6">
        <v>0.87217515026389025</v>
      </c>
      <c r="M772" s="4" t="s">
        <v>193</v>
      </c>
      <c r="N772" s="4">
        <v>4.8379376475742759E-2</v>
      </c>
      <c r="O772" s="4">
        <v>0</v>
      </c>
    </row>
    <row r="773" spans="1:15" x14ac:dyDescent="0.3">
      <c r="A773" s="4">
        <v>297</v>
      </c>
      <c r="B773" s="4">
        <v>297000</v>
      </c>
      <c r="C773" s="4" t="s">
        <v>163</v>
      </c>
      <c r="D773" s="4" t="s">
        <v>161</v>
      </c>
      <c r="E773" s="4" t="s">
        <v>17</v>
      </c>
      <c r="F773" s="4" t="s">
        <v>18</v>
      </c>
      <c r="G773" s="5">
        <v>0.81111111111111112</v>
      </c>
      <c r="H773" s="5">
        <v>0.4</v>
      </c>
      <c r="I773" s="5">
        <v>0.05</v>
      </c>
      <c r="J773" s="6">
        <v>0.47368421052631582</v>
      </c>
      <c r="K773" s="6">
        <v>0.91925925925925889</v>
      </c>
      <c r="L773" s="6">
        <v>0.87890377079935833</v>
      </c>
      <c r="M773" s="4" t="s">
        <v>211</v>
      </c>
      <c r="N773" s="4">
        <v>4.9420545143651143E-2</v>
      </c>
      <c r="O773" s="4">
        <v>0</v>
      </c>
    </row>
    <row r="774" spans="1:15" x14ac:dyDescent="0.3">
      <c r="A774" s="4">
        <v>298</v>
      </c>
      <c r="B774" s="4">
        <v>298000</v>
      </c>
      <c r="C774" s="4" t="s">
        <v>163</v>
      </c>
      <c r="D774" s="4" t="s">
        <v>161</v>
      </c>
      <c r="E774" s="4" t="s">
        <v>17</v>
      </c>
      <c r="F774" s="4" t="s">
        <v>18</v>
      </c>
      <c r="G774" s="5">
        <v>0.81111111111111112</v>
      </c>
      <c r="H774" s="5">
        <v>0.4</v>
      </c>
      <c r="I774" s="5">
        <v>0.05</v>
      </c>
      <c r="J774" s="6">
        <v>0.5</v>
      </c>
      <c r="K774" s="6">
        <v>0.91821428571428521</v>
      </c>
      <c r="L774" s="6">
        <v>0.89409975096355687</v>
      </c>
      <c r="M774" s="4" t="s">
        <v>205</v>
      </c>
      <c r="N774" s="4">
        <v>5.5721838311996397E-2</v>
      </c>
      <c r="O774" s="4">
        <v>0</v>
      </c>
    </row>
    <row r="775" spans="1:15" x14ac:dyDescent="0.3">
      <c r="A775" s="4">
        <v>299</v>
      </c>
      <c r="B775" s="4">
        <v>299000</v>
      </c>
      <c r="C775" s="4" t="s">
        <v>163</v>
      </c>
      <c r="D775" s="4" t="s">
        <v>161</v>
      </c>
      <c r="E775" s="4" t="s">
        <v>17</v>
      </c>
      <c r="F775" s="4" t="s">
        <v>18</v>
      </c>
      <c r="G775" s="5">
        <v>0.81111111111111112</v>
      </c>
      <c r="H775" s="5">
        <v>0.4</v>
      </c>
      <c r="I775" s="5">
        <v>0.05</v>
      </c>
      <c r="J775" s="6">
        <v>0.5</v>
      </c>
      <c r="K775" s="6">
        <v>0.91964285714285676</v>
      </c>
      <c r="L775" s="6">
        <v>0.89690436230949688</v>
      </c>
      <c r="M775" s="4" t="s">
        <v>175</v>
      </c>
      <c r="N775" s="4">
        <v>5.751878791078989E-2</v>
      </c>
      <c r="O775" s="4">
        <v>0</v>
      </c>
    </row>
    <row r="776" spans="1:15" x14ac:dyDescent="0.3">
      <c r="A776" s="4">
        <v>300</v>
      </c>
      <c r="B776" s="4">
        <v>300000</v>
      </c>
      <c r="C776" s="4" t="s">
        <v>163</v>
      </c>
      <c r="D776" s="4" t="s">
        <v>161</v>
      </c>
      <c r="E776" s="4" t="s">
        <v>17</v>
      </c>
      <c r="F776" s="4" t="s">
        <v>18</v>
      </c>
      <c r="G776" s="5">
        <v>0.81111111111111112</v>
      </c>
      <c r="H776" s="5">
        <v>0.4</v>
      </c>
      <c r="I776" s="5">
        <v>0.05</v>
      </c>
      <c r="J776" s="6">
        <v>0.44642857142857151</v>
      </c>
      <c r="K776" s="6">
        <v>0.92239999999999966</v>
      </c>
      <c r="L776" s="6">
        <v>0.85803667360941238</v>
      </c>
      <c r="M776" s="4" t="s">
        <v>206</v>
      </c>
      <c r="N776" s="4">
        <v>5.7378260995127058E-2</v>
      </c>
      <c r="O776" s="4">
        <v>0</v>
      </c>
    </row>
    <row r="777" spans="1:15" x14ac:dyDescent="0.3">
      <c r="A777" s="4">
        <v>301</v>
      </c>
      <c r="B777" s="4">
        <v>301000</v>
      </c>
      <c r="C777" s="4" t="s">
        <v>163</v>
      </c>
      <c r="D777" s="4" t="s">
        <v>161</v>
      </c>
      <c r="E777" s="4" t="s">
        <v>17</v>
      </c>
      <c r="F777" s="4" t="s">
        <v>18</v>
      </c>
      <c r="G777" s="5">
        <v>0.81111111111111112</v>
      </c>
      <c r="H777" s="5">
        <v>0.4</v>
      </c>
      <c r="I777" s="5">
        <v>0.05</v>
      </c>
      <c r="J777" s="6">
        <v>0.43859649122807021</v>
      </c>
      <c r="K777" s="6">
        <v>0.92079999999999973</v>
      </c>
      <c r="L777" s="6">
        <v>0.86086709459059385</v>
      </c>
      <c r="M777" s="4" t="s">
        <v>186</v>
      </c>
      <c r="N777" s="4">
        <v>6.5060231628651113E-2</v>
      </c>
      <c r="O777" s="4">
        <v>0</v>
      </c>
    </row>
    <row r="778" spans="1:15" x14ac:dyDescent="0.3">
      <c r="A778" s="4">
        <v>302</v>
      </c>
      <c r="B778" s="4">
        <v>302000</v>
      </c>
      <c r="C778" s="4" t="s">
        <v>163</v>
      </c>
      <c r="D778" s="4" t="s">
        <v>161</v>
      </c>
      <c r="E778" s="4" t="s">
        <v>17</v>
      </c>
      <c r="F778" s="4" t="s">
        <v>18</v>
      </c>
      <c r="G778" s="5">
        <v>0.81111111111111112</v>
      </c>
      <c r="H778" s="5">
        <v>0.4</v>
      </c>
      <c r="I778" s="5">
        <v>0.05</v>
      </c>
      <c r="J778" s="6">
        <v>0.43859649122807021</v>
      </c>
      <c r="K778" s="6">
        <v>0.9211999999999998</v>
      </c>
      <c r="L778" s="6">
        <v>0.8615106176700682</v>
      </c>
      <c r="M778" s="4" t="s">
        <v>26</v>
      </c>
      <c r="N778" s="4">
        <v>6.5651771229809086E-2</v>
      </c>
      <c r="O778" s="4">
        <v>0</v>
      </c>
    </row>
    <row r="779" spans="1:15" x14ac:dyDescent="0.3">
      <c r="A779" s="4">
        <v>303</v>
      </c>
      <c r="B779" s="4">
        <v>303000</v>
      </c>
      <c r="C779" s="4" t="s">
        <v>163</v>
      </c>
      <c r="D779" s="4" t="s">
        <v>161</v>
      </c>
      <c r="E779" s="4" t="s">
        <v>17</v>
      </c>
      <c r="F779" s="4" t="s">
        <v>18</v>
      </c>
      <c r="G779" s="5">
        <v>0.81111111111111112</v>
      </c>
      <c r="H779" s="5">
        <v>0.4</v>
      </c>
      <c r="I779" s="5">
        <v>0.05</v>
      </c>
      <c r="J779" s="6">
        <v>0.43859649122807021</v>
      </c>
      <c r="K779" s="6">
        <v>0.92079999999999973</v>
      </c>
      <c r="L779" s="6">
        <v>0.86491780033816956</v>
      </c>
      <c r="M779" s="4" t="s">
        <v>67</v>
      </c>
      <c r="N779" s="4">
        <v>7.1639932901500739E-2</v>
      </c>
      <c r="O779" s="4">
        <v>0</v>
      </c>
    </row>
    <row r="780" spans="1:15" x14ac:dyDescent="0.3">
      <c r="A780" s="4">
        <v>304</v>
      </c>
      <c r="B780" s="4">
        <v>304000</v>
      </c>
      <c r="C780" s="4" t="s">
        <v>163</v>
      </c>
      <c r="D780" s="4" t="s">
        <v>161</v>
      </c>
      <c r="E780" s="4" t="s">
        <v>17</v>
      </c>
      <c r="F780" s="4" t="s">
        <v>18</v>
      </c>
      <c r="G780" s="5">
        <v>0.81111111111111112</v>
      </c>
      <c r="H780" s="5">
        <v>0.4</v>
      </c>
      <c r="I780" s="5">
        <v>0.05</v>
      </c>
      <c r="J780" s="6">
        <v>0.45614035087719301</v>
      </c>
      <c r="K780" s="6">
        <v>0.91923076923076907</v>
      </c>
      <c r="L780" s="6">
        <v>0.88424331842076087</v>
      </c>
      <c r="M780" s="4" t="s">
        <v>67</v>
      </c>
      <c r="N780" s="4">
        <v>7.1902460956052683E-2</v>
      </c>
      <c r="O780" s="4">
        <v>0</v>
      </c>
    </row>
    <row r="781" spans="1:15" x14ac:dyDescent="0.3">
      <c r="A781" s="4">
        <v>305</v>
      </c>
      <c r="B781" s="4">
        <v>305000</v>
      </c>
      <c r="C781" s="4" t="s">
        <v>163</v>
      </c>
      <c r="D781" s="4" t="s">
        <v>161</v>
      </c>
      <c r="E781" s="4" t="s">
        <v>17</v>
      </c>
      <c r="F781" s="4" t="s">
        <v>18</v>
      </c>
      <c r="G781" s="5">
        <v>0.81111111111111112</v>
      </c>
      <c r="H781" s="5">
        <v>0.4</v>
      </c>
      <c r="I781" s="5">
        <v>0.05</v>
      </c>
      <c r="J781" s="6">
        <v>0.47368421052631582</v>
      </c>
      <c r="K781" s="6">
        <v>0.88481481481481461</v>
      </c>
      <c r="L781" s="6">
        <v>0.88288026395562225</v>
      </c>
      <c r="M781" s="4" t="s">
        <v>46</v>
      </c>
      <c r="N781" s="4">
        <v>7.910416032287261E-2</v>
      </c>
      <c r="O781" s="4">
        <v>0</v>
      </c>
    </row>
    <row r="782" spans="1:15" x14ac:dyDescent="0.3">
      <c r="A782" s="4">
        <v>306</v>
      </c>
      <c r="B782" s="4">
        <v>306000</v>
      </c>
      <c r="C782" s="4" t="s">
        <v>163</v>
      </c>
      <c r="D782" s="4" t="s">
        <v>161</v>
      </c>
      <c r="E782" s="4" t="s">
        <v>17</v>
      </c>
      <c r="F782" s="4" t="s">
        <v>18</v>
      </c>
      <c r="G782" s="5">
        <v>0.81111111111111112</v>
      </c>
      <c r="H782" s="5">
        <v>0.4</v>
      </c>
      <c r="I782" s="5">
        <v>0.05</v>
      </c>
      <c r="J782" s="6">
        <v>0.47368421052631582</v>
      </c>
      <c r="K782" s="6">
        <v>0.88481481481481461</v>
      </c>
      <c r="L782" s="6">
        <v>0.88446174583435766</v>
      </c>
      <c r="M782" s="4" t="s">
        <v>106</v>
      </c>
      <c r="N782" s="4">
        <v>8.2177834137644679E-2</v>
      </c>
      <c r="O782" s="4">
        <v>0</v>
      </c>
    </row>
    <row r="783" spans="1:15" x14ac:dyDescent="0.3">
      <c r="A783" s="4">
        <v>307</v>
      </c>
      <c r="B783" s="4">
        <v>307000</v>
      </c>
      <c r="C783" s="4" t="s">
        <v>163</v>
      </c>
      <c r="D783" s="4" t="s">
        <v>161</v>
      </c>
      <c r="E783" s="4" t="s">
        <v>17</v>
      </c>
      <c r="F783" s="4" t="s">
        <v>18</v>
      </c>
      <c r="G783" s="5">
        <v>0.81111111111111112</v>
      </c>
      <c r="H783" s="5">
        <v>0.4</v>
      </c>
      <c r="I783" s="5">
        <v>0.05</v>
      </c>
      <c r="J783" s="6">
        <v>0.48214285714285721</v>
      </c>
      <c r="K783" s="6">
        <v>0.88518518518518485</v>
      </c>
      <c r="L783" s="6">
        <v>0.88460617763183846</v>
      </c>
      <c r="M783" s="4" t="s">
        <v>21</v>
      </c>
      <c r="N783" s="4">
        <v>8.4466420618536125E-2</v>
      </c>
      <c r="O783" s="4">
        <v>0</v>
      </c>
    </row>
    <row r="784" spans="1:15" x14ac:dyDescent="0.3">
      <c r="A784" s="4">
        <v>308</v>
      </c>
      <c r="B784" s="4">
        <v>308000</v>
      </c>
      <c r="C784" s="4" t="s">
        <v>163</v>
      </c>
      <c r="D784" s="4" t="s">
        <v>161</v>
      </c>
      <c r="E784" s="4" t="s">
        <v>17</v>
      </c>
      <c r="F784" s="4" t="s">
        <v>18</v>
      </c>
      <c r="G784" s="5">
        <v>0.81111111111111112</v>
      </c>
      <c r="H784" s="5">
        <v>0.4</v>
      </c>
      <c r="I784" s="5">
        <v>0.05</v>
      </c>
      <c r="J784" s="6">
        <v>0.49122807017543862</v>
      </c>
      <c r="K784" s="6">
        <v>0.88428571428571423</v>
      </c>
      <c r="L784" s="6">
        <v>0.80049770761715144</v>
      </c>
      <c r="M784" s="4" t="s">
        <v>97</v>
      </c>
      <c r="N784" s="4">
        <v>8.5983650676934406E-2</v>
      </c>
      <c r="O784" s="4">
        <v>0</v>
      </c>
    </row>
    <row r="785" spans="1:15" x14ac:dyDescent="0.3">
      <c r="A785" s="4">
        <v>309</v>
      </c>
      <c r="B785" s="4">
        <v>309000</v>
      </c>
      <c r="C785" s="4" t="s">
        <v>163</v>
      </c>
      <c r="D785" s="4" t="s">
        <v>161</v>
      </c>
      <c r="E785" s="4" t="s">
        <v>17</v>
      </c>
      <c r="F785" s="4" t="s">
        <v>18</v>
      </c>
      <c r="G785" s="5">
        <v>0.81111111111111112</v>
      </c>
      <c r="H785" s="5">
        <v>0.4</v>
      </c>
      <c r="I785" s="5">
        <v>0.05</v>
      </c>
      <c r="J785" s="6">
        <v>0.49122807017543862</v>
      </c>
      <c r="K785" s="6">
        <v>0.88392857142857117</v>
      </c>
      <c r="L785" s="6">
        <v>0.79814672856614077</v>
      </c>
      <c r="M785" s="4" t="s">
        <v>50</v>
      </c>
      <c r="N785" s="4">
        <v>8.5184653316507264E-2</v>
      </c>
      <c r="O785" s="4">
        <v>0</v>
      </c>
    </row>
    <row r="786" spans="1:15" x14ac:dyDescent="0.3">
      <c r="A786" s="4">
        <v>310</v>
      </c>
      <c r="B786" s="4">
        <v>310000</v>
      </c>
      <c r="C786" s="4" t="s">
        <v>163</v>
      </c>
      <c r="D786" s="4" t="s">
        <v>161</v>
      </c>
      <c r="E786" s="4" t="s">
        <v>17</v>
      </c>
      <c r="F786" s="4" t="s">
        <v>18</v>
      </c>
      <c r="G786" s="5">
        <v>0.81111111111111112</v>
      </c>
      <c r="H786" s="5">
        <v>0.4</v>
      </c>
      <c r="I786" s="5">
        <v>0.05</v>
      </c>
      <c r="J786" s="6">
        <v>0.49122807017543862</v>
      </c>
      <c r="K786" s="6">
        <v>0.88392857142857117</v>
      </c>
      <c r="L786" s="6">
        <v>0.79759521815349366</v>
      </c>
      <c r="M786" s="4" t="s">
        <v>50</v>
      </c>
      <c r="N786" s="4">
        <v>8.5227089927248798E-2</v>
      </c>
      <c r="O786" s="4">
        <v>0</v>
      </c>
    </row>
    <row r="787" spans="1:15" x14ac:dyDescent="0.3">
      <c r="A787" s="4">
        <v>311</v>
      </c>
      <c r="B787" s="4">
        <v>311000</v>
      </c>
      <c r="C787" s="4" t="s">
        <v>163</v>
      </c>
      <c r="D787" s="4" t="s">
        <v>161</v>
      </c>
      <c r="E787" s="4" t="s">
        <v>17</v>
      </c>
      <c r="F787" s="4" t="s">
        <v>18</v>
      </c>
      <c r="G787" s="5">
        <v>0.81111111111111112</v>
      </c>
      <c r="H787" s="5">
        <v>0.4</v>
      </c>
      <c r="I787" s="5">
        <v>0.05</v>
      </c>
      <c r="J787" s="6">
        <v>0.49122807017543862</v>
      </c>
      <c r="K787" s="6">
        <v>0.88464285714285673</v>
      </c>
      <c r="L787" s="6">
        <v>0.80000496589100389</v>
      </c>
      <c r="M787" s="4" t="s">
        <v>118</v>
      </c>
      <c r="N787" s="4">
        <v>8.7306293094315826E-2</v>
      </c>
      <c r="O787" s="4">
        <v>0</v>
      </c>
    </row>
    <row r="788" spans="1:15" x14ac:dyDescent="0.3">
      <c r="A788" s="4">
        <v>312</v>
      </c>
      <c r="B788" s="4">
        <v>312000</v>
      </c>
      <c r="C788" s="4" t="s">
        <v>163</v>
      </c>
      <c r="D788" s="4" t="s">
        <v>161</v>
      </c>
      <c r="E788" s="4" t="s">
        <v>17</v>
      </c>
      <c r="F788" s="4" t="s">
        <v>18</v>
      </c>
      <c r="G788" s="5">
        <v>0.81111111111111112</v>
      </c>
      <c r="H788" s="5">
        <v>0.4</v>
      </c>
      <c r="I788" s="5">
        <v>0.05</v>
      </c>
      <c r="J788" s="6">
        <v>0.48275862068965519</v>
      </c>
      <c r="K788" s="6">
        <v>0.88357142857142834</v>
      </c>
      <c r="L788" s="6">
        <v>0.79813252991548767</v>
      </c>
      <c r="M788" s="4" t="s">
        <v>118</v>
      </c>
      <c r="N788" s="4">
        <v>8.7128121960622501E-2</v>
      </c>
      <c r="O788" s="4">
        <v>0</v>
      </c>
    </row>
    <row r="789" spans="1:15" x14ac:dyDescent="0.3">
      <c r="A789" s="4">
        <v>313</v>
      </c>
      <c r="B789" s="4">
        <v>313000</v>
      </c>
      <c r="C789" s="4" t="s">
        <v>163</v>
      </c>
      <c r="D789" s="4" t="s">
        <v>161</v>
      </c>
      <c r="E789" s="4" t="s">
        <v>17</v>
      </c>
      <c r="F789" s="4" t="s">
        <v>18</v>
      </c>
      <c r="G789" s="5">
        <v>0.81111111111111112</v>
      </c>
      <c r="H789" s="5">
        <v>0.4</v>
      </c>
      <c r="I789" s="5">
        <v>0.05</v>
      </c>
      <c r="J789" s="6">
        <v>0.47457627118644069</v>
      </c>
      <c r="K789" s="6">
        <v>0.88285714285714256</v>
      </c>
      <c r="L789" s="6">
        <v>0.79701065852880748</v>
      </c>
      <c r="M789" s="4" t="s">
        <v>118</v>
      </c>
      <c r="N789" s="4">
        <v>8.663558180408204E-2</v>
      </c>
      <c r="O789" s="4">
        <v>0</v>
      </c>
    </row>
    <row r="790" spans="1:15" x14ac:dyDescent="0.3">
      <c r="A790" s="4">
        <v>314</v>
      </c>
      <c r="B790" s="4">
        <v>314000</v>
      </c>
      <c r="C790" s="4" t="s">
        <v>163</v>
      </c>
      <c r="D790" s="4" t="s">
        <v>161</v>
      </c>
      <c r="E790" s="4" t="s">
        <v>17</v>
      </c>
      <c r="F790" s="4" t="s">
        <v>18</v>
      </c>
      <c r="G790" s="5">
        <v>0.81111111111111112</v>
      </c>
      <c r="H790" s="5">
        <v>0.4</v>
      </c>
      <c r="I790" s="5">
        <v>0.05</v>
      </c>
      <c r="J790" s="6">
        <v>0.46551724137931028</v>
      </c>
      <c r="K790" s="6">
        <v>0.88481481481481461</v>
      </c>
      <c r="L790" s="6">
        <v>0.7969781600695901</v>
      </c>
      <c r="M790" s="4" t="s">
        <v>49</v>
      </c>
      <c r="N790" s="4">
        <v>8.9844582415424964E-2</v>
      </c>
      <c r="O790" s="4">
        <v>0</v>
      </c>
    </row>
    <row r="791" spans="1:15" x14ac:dyDescent="0.3">
      <c r="A791" s="4">
        <v>315</v>
      </c>
      <c r="B791" s="4">
        <v>315000</v>
      </c>
      <c r="C791" s="4" t="s">
        <v>163</v>
      </c>
      <c r="D791" s="4" t="s">
        <v>161</v>
      </c>
      <c r="E791" s="4" t="s">
        <v>17</v>
      </c>
      <c r="F791" s="4" t="s">
        <v>18</v>
      </c>
      <c r="G791" s="5">
        <v>0.81111111111111112</v>
      </c>
      <c r="H791" s="5">
        <v>0.4</v>
      </c>
      <c r="I791" s="5">
        <v>0.05</v>
      </c>
      <c r="J791" s="6">
        <v>0.47368421052631582</v>
      </c>
      <c r="K791" s="6">
        <v>0.88444444444444426</v>
      </c>
      <c r="L791" s="6">
        <v>0.7991236108829618</v>
      </c>
      <c r="M791" s="4" t="s">
        <v>59</v>
      </c>
      <c r="N791" s="4">
        <v>9.1174252617537241E-2</v>
      </c>
      <c r="O791" s="4">
        <v>0</v>
      </c>
    </row>
    <row r="792" spans="1:15" x14ac:dyDescent="0.3">
      <c r="A792" s="4">
        <v>316</v>
      </c>
      <c r="B792" s="4">
        <v>316000</v>
      </c>
      <c r="C792" s="4" t="s">
        <v>163</v>
      </c>
      <c r="D792" s="4" t="s">
        <v>161</v>
      </c>
      <c r="E792" s="4" t="s">
        <v>17</v>
      </c>
      <c r="F792" s="4" t="s">
        <v>18</v>
      </c>
      <c r="G792" s="5">
        <v>0.81111111111111112</v>
      </c>
      <c r="H792" s="5">
        <v>0.4</v>
      </c>
      <c r="I792" s="5">
        <v>0.05</v>
      </c>
      <c r="J792" s="6">
        <v>0.49122807017543862</v>
      </c>
      <c r="K792" s="6">
        <v>0.88178571428571406</v>
      </c>
      <c r="L792" s="6">
        <v>0.79768924153324827</v>
      </c>
      <c r="M792" s="4" t="s">
        <v>39</v>
      </c>
      <c r="N792" s="4">
        <v>9.2533324647101373E-2</v>
      </c>
      <c r="O792" s="4">
        <v>0</v>
      </c>
    </row>
    <row r="793" spans="1:15" x14ac:dyDescent="0.3">
      <c r="A793" s="4">
        <v>317</v>
      </c>
      <c r="B793" s="4">
        <v>317000</v>
      </c>
      <c r="C793" s="4" t="s">
        <v>163</v>
      </c>
      <c r="D793" s="4" t="s">
        <v>161</v>
      </c>
      <c r="E793" s="4" t="s">
        <v>17</v>
      </c>
      <c r="F793" s="4" t="s">
        <v>18</v>
      </c>
      <c r="G793" s="5">
        <v>0.81111111111111112</v>
      </c>
      <c r="H793" s="5">
        <v>0.4</v>
      </c>
      <c r="I793" s="5">
        <v>0.05</v>
      </c>
      <c r="J793" s="6">
        <v>0.47368421052631582</v>
      </c>
      <c r="K793" s="6">
        <v>0.88370370370370332</v>
      </c>
      <c r="L793" s="6">
        <v>0.79734531063541847</v>
      </c>
      <c r="M793" s="4" t="s">
        <v>59</v>
      </c>
      <c r="N793" s="4">
        <v>9.0805618199171739E-2</v>
      </c>
      <c r="O793" s="4">
        <v>0</v>
      </c>
    </row>
    <row r="794" spans="1:15" x14ac:dyDescent="0.3">
      <c r="A794" s="4">
        <v>318</v>
      </c>
      <c r="B794" s="4">
        <v>318000</v>
      </c>
      <c r="C794" s="4" t="s">
        <v>163</v>
      </c>
      <c r="D794" s="4" t="s">
        <v>161</v>
      </c>
      <c r="E794" s="4" t="s">
        <v>17</v>
      </c>
      <c r="F794" s="4" t="s">
        <v>18</v>
      </c>
      <c r="G794" s="5">
        <v>0.81111111111111112</v>
      </c>
      <c r="H794" s="5">
        <v>0.4</v>
      </c>
      <c r="I794" s="5">
        <v>0.05</v>
      </c>
      <c r="J794" s="6">
        <v>0.47368421052631582</v>
      </c>
      <c r="K794" s="6">
        <v>0.88555555555555532</v>
      </c>
      <c r="L794" s="6">
        <v>0.7976633573504921</v>
      </c>
      <c r="M794" s="4" t="s">
        <v>73</v>
      </c>
      <c r="N794" s="4">
        <v>9.196651237678187E-2</v>
      </c>
      <c r="O794" s="4">
        <v>0</v>
      </c>
    </row>
    <row r="795" spans="1:15" x14ac:dyDescent="0.3">
      <c r="A795" s="4">
        <v>319</v>
      </c>
      <c r="B795" s="4">
        <v>319000</v>
      </c>
      <c r="C795" s="4" t="s">
        <v>163</v>
      </c>
      <c r="D795" s="4" t="s">
        <v>161</v>
      </c>
      <c r="E795" s="4" t="s">
        <v>17</v>
      </c>
      <c r="F795" s="4" t="s">
        <v>18</v>
      </c>
      <c r="G795" s="5">
        <v>0.81111111111111112</v>
      </c>
      <c r="H795" s="5">
        <v>0.4</v>
      </c>
      <c r="I795" s="5">
        <v>0.05</v>
      </c>
      <c r="J795" s="6">
        <v>0.47368421052631582</v>
      </c>
      <c r="K795" s="6">
        <v>0.88555555555555532</v>
      </c>
      <c r="L795" s="6">
        <v>0.79203041775784333</v>
      </c>
      <c r="M795" s="4" t="s">
        <v>150</v>
      </c>
      <c r="N795" s="4">
        <v>9.5486693124097077E-2</v>
      </c>
      <c r="O795" s="4">
        <v>0</v>
      </c>
    </row>
    <row r="796" spans="1:15" x14ac:dyDescent="0.3">
      <c r="A796" s="4">
        <v>320</v>
      </c>
      <c r="B796" s="4">
        <v>320000</v>
      </c>
      <c r="C796" s="4" t="s">
        <v>163</v>
      </c>
      <c r="D796" s="4" t="s">
        <v>161</v>
      </c>
      <c r="E796" s="4" t="s">
        <v>17</v>
      </c>
      <c r="F796" s="4" t="s">
        <v>18</v>
      </c>
      <c r="G796" s="5">
        <v>0.81111111111111112</v>
      </c>
      <c r="H796" s="5">
        <v>0.4</v>
      </c>
      <c r="I796" s="5">
        <v>0.05</v>
      </c>
      <c r="J796" s="6">
        <v>0.46551724137931028</v>
      </c>
      <c r="K796" s="6">
        <v>0.88444444444444414</v>
      </c>
      <c r="L796" s="6">
        <v>0.8206063045130263</v>
      </c>
      <c r="M796" s="4" t="s">
        <v>82</v>
      </c>
      <c r="N796" s="4">
        <v>0.1022739159578798</v>
      </c>
      <c r="O796" s="4">
        <v>0</v>
      </c>
    </row>
    <row r="797" spans="1:15" x14ac:dyDescent="0.3">
      <c r="A797" s="4">
        <v>321</v>
      </c>
      <c r="B797" s="4">
        <v>321000</v>
      </c>
      <c r="C797" s="4" t="s">
        <v>163</v>
      </c>
      <c r="D797" s="4" t="s">
        <v>161</v>
      </c>
      <c r="E797" s="4" t="s">
        <v>17</v>
      </c>
      <c r="F797" s="4" t="s">
        <v>18</v>
      </c>
      <c r="G797" s="5">
        <v>0.81111111111111112</v>
      </c>
      <c r="H797" s="5">
        <v>0.4</v>
      </c>
      <c r="I797" s="5">
        <v>0.05</v>
      </c>
      <c r="J797" s="6">
        <v>0.46551724137931028</v>
      </c>
      <c r="K797" s="6">
        <v>0.88592592592592567</v>
      </c>
      <c r="L797" s="6">
        <v>0.79853518454084593</v>
      </c>
      <c r="M797" s="4" t="s">
        <v>82</v>
      </c>
      <c r="N797" s="4">
        <v>0.1016452870339586</v>
      </c>
      <c r="O797" s="4">
        <v>0</v>
      </c>
    </row>
    <row r="798" spans="1:15" x14ac:dyDescent="0.3">
      <c r="A798" s="4">
        <v>322</v>
      </c>
      <c r="B798" s="4">
        <v>322000</v>
      </c>
      <c r="C798" s="4" t="s">
        <v>163</v>
      </c>
      <c r="D798" s="4" t="s">
        <v>161</v>
      </c>
      <c r="E798" s="4" t="s">
        <v>17</v>
      </c>
      <c r="F798" s="4" t="s">
        <v>18</v>
      </c>
      <c r="G798" s="5">
        <v>0.81111111111111112</v>
      </c>
      <c r="H798" s="5">
        <v>0.4</v>
      </c>
      <c r="I798" s="5">
        <v>0.05</v>
      </c>
      <c r="J798" s="6">
        <v>0.4576271186440678</v>
      </c>
      <c r="K798" s="6">
        <v>0.88777777777777789</v>
      </c>
      <c r="L798" s="6">
        <v>0.79463922450741176</v>
      </c>
      <c r="M798" s="4" t="s">
        <v>79</v>
      </c>
      <c r="N798" s="4">
        <v>0.1037117766766783</v>
      </c>
      <c r="O798" s="4">
        <v>0</v>
      </c>
    </row>
    <row r="799" spans="1:15" x14ac:dyDescent="0.3">
      <c r="A799" s="4">
        <v>323</v>
      </c>
      <c r="B799" s="4">
        <v>323000</v>
      </c>
      <c r="C799" s="4" t="s">
        <v>163</v>
      </c>
      <c r="D799" s="4" t="s">
        <v>161</v>
      </c>
      <c r="E799" s="4" t="s">
        <v>17</v>
      </c>
      <c r="F799" s="4" t="s">
        <v>18</v>
      </c>
      <c r="G799" s="5">
        <v>0.81111111111111112</v>
      </c>
      <c r="H799" s="5">
        <v>0.4</v>
      </c>
      <c r="I799" s="5">
        <v>0.05</v>
      </c>
      <c r="J799" s="6">
        <v>0.48333333333333328</v>
      </c>
      <c r="K799" s="6">
        <v>0.85620689655172411</v>
      </c>
      <c r="L799" s="6">
        <v>0.79439614804607739</v>
      </c>
      <c r="M799" s="4" t="s">
        <v>136</v>
      </c>
      <c r="N799" s="4">
        <v>0.1055337255974506</v>
      </c>
      <c r="O799" s="4">
        <v>0</v>
      </c>
    </row>
    <row r="800" spans="1:15" x14ac:dyDescent="0.3">
      <c r="A800" s="4">
        <v>324</v>
      </c>
      <c r="B800" s="4">
        <v>324000</v>
      </c>
      <c r="C800" s="4" t="s">
        <v>163</v>
      </c>
      <c r="D800" s="4" t="s">
        <v>161</v>
      </c>
      <c r="E800" s="4" t="s">
        <v>17</v>
      </c>
      <c r="F800" s="4" t="s">
        <v>18</v>
      </c>
      <c r="G800" s="5">
        <v>0.81111111111111112</v>
      </c>
      <c r="H800" s="5">
        <v>0.4</v>
      </c>
      <c r="I800" s="5">
        <v>0.05</v>
      </c>
      <c r="J800" s="6">
        <v>0.47540983606557369</v>
      </c>
      <c r="K800" s="6">
        <v>0.85586206896551709</v>
      </c>
      <c r="L800" s="6">
        <v>0.79450620446959219</v>
      </c>
      <c r="M800" s="4" t="s">
        <v>142</v>
      </c>
      <c r="N800" s="4">
        <v>0.1103722050613479</v>
      </c>
      <c r="O800" s="4">
        <v>0</v>
      </c>
    </row>
    <row r="801" spans="1:15" x14ac:dyDescent="0.3">
      <c r="A801" s="4">
        <v>325</v>
      </c>
      <c r="B801" s="4">
        <v>325000</v>
      </c>
      <c r="C801" s="4" t="s">
        <v>163</v>
      </c>
      <c r="D801" s="4" t="s">
        <v>161</v>
      </c>
      <c r="E801" s="4" t="s">
        <v>17</v>
      </c>
      <c r="F801" s="4" t="s">
        <v>18</v>
      </c>
      <c r="G801" s="5">
        <v>0.81111111111111112</v>
      </c>
      <c r="H801" s="5">
        <v>0.4</v>
      </c>
      <c r="I801" s="5">
        <v>0.05</v>
      </c>
      <c r="J801" s="6">
        <v>0.46031746031746029</v>
      </c>
      <c r="K801" s="6">
        <v>0.85482758620689647</v>
      </c>
      <c r="L801" s="6">
        <v>0.79177181527335427</v>
      </c>
      <c r="M801" s="4" t="s">
        <v>84</v>
      </c>
      <c r="N801" s="4">
        <v>0.11363297580179781</v>
      </c>
      <c r="O801" s="4">
        <v>0</v>
      </c>
    </row>
    <row r="802" spans="1:15" x14ac:dyDescent="0.3">
      <c r="A802" s="4">
        <v>326</v>
      </c>
      <c r="B802" s="4">
        <v>326000</v>
      </c>
      <c r="C802" s="4" t="s">
        <v>163</v>
      </c>
      <c r="D802" s="4" t="s">
        <v>161</v>
      </c>
      <c r="E802" s="4" t="s">
        <v>17</v>
      </c>
      <c r="F802" s="4" t="s">
        <v>18</v>
      </c>
      <c r="G802" s="5">
        <v>0.81111111111111112</v>
      </c>
      <c r="H802" s="5">
        <v>0.4</v>
      </c>
      <c r="I802" s="5">
        <v>0.05</v>
      </c>
      <c r="J802" s="6">
        <v>0.46031746031746029</v>
      </c>
      <c r="K802" s="6">
        <v>0.85448275862068945</v>
      </c>
      <c r="L802" s="6">
        <v>0.78830975481602383</v>
      </c>
      <c r="M802" s="4" t="s">
        <v>84</v>
      </c>
      <c r="N802" s="4">
        <v>0.11412623071543131</v>
      </c>
      <c r="O802" s="4">
        <v>0</v>
      </c>
    </row>
    <row r="803" spans="1:15" x14ac:dyDescent="0.3">
      <c r="A803" s="4">
        <v>327</v>
      </c>
      <c r="B803" s="4">
        <v>327000</v>
      </c>
      <c r="C803" s="4" t="s">
        <v>163</v>
      </c>
      <c r="D803" s="4" t="s">
        <v>161</v>
      </c>
      <c r="E803" s="4" t="s">
        <v>17</v>
      </c>
      <c r="F803" s="4" t="s">
        <v>18</v>
      </c>
      <c r="G803" s="5">
        <v>0.81111111111111112</v>
      </c>
      <c r="H803" s="5">
        <v>0.4</v>
      </c>
      <c r="I803" s="5">
        <v>0.05</v>
      </c>
      <c r="J803" s="6">
        <v>0.453125</v>
      </c>
      <c r="K803" s="6">
        <v>0.85379310344827564</v>
      </c>
      <c r="L803" s="6">
        <v>0.78963145949409586</v>
      </c>
      <c r="M803" s="4" t="s">
        <v>207</v>
      </c>
      <c r="N803" s="4">
        <v>0.1166958320133043</v>
      </c>
      <c r="O803" s="4">
        <v>0</v>
      </c>
    </row>
    <row r="804" spans="1:15" x14ac:dyDescent="0.3">
      <c r="A804" s="4">
        <v>328</v>
      </c>
      <c r="B804" s="4">
        <v>328000</v>
      </c>
      <c r="C804" s="4" t="s">
        <v>163</v>
      </c>
      <c r="D804" s="4" t="s">
        <v>161</v>
      </c>
      <c r="E804" s="4" t="s">
        <v>17</v>
      </c>
      <c r="F804" s="4" t="s">
        <v>18</v>
      </c>
      <c r="G804" s="5">
        <v>0.81111111111111112</v>
      </c>
      <c r="H804" s="5">
        <v>0.4</v>
      </c>
      <c r="I804" s="5">
        <v>0.05</v>
      </c>
      <c r="J804" s="6">
        <v>0.45161290322580638</v>
      </c>
      <c r="K804" s="6">
        <v>0.85285714285714287</v>
      </c>
      <c r="L804" s="6">
        <v>0.75256900027062457</v>
      </c>
      <c r="M804" s="4" t="s">
        <v>68</v>
      </c>
      <c r="N804" s="4">
        <v>0.11768518628258801</v>
      </c>
      <c r="O804" s="4">
        <v>0</v>
      </c>
    </row>
    <row r="805" spans="1:15" x14ac:dyDescent="0.3">
      <c r="A805" s="4">
        <v>329</v>
      </c>
      <c r="B805" s="4">
        <v>329000</v>
      </c>
      <c r="C805" s="4" t="s">
        <v>163</v>
      </c>
      <c r="D805" s="4" t="s">
        <v>161</v>
      </c>
      <c r="E805" s="4" t="s">
        <v>17</v>
      </c>
      <c r="F805" s="4" t="s">
        <v>18</v>
      </c>
      <c r="G805" s="5">
        <v>0.81111111111111112</v>
      </c>
      <c r="H805" s="5">
        <v>0.4</v>
      </c>
      <c r="I805" s="5">
        <v>0.05</v>
      </c>
      <c r="J805" s="6">
        <v>0.42857142857142849</v>
      </c>
      <c r="K805" s="6">
        <v>0.85074074074074058</v>
      </c>
      <c r="L805" s="6">
        <v>0.72505385347632145</v>
      </c>
      <c r="M805" s="4" t="s">
        <v>108</v>
      </c>
      <c r="N805" s="4">
        <v>0.115057810863714</v>
      </c>
      <c r="O805" s="4">
        <v>0</v>
      </c>
    </row>
    <row r="806" spans="1:15" x14ac:dyDescent="0.3">
      <c r="A806" s="4">
        <v>330</v>
      </c>
      <c r="B806" s="4">
        <v>330000</v>
      </c>
      <c r="C806" s="4" t="s">
        <v>163</v>
      </c>
      <c r="D806" s="4" t="s">
        <v>161</v>
      </c>
      <c r="E806" s="4" t="s">
        <v>17</v>
      </c>
      <c r="F806" s="4" t="s">
        <v>18</v>
      </c>
      <c r="G806" s="5">
        <v>0.81111111111111112</v>
      </c>
      <c r="H806" s="5">
        <v>0.4</v>
      </c>
      <c r="I806" s="5">
        <v>0.05</v>
      </c>
      <c r="J806" s="6">
        <v>0.42857142857142849</v>
      </c>
      <c r="K806" s="6">
        <v>0.85074074074074058</v>
      </c>
      <c r="L806" s="6">
        <v>0.72506217483413504</v>
      </c>
      <c r="M806" s="4" t="s">
        <v>36</v>
      </c>
      <c r="N806" s="4">
        <v>0.11619539077842719</v>
      </c>
      <c r="O806" s="4">
        <v>0</v>
      </c>
    </row>
    <row r="807" spans="1:15" x14ac:dyDescent="0.3">
      <c r="A807" s="4">
        <v>331</v>
      </c>
      <c r="B807" s="4">
        <v>331000</v>
      </c>
      <c r="C807" s="4" t="s">
        <v>163</v>
      </c>
      <c r="D807" s="4" t="s">
        <v>161</v>
      </c>
      <c r="E807" s="4" t="s">
        <v>17</v>
      </c>
      <c r="F807" s="4" t="s">
        <v>18</v>
      </c>
      <c r="G807" s="5">
        <v>0.81111111111111112</v>
      </c>
      <c r="H807" s="5">
        <v>0.4</v>
      </c>
      <c r="I807" s="5">
        <v>0.05</v>
      </c>
      <c r="J807" s="6">
        <v>0.45161290322580638</v>
      </c>
      <c r="K807" s="6">
        <v>0.85321428571428559</v>
      </c>
      <c r="L807" s="6">
        <v>0.7443963334632081</v>
      </c>
      <c r="M807" s="4" t="s">
        <v>29</v>
      </c>
      <c r="N807" s="4">
        <v>0.1210447993139962</v>
      </c>
      <c r="O807" s="4">
        <v>0</v>
      </c>
    </row>
    <row r="808" spans="1:15" x14ac:dyDescent="0.3">
      <c r="A808" s="4">
        <v>332</v>
      </c>
      <c r="B808" s="4">
        <v>332000</v>
      </c>
      <c r="C808" s="4" t="s">
        <v>163</v>
      </c>
      <c r="D808" s="4" t="s">
        <v>161</v>
      </c>
      <c r="E808" s="4" t="s">
        <v>17</v>
      </c>
      <c r="F808" s="4" t="s">
        <v>18</v>
      </c>
      <c r="G808" s="5">
        <v>0.81111111111111112</v>
      </c>
      <c r="H808" s="5">
        <v>0.4</v>
      </c>
      <c r="I808" s="5">
        <v>0.05</v>
      </c>
      <c r="J808" s="6">
        <v>0.45161290322580638</v>
      </c>
      <c r="K808" s="6">
        <v>0.85107142857142837</v>
      </c>
      <c r="L808" s="6">
        <v>0.75202734562228146</v>
      </c>
      <c r="M808" s="4" t="s">
        <v>29</v>
      </c>
      <c r="N808" s="4">
        <v>0.12121923001424841</v>
      </c>
      <c r="O808" s="4">
        <v>0</v>
      </c>
    </row>
    <row r="809" spans="1:15" x14ac:dyDescent="0.3">
      <c r="A809" s="4">
        <v>333</v>
      </c>
      <c r="B809" s="4">
        <v>333000</v>
      </c>
      <c r="C809" s="4" t="s">
        <v>163</v>
      </c>
      <c r="D809" s="4" t="s">
        <v>161</v>
      </c>
      <c r="E809" s="4" t="s">
        <v>17</v>
      </c>
      <c r="F809" s="4" t="s">
        <v>18</v>
      </c>
      <c r="G809" s="5">
        <v>0.81111111111111112</v>
      </c>
      <c r="H809" s="5">
        <v>0.4</v>
      </c>
      <c r="I809" s="5">
        <v>0.05</v>
      </c>
      <c r="J809" s="6">
        <v>0.43548387096774188</v>
      </c>
      <c r="K809" s="6">
        <v>0.85296296296296292</v>
      </c>
      <c r="L809" s="6">
        <v>0.7782411815201048</v>
      </c>
      <c r="M809" s="4" t="s">
        <v>112</v>
      </c>
      <c r="N809" s="4">
        <v>0.1233924144370379</v>
      </c>
      <c r="O809" s="4">
        <v>0</v>
      </c>
    </row>
    <row r="810" spans="1:15" x14ac:dyDescent="0.3">
      <c r="A810" s="4">
        <v>334</v>
      </c>
      <c r="B810" s="4">
        <v>334000</v>
      </c>
      <c r="C810" s="4" t="s">
        <v>163</v>
      </c>
      <c r="D810" s="4" t="s">
        <v>161</v>
      </c>
      <c r="E810" s="4" t="s">
        <v>17</v>
      </c>
      <c r="F810" s="4" t="s">
        <v>18</v>
      </c>
      <c r="G810" s="5">
        <v>0.81111111111111112</v>
      </c>
      <c r="H810" s="5">
        <v>0.4</v>
      </c>
      <c r="I810" s="5">
        <v>0.05</v>
      </c>
      <c r="J810" s="6">
        <v>0.43333333333333329</v>
      </c>
      <c r="K810" s="6">
        <v>0.8538461538461537</v>
      </c>
      <c r="L810" s="6">
        <v>0.76047719230858768</v>
      </c>
      <c r="M810" s="4" t="s">
        <v>112</v>
      </c>
      <c r="N810" s="4">
        <v>0.1228325250900188</v>
      </c>
      <c r="O810" s="4">
        <v>0</v>
      </c>
    </row>
    <row r="811" spans="1:15" x14ac:dyDescent="0.3">
      <c r="A811" s="4">
        <v>335</v>
      </c>
      <c r="B811" s="4">
        <v>335000</v>
      </c>
      <c r="C811" s="4" t="s">
        <v>163</v>
      </c>
      <c r="D811" s="4" t="s">
        <v>161</v>
      </c>
      <c r="E811" s="4" t="s">
        <v>17</v>
      </c>
      <c r="F811" s="4" t="s">
        <v>18</v>
      </c>
      <c r="G811" s="5">
        <v>0.81111111111111112</v>
      </c>
      <c r="H811" s="5">
        <v>0.4</v>
      </c>
      <c r="I811" s="5">
        <v>0.05</v>
      </c>
      <c r="J811" s="6">
        <v>0.42622950819672129</v>
      </c>
      <c r="K811" s="6">
        <v>0.85346153846153838</v>
      </c>
      <c r="L811" s="6">
        <v>0.76039074222213765</v>
      </c>
      <c r="M811" s="4" t="s">
        <v>29</v>
      </c>
      <c r="N811" s="4">
        <v>0.12148338221947159</v>
      </c>
      <c r="O811" s="4">
        <v>0</v>
      </c>
    </row>
    <row r="812" spans="1:15" x14ac:dyDescent="0.3">
      <c r="A812" s="4">
        <v>336</v>
      </c>
      <c r="B812" s="4">
        <v>336000</v>
      </c>
      <c r="C812" s="4" t="s">
        <v>163</v>
      </c>
      <c r="D812" s="4" t="s">
        <v>161</v>
      </c>
      <c r="E812" s="4" t="s">
        <v>17</v>
      </c>
      <c r="F812" s="4" t="s">
        <v>18</v>
      </c>
      <c r="G812" s="5">
        <v>0.81111111111111112</v>
      </c>
      <c r="H812" s="5">
        <v>0.4</v>
      </c>
      <c r="I812" s="5">
        <v>0.05</v>
      </c>
      <c r="J812" s="6">
        <v>0.44262295081967212</v>
      </c>
      <c r="K812" s="6">
        <v>0.85222222222222199</v>
      </c>
      <c r="L812" s="6">
        <v>0.73305380217579774</v>
      </c>
      <c r="M812" s="4" t="s">
        <v>64</v>
      </c>
      <c r="N812" s="4">
        <v>0.12197068911911629</v>
      </c>
      <c r="O812" s="4">
        <v>0</v>
      </c>
    </row>
    <row r="813" spans="1:15" x14ac:dyDescent="0.3">
      <c r="A813" s="4">
        <v>337</v>
      </c>
      <c r="B813" s="4">
        <v>337000</v>
      </c>
      <c r="C813" s="4" t="s">
        <v>163</v>
      </c>
      <c r="D813" s="4" t="s">
        <v>161</v>
      </c>
      <c r="E813" s="4" t="s">
        <v>17</v>
      </c>
      <c r="F813" s="4" t="s">
        <v>18</v>
      </c>
      <c r="G813" s="5">
        <v>0.81111111111111112</v>
      </c>
      <c r="H813" s="5">
        <v>0.4</v>
      </c>
      <c r="I813" s="5">
        <v>0.05</v>
      </c>
      <c r="J813" s="6">
        <v>0.4576271186440678</v>
      </c>
      <c r="K813" s="6">
        <v>0.85444444444444423</v>
      </c>
      <c r="L813" s="6">
        <v>0.71928243190557273</v>
      </c>
      <c r="M813" s="4" t="s">
        <v>58</v>
      </c>
      <c r="N813" s="4">
        <v>0.12483518481516991</v>
      </c>
      <c r="O813" s="4">
        <v>0</v>
      </c>
    </row>
    <row r="814" spans="1:15" x14ac:dyDescent="0.3">
      <c r="A814" s="4">
        <v>338</v>
      </c>
      <c r="B814" s="4">
        <v>338000</v>
      </c>
      <c r="C814" s="4" t="s">
        <v>163</v>
      </c>
      <c r="D814" s="4" t="s">
        <v>161</v>
      </c>
      <c r="E814" s="4" t="s">
        <v>17</v>
      </c>
      <c r="F814" s="4" t="s">
        <v>18</v>
      </c>
      <c r="G814" s="5">
        <v>0.81111111111111112</v>
      </c>
      <c r="H814" s="5">
        <v>0.4</v>
      </c>
      <c r="I814" s="5">
        <v>0.05</v>
      </c>
      <c r="J814" s="6">
        <v>0.46666666666666667</v>
      </c>
      <c r="K814" s="6">
        <v>0.82178571428571412</v>
      </c>
      <c r="L814" s="6">
        <v>0.62578445910087199</v>
      </c>
      <c r="M814" s="4" t="s">
        <v>112</v>
      </c>
      <c r="N814" s="4">
        <v>0.1234221461250347</v>
      </c>
      <c r="O814" s="4">
        <v>0</v>
      </c>
    </row>
    <row r="815" spans="1:15" x14ac:dyDescent="0.3">
      <c r="A815" s="4">
        <v>339</v>
      </c>
      <c r="B815" s="4">
        <v>339000</v>
      </c>
      <c r="C815" s="4" t="s">
        <v>163</v>
      </c>
      <c r="D815" s="4" t="s">
        <v>161</v>
      </c>
      <c r="E815" s="4" t="s">
        <v>17</v>
      </c>
      <c r="F815" s="4" t="s">
        <v>18</v>
      </c>
      <c r="G815" s="5">
        <v>0.81111111111111112</v>
      </c>
      <c r="H815" s="5">
        <v>0.60000000000000009</v>
      </c>
      <c r="I815" s="5">
        <v>0.05</v>
      </c>
      <c r="J815" s="6">
        <v>0.43859649122807021</v>
      </c>
      <c r="K815" s="6">
        <v>0.88919999999999977</v>
      </c>
      <c r="L815" s="6">
        <v>0.88694116048376148</v>
      </c>
      <c r="M815" s="4" t="s">
        <v>19</v>
      </c>
      <c r="N815" s="4">
        <v>1</v>
      </c>
      <c r="O815" s="4">
        <v>1</v>
      </c>
    </row>
    <row r="816" spans="1:15" x14ac:dyDescent="0.3">
      <c r="A816" s="4">
        <v>340</v>
      </c>
      <c r="B816" s="4">
        <v>340000</v>
      </c>
      <c r="C816" s="4" t="s">
        <v>163</v>
      </c>
      <c r="D816" s="4" t="s">
        <v>161</v>
      </c>
      <c r="E816" s="4" t="s">
        <v>17</v>
      </c>
      <c r="F816" s="4" t="s">
        <v>18</v>
      </c>
      <c r="G816" s="5">
        <v>0.81111111111111112</v>
      </c>
      <c r="H816" s="5">
        <v>0.60000000000000009</v>
      </c>
      <c r="I816" s="5">
        <v>0.05</v>
      </c>
      <c r="J816" s="6">
        <v>0.42372881355932202</v>
      </c>
      <c r="K816" s="6">
        <v>0.88839999999999975</v>
      </c>
      <c r="L816" s="6">
        <v>0.8850278850278851</v>
      </c>
      <c r="M816" s="4" t="s">
        <v>212</v>
      </c>
      <c r="N816" s="4">
        <v>2.9326570783646248E-2</v>
      </c>
      <c r="O816" s="4">
        <v>0</v>
      </c>
    </row>
    <row r="817" spans="1:15" x14ac:dyDescent="0.3">
      <c r="A817" s="4">
        <v>341</v>
      </c>
      <c r="B817" s="4">
        <v>341000</v>
      </c>
      <c r="C817" s="4" t="s">
        <v>163</v>
      </c>
      <c r="D817" s="4" t="s">
        <v>161</v>
      </c>
      <c r="E817" s="4" t="s">
        <v>17</v>
      </c>
      <c r="F817" s="4" t="s">
        <v>18</v>
      </c>
      <c r="G817" s="5">
        <v>0.81111111111111112</v>
      </c>
      <c r="H817" s="5">
        <v>0.60000000000000009</v>
      </c>
      <c r="I817" s="5">
        <v>0.05</v>
      </c>
      <c r="J817" s="6">
        <v>0.44067796610169491</v>
      </c>
      <c r="K817" s="6">
        <v>0.88730769230769202</v>
      </c>
      <c r="L817" s="6">
        <v>0.82068027210884342</v>
      </c>
      <c r="M817" s="4" t="s">
        <v>165</v>
      </c>
      <c r="N817" s="4">
        <v>3.4499452108247328E-2</v>
      </c>
      <c r="O817" s="4">
        <v>0</v>
      </c>
    </row>
    <row r="818" spans="1:15" x14ac:dyDescent="0.3">
      <c r="A818" s="4">
        <v>342</v>
      </c>
      <c r="B818" s="4">
        <v>342000</v>
      </c>
      <c r="C818" s="4" t="s">
        <v>163</v>
      </c>
      <c r="D818" s="4" t="s">
        <v>161</v>
      </c>
      <c r="E818" s="4" t="s">
        <v>17</v>
      </c>
      <c r="F818" s="4" t="s">
        <v>18</v>
      </c>
      <c r="G818" s="5">
        <v>0.81111111111111112</v>
      </c>
      <c r="H818" s="5">
        <v>0.60000000000000009</v>
      </c>
      <c r="I818" s="5">
        <v>0.05</v>
      </c>
      <c r="J818" s="6">
        <v>0.44067796610169491</v>
      </c>
      <c r="K818" s="6">
        <v>0.88769230769230734</v>
      </c>
      <c r="L818" s="6">
        <v>0.82226651901070513</v>
      </c>
      <c r="M818" s="4" t="s">
        <v>174</v>
      </c>
      <c r="N818" s="4">
        <v>4.0005475809567689E-2</v>
      </c>
      <c r="O818" s="4">
        <v>0</v>
      </c>
    </row>
    <row r="819" spans="1:15" x14ac:dyDescent="0.3">
      <c r="A819" s="4">
        <v>343</v>
      </c>
      <c r="B819" s="4">
        <v>343000</v>
      </c>
      <c r="C819" s="4" t="s">
        <v>163</v>
      </c>
      <c r="D819" s="4" t="s">
        <v>161</v>
      </c>
      <c r="E819" s="4" t="s">
        <v>17</v>
      </c>
      <c r="F819" s="4" t="s">
        <v>18</v>
      </c>
      <c r="G819" s="5">
        <v>0.81111111111111112</v>
      </c>
      <c r="H819" s="5">
        <v>0.60000000000000009</v>
      </c>
      <c r="I819" s="5">
        <v>0.05</v>
      </c>
      <c r="J819" s="6">
        <v>0.41666666666666669</v>
      </c>
      <c r="K819" s="6">
        <v>0.88839999999999975</v>
      </c>
      <c r="L819" s="6">
        <v>0.88296296296296306</v>
      </c>
      <c r="M819" s="4" t="s">
        <v>210</v>
      </c>
      <c r="N819" s="4">
        <v>4.1608038630684942E-2</v>
      </c>
      <c r="O819" s="4">
        <v>0</v>
      </c>
    </row>
    <row r="820" spans="1:15" x14ac:dyDescent="0.3">
      <c r="A820" s="4">
        <v>344</v>
      </c>
      <c r="B820" s="4">
        <v>344000</v>
      </c>
      <c r="C820" s="4" t="s">
        <v>163</v>
      </c>
      <c r="D820" s="4" t="s">
        <v>161</v>
      </c>
      <c r="E820" s="4" t="s">
        <v>17</v>
      </c>
      <c r="F820" s="4" t="s">
        <v>18</v>
      </c>
      <c r="G820" s="5">
        <v>0.81111111111111112</v>
      </c>
      <c r="H820" s="5">
        <v>0.60000000000000009</v>
      </c>
      <c r="I820" s="5">
        <v>0.05</v>
      </c>
      <c r="J820" s="6">
        <v>0.41269841269841268</v>
      </c>
      <c r="K820" s="6">
        <v>0.88499999999999979</v>
      </c>
      <c r="L820" s="6">
        <v>0.89515148661490129</v>
      </c>
      <c r="M820" s="4" t="s">
        <v>19</v>
      </c>
      <c r="N820" s="4">
        <v>1</v>
      </c>
      <c r="O820" s="4">
        <v>1</v>
      </c>
    </row>
    <row r="821" spans="1:15" x14ac:dyDescent="0.3">
      <c r="A821" s="4">
        <v>345</v>
      </c>
      <c r="B821" s="4">
        <v>345000</v>
      </c>
      <c r="C821" s="4" t="s">
        <v>163</v>
      </c>
      <c r="D821" s="4" t="s">
        <v>161</v>
      </c>
      <c r="E821" s="4" t="s">
        <v>17</v>
      </c>
      <c r="F821" s="4" t="s">
        <v>18</v>
      </c>
      <c r="G821" s="5">
        <v>0.81111111111111112</v>
      </c>
      <c r="H821" s="5">
        <v>0.60000000000000009</v>
      </c>
      <c r="I821" s="5">
        <v>0.05</v>
      </c>
      <c r="J821" s="6">
        <v>0.41935483870967738</v>
      </c>
      <c r="K821" s="6">
        <v>0.88653846153846128</v>
      </c>
      <c r="L821" s="6">
        <v>0.89421626579698332</v>
      </c>
      <c r="M821" s="4" t="s">
        <v>213</v>
      </c>
      <c r="N821" s="4">
        <v>2.424750151967859E-2</v>
      </c>
      <c r="O821" s="4">
        <v>0</v>
      </c>
    </row>
    <row r="822" spans="1:15" x14ac:dyDescent="0.3">
      <c r="A822" s="4">
        <v>346</v>
      </c>
      <c r="B822" s="4">
        <v>346000</v>
      </c>
      <c r="C822" s="4" t="s">
        <v>163</v>
      </c>
      <c r="D822" s="4" t="s">
        <v>161</v>
      </c>
      <c r="E822" s="4" t="s">
        <v>17</v>
      </c>
      <c r="F822" s="4" t="s">
        <v>18</v>
      </c>
      <c r="G822" s="5">
        <v>0.81111111111111112</v>
      </c>
      <c r="H822" s="5">
        <v>0.60000000000000009</v>
      </c>
      <c r="I822" s="5">
        <v>0.05</v>
      </c>
      <c r="J822" s="6">
        <v>0.42622950819672129</v>
      </c>
      <c r="K822" s="6">
        <v>0.88576923076923042</v>
      </c>
      <c r="L822" s="6">
        <v>0.89297401609045457</v>
      </c>
      <c r="M822" s="4" t="s">
        <v>178</v>
      </c>
      <c r="N822" s="4">
        <v>3.195535200982532E-2</v>
      </c>
      <c r="O822" s="4">
        <v>0</v>
      </c>
    </row>
    <row r="823" spans="1:15" x14ac:dyDescent="0.3">
      <c r="A823" s="4">
        <v>347</v>
      </c>
      <c r="B823" s="4">
        <v>347000</v>
      </c>
      <c r="C823" s="4" t="s">
        <v>163</v>
      </c>
      <c r="D823" s="4" t="s">
        <v>161</v>
      </c>
      <c r="E823" s="4" t="s">
        <v>17</v>
      </c>
      <c r="F823" s="4" t="s">
        <v>18</v>
      </c>
      <c r="G823" s="5">
        <v>0.81111111111111112</v>
      </c>
      <c r="H823" s="5">
        <v>0.60000000000000009</v>
      </c>
      <c r="I823" s="5">
        <v>0.05</v>
      </c>
      <c r="J823" s="6">
        <v>0.3968253968253968</v>
      </c>
      <c r="K823" s="6">
        <v>0.88759999999999961</v>
      </c>
      <c r="L823" s="6">
        <v>0.8705089315807214</v>
      </c>
      <c r="M823" s="4" t="s">
        <v>191</v>
      </c>
      <c r="N823" s="4">
        <v>4.1083204862885143E-2</v>
      </c>
      <c r="O823" s="4">
        <v>0</v>
      </c>
    </row>
    <row r="824" spans="1:15" x14ac:dyDescent="0.3">
      <c r="A824" s="4">
        <v>348</v>
      </c>
      <c r="B824" s="4">
        <v>348000</v>
      </c>
      <c r="C824" s="4" t="s">
        <v>163</v>
      </c>
      <c r="D824" s="4" t="s">
        <v>161</v>
      </c>
      <c r="E824" s="4" t="s">
        <v>17</v>
      </c>
      <c r="F824" s="4" t="s">
        <v>18</v>
      </c>
      <c r="G824" s="5">
        <v>0.81111111111111112</v>
      </c>
      <c r="H824" s="5">
        <v>0.60000000000000009</v>
      </c>
      <c r="I824" s="5">
        <v>0.05</v>
      </c>
      <c r="J824" s="6">
        <v>0.3968253968253968</v>
      </c>
      <c r="K824" s="6">
        <v>0.88719999999999966</v>
      </c>
      <c r="L824" s="6">
        <v>0.87422839506172834</v>
      </c>
      <c r="M824" s="4" t="s">
        <v>191</v>
      </c>
      <c r="N824" s="4">
        <v>4.0645831174495203E-2</v>
      </c>
      <c r="O824" s="4">
        <v>0</v>
      </c>
    </row>
    <row r="825" spans="1:15" x14ac:dyDescent="0.3">
      <c r="A825" s="4">
        <v>349</v>
      </c>
      <c r="B825" s="4">
        <v>349000</v>
      </c>
      <c r="C825" s="4" t="s">
        <v>163</v>
      </c>
      <c r="D825" s="4" t="s">
        <v>161</v>
      </c>
      <c r="E825" s="4" t="s">
        <v>17</v>
      </c>
      <c r="F825" s="4" t="s">
        <v>18</v>
      </c>
      <c r="G825" s="5">
        <v>0.81111111111111112</v>
      </c>
      <c r="H825" s="5">
        <v>0.60000000000000009</v>
      </c>
      <c r="I825" s="5">
        <v>0.05</v>
      </c>
      <c r="J825" s="6">
        <v>0.3968253968253968</v>
      </c>
      <c r="K825" s="6">
        <v>0.88599999999999979</v>
      </c>
      <c r="L825" s="6">
        <v>0.87511980065171546</v>
      </c>
      <c r="M825" s="4" t="s">
        <v>191</v>
      </c>
      <c r="N825" s="4">
        <v>4.1045962199182107E-2</v>
      </c>
      <c r="O825" s="4">
        <v>0</v>
      </c>
    </row>
    <row r="826" spans="1:15" x14ac:dyDescent="0.3">
      <c r="A826" s="4">
        <v>350</v>
      </c>
      <c r="B826" s="4">
        <v>350000</v>
      </c>
      <c r="C826" s="4" t="s">
        <v>163</v>
      </c>
      <c r="D826" s="4" t="s">
        <v>161</v>
      </c>
      <c r="E826" s="4" t="s">
        <v>17</v>
      </c>
      <c r="F826" s="4" t="s">
        <v>18</v>
      </c>
      <c r="G826" s="5">
        <v>0.81111111111111112</v>
      </c>
      <c r="H826" s="5">
        <v>0.60000000000000009</v>
      </c>
      <c r="I826" s="5">
        <v>0.05</v>
      </c>
      <c r="J826" s="6">
        <v>0.41935483870967738</v>
      </c>
      <c r="K826" s="6">
        <v>0.88269230769230744</v>
      </c>
      <c r="L826" s="6">
        <v>0.84234109897869514</v>
      </c>
      <c r="M826" s="4" t="s">
        <v>193</v>
      </c>
      <c r="N826" s="4">
        <v>4.7851183074495457E-2</v>
      </c>
      <c r="O826" s="4">
        <v>0</v>
      </c>
    </row>
    <row r="827" spans="1:15" x14ac:dyDescent="0.3">
      <c r="A827" s="4">
        <v>351</v>
      </c>
      <c r="B827" s="4">
        <v>351000</v>
      </c>
      <c r="C827" s="4" t="s">
        <v>163</v>
      </c>
      <c r="D827" s="4" t="s">
        <v>161</v>
      </c>
      <c r="E827" s="4" t="s">
        <v>17</v>
      </c>
      <c r="F827" s="4" t="s">
        <v>18</v>
      </c>
      <c r="G827" s="5">
        <v>0.81111111111111112</v>
      </c>
      <c r="H827" s="5">
        <v>0.60000000000000009</v>
      </c>
      <c r="I827" s="5">
        <v>0.05</v>
      </c>
      <c r="J827" s="6">
        <v>0.4098360655737705</v>
      </c>
      <c r="K827" s="6">
        <v>0.88479999999999981</v>
      </c>
      <c r="L827" s="6">
        <v>0.78013013013013011</v>
      </c>
      <c r="M827" s="4" t="s">
        <v>211</v>
      </c>
      <c r="N827" s="4">
        <v>4.9392798201403937E-2</v>
      </c>
      <c r="O827" s="4">
        <v>0</v>
      </c>
    </row>
    <row r="828" spans="1:15" x14ac:dyDescent="0.3">
      <c r="A828" s="4">
        <v>352</v>
      </c>
      <c r="B828" s="4">
        <v>352000</v>
      </c>
      <c r="C828" s="4" t="s">
        <v>163</v>
      </c>
      <c r="D828" s="4" t="s">
        <v>161</v>
      </c>
      <c r="E828" s="4" t="s">
        <v>17</v>
      </c>
      <c r="F828" s="4" t="s">
        <v>18</v>
      </c>
      <c r="G828" s="5">
        <v>0.81111111111111112</v>
      </c>
      <c r="H828" s="5">
        <v>0.60000000000000009</v>
      </c>
      <c r="I828" s="5">
        <v>0.05</v>
      </c>
      <c r="J828" s="6">
        <v>0.41935483870967738</v>
      </c>
      <c r="K828" s="6">
        <v>0.8838461538461535</v>
      </c>
      <c r="L828" s="6">
        <v>0.80994611912043102</v>
      </c>
      <c r="M828" s="4" t="s">
        <v>214</v>
      </c>
      <c r="N828" s="4">
        <v>5.129783449010171E-2</v>
      </c>
      <c r="O828" s="4">
        <v>0</v>
      </c>
    </row>
    <row r="829" spans="1:15" x14ac:dyDescent="0.3">
      <c r="A829" s="4">
        <v>353</v>
      </c>
      <c r="B829" s="4">
        <v>353000</v>
      </c>
      <c r="C829" s="4" t="s">
        <v>163</v>
      </c>
      <c r="D829" s="4" t="s">
        <v>161</v>
      </c>
      <c r="E829" s="4" t="s">
        <v>17</v>
      </c>
      <c r="F829" s="4" t="s">
        <v>18</v>
      </c>
      <c r="G829" s="5">
        <v>0.81111111111111112</v>
      </c>
      <c r="H829" s="5">
        <v>0.60000000000000009</v>
      </c>
      <c r="I829" s="5">
        <v>0.05</v>
      </c>
      <c r="J829" s="6">
        <v>0.43548387096774188</v>
      </c>
      <c r="K829" s="6">
        <v>0.88407407407407368</v>
      </c>
      <c r="L829" s="6">
        <v>0.8027126225841601</v>
      </c>
      <c r="M829" s="4" t="s">
        <v>164</v>
      </c>
      <c r="N829" s="4">
        <v>5.2661051131022221E-2</v>
      </c>
      <c r="O829" s="4">
        <v>0</v>
      </c>
    </row>
    <row r="830" spans="1:15" x14ac:dyDescent="0.3">
      <c r="A830" s="4">
        <v>354</v>
      </c>
      <c r="B830" s="4">
        <v>354000</v>
      </c>
      <c r="C830" s="4" t="s">
        <v>163</v>
      </c>
      <c r="D830" s="4" t="s">
        <v>161</v>
      </c>
      <c r="E830" s="4" t="s">
        <v>17</v>
      </c>
      <c r="F830" s="4" t="s">
        <v>18</v>
      </c>
      <c r="G830" s="5">
        <v>0.81111111111111112</v>
      </c>
      <c r="H830" s="5">
        <v>0.60000000000000009</v>
      </c>
      <c r="I830" s="5">
        <v>0.05</v>
      </c>
      <c r="J830" s="6">
        <v>0.44444444444444442</v>
      </c>
      <c r="K830" s="6">
        <v>0.88071428571428534</v>
      </c>
      <c r="L830" s="6">
        <v>0.77729862131066796</v>
      </c>
      <c r="M830" s="4" t="s">
        <v>211</v>
      </c>
      <c r="N830" s="4">
        <v>4.881100202029813E-2</v>
      </c>
      <c r="O830" s="4">
        <v>0</v>
      </c>
    </row>
    <row r="831" spans="1:15" x14ac:dyDescent="0.3">
      <c r="A831" s="4">
        <v>355</v>
      </c>
      <c r="B831" s="4">
        <v>355000</v>
      </c>
      <c r="C831" s="4" t="s">
        <v>163</v>
      </c>
      <c r="D831" s="4" t="s">
        <v>161</v>
      </c>
      <c r="E831" s="4" t="s">
        <v>17</v>
      </c>
      <c r="F831" s="4" t="s">
        <v>18</v>
      </c>
      <c r="G831" s="5">
        <v>0.81111111111111112</v>
      </c>
      <c r="H831" s="5">
        <v>0.60000000000000009</v>
      </c>
      <c r="I831" s="5">
        <v>0.05</v>
      </c>
      <c r="J831" s="6">
        <v>0.43076923076923079</v>
      </c>
      <c r="K831" s="6">
        <v>0.88214285714285678</v>
      </c>
      <c r="L831" s="6">
        <v>0.77097678011355097</v>
      </c>
      <c r="M831" s="4" t="s">
        <v>185</v>
      </c>
      <c r="N831" s="4">
        <v>5.9924442262459257E-2</v>
      </c>
      <c r="O831" s="4">
        <v>0</v>
      </c>
    </row>
    <row r="832" spans="1:15" x14ac:dyDescent="0.3">
      <c r="A832" s="4">
        <v>356</v>
      </c>
      <c r="B832" s="4">
        <v>356000</v>
      </c>
      <c r="C832" s="4" t="s">
        <v>163</v>
      </c>
      <c r="D832" s="4" t="s">
        <v>161</v>
      </c>
      <c r="E832" s="4" t="s">
        <v>17</v>
      </c>
      <c r="F832" s="4" t="s">
        <v>18</v>
      </c>
      <c r="G832" s="5">
        <v>0.81111111111111112</v>
      </c>
      <c r="H832" s="5">
        <v>0.60000000000000009</v>
      </c>
      <c r="I832" s="5">
        <v>0.05</v>
      </c>
      <c r="J832" s="6">
        <v>0.40625</v>
      </c>
      <c r="K832" s="6">
        <v>0.91653846153846119</v>
      </c>
      <c r="L832" s="6">
        <v>0.87279069767441853</v>
      </c>
      <c r="M832" s="4" t="s">
        <v>186</v>
      </c>
      <c r="N832" s="4">
        <v>6.5049724445928811E-2</v>
      </c>
      <c r="O832" s="4">
        <v>0</v>
      </c>
    </row>
    <row r="833" spans="1:15" x14ac:dyDescent="0.3">
      <c r="A833" s="4">
        <v>357</v>
      </c>
      <c r="B833" s="4">
        <v>357000</v>
      </c>
      <c r="C833" s="4" t="s">
        <v>163</v>
      </c>
      <c r="D833" s="4" t="s">
        <v>161</v>
      </c>
      <c r="E833" s="4" t="s">
        <v>17</v>
      </c>
      <c r="F833" s="4" t="s">
        <v>18</v>
      </c>
      <c r="G833" s="5">
        <v>0.81111111111111112</v>
      </c>
      <c r="H833" s="5">
        <v>0.60000000000000009</v>
      </c>
      <c r="I833" s="5">
        <v>0.05</v>
      </c>
      <c r="J833" s="6">
        <v>0.41269841269841268</v>
      </c>
      <c r="K833" s="6">
        <v>0.91653846153846119</v>
      </c>
      <c r="L833" s="6">
        <v>0.87402340781273757</v>
      </c>
      <c r="M833" s="4" t="s">
        <v>195</v>
      </c>
      <c r="N833" s="4">
        <v>6.9395902581364924E-2</v>
      </c>
      <c r="O833" s="4">
        <v>0</v>
      </c>
    </row>
    <row r="834" spans="1:15" x14ac:dyDescent="0.3">
      <c r="A834" s="4">
        <v>358</v>
      </c>
      <c r="B834" s="4">
        <v>358000</v>
      </c>
      <c r="C834" s="4" t="s">
        <v>163</v>
      </c>
      <c r="D834" s="4" t="s">
        <v>161</v>
      </c>
      <c r="E834" s="4" t="s">
        <v>17</v>
      </c>
      <c r="F834" s="4" t="s">
        <v>18</v>
      </c>
      <c r="G834" s="5">
        <v>0.81111111111111112</v>
      </c>
      <c r="H834" s="5">
        <v>0.60000000000000009</v>
      </c>
      <c r="I834" s="5">
        <v>0.05</v>
      </c>
      <c r="J834" s="6">
        <v>0.390625</v>
      </c>
      <c r="K834" s="6">
        <v>0.91879999999999984</v>
      </c>
      <c r="L834" s="6">
        <v>0.84789785681714547</v>
      </c>
      <c r="M834" s="4" t="s">
        <v>176</v>
      </c>
      <c r="N834" s="4">
        <v>7.3806973542497781E-2</v>
      </c>
      <c r="O834" s="4">
        <v>0</v>
      </c>
    </row>
    <row r="835" spans="1:15" x14ac:dyDescent="0.3">
      <c r="A835" s="4">
        <v>359</v>
      </c>
      <c r="B835" s="4">
        <v>359000</v>
      </c>
      <c r="C835" s="4" t="s">
        <v>163</v>
      </c>
      <c r="D835" s="4" t="s">
        <v>161</v>
      </c>
      <c r="E835" s="4" t="s">
        <v>17</v>
      </c>
      <c r="F835" s="4" t="s">
        <v>18</v>
      </c>
      <c r="G835" s="5">
        <v>0.81111111111111112</v>
      </c>
      <c r="H835" s="5">
        <v>0.60000000000000009</v>
      </c>
      <c r="I835" s="5">
        <v>0.05</v>
      </c>
      <c r="J835" s="6">
        <v>0.390625</v>
      </c>
      <c r="K835" s="6">
        <v>0.91959999999999964</v>
      </c>
      <c r="L835" s="6">
        <v>0.84743053619552078</v>
      </c>
      <c r="M835" s="4" t="s">
        <v>140</v>
      </c>
      <c r="N835" s="4">
        <v>7.776526645019062E-2</v>
      </c>
      <c r="O835" s="4">
        <v>0</v>
      </c>
    </row>
    <row r="836" spans="1:15" x14ac:dyDescent="0.3">
      <c r="A836" s="4">
        <v>360</v>
      </c>
      <c r="B836" s="4">
        <v>360000</v>
      </c>
      <c r="C836" s="4" t="s">
        <v>163</v>
      </c>
      <c r="D836" s="4" t="s">
        <v>161</v>
      </c>
      <c r="E836" s="4" t="s">
        <v>17</v>
      </c>
      <c r="F836" s="4" t="s">
        <v>18</v>
      </c>
      <c r="G836" s="5">
        <v>0.81111111111111112</v>
      </c>
      <c r="H836" s="5">
        <v>0.60000000000000009</v>
      </c>
      <c r="I836" s="5">
        <v>0.05</v>
      </c>
      <c r="J836" s="6">
        <v>0.3968253968253968</v>
      </c>
      <c r="K836" s="6">
        <v>0.92039999999999966</v>
      </c>
      <c r="L836" s="6">
        <v>0.84126868392271237</v>
      </c>
      <c r="M836" s="4" t="s">
        <v>170</v>
      </c>
      <c r="N836" s="4">
        <v>8.0532828154469688E-2</v>
      </c>
      <c r="O836" s="4">
        <v>0</v>
      </c>
    </row>
    <row r="837" spans="1:15" x14ac:dyDescent="0.3">
      <c r="A837" s="4">
        <v>361</v>
      </c>
      <c r="B837" s="4">
        <v>361000</v>
      </c>
      <c r="C837" s="4" t="s">
        <v>163</v>
      </c>
      <c r="D837" s="4" t="s">
        <v>161</v>
      </c>
      <c r="E837" s="4" t="s">
        <v>17</v>
      </c>
      <c r="F837" s="4" t="s">
        <v>18</v>
      </c>
      <c r="G837" s="5">
        <v>0.81111111111111112</v>
      </c>
      <c r="H837" s="5">
        <v>0.60000000000000009</v>
      </c>
      <c r="I837" s="5">
        <v>0.05</v>
      </c>
      <c r="J837" s="6">
        <v>0.38461538461538458</v>
      </c>
      <c r="K837" s="6">
        <v>0.92039999999999966</v>
      </c>
      <c r="L837" s="6">
        <v>0.84484948909141122</v>
      </c>
      <c r="M837" s="4" t="s">
        <v>106</v>
      </c>
      <c r="N837" s="4">
        <v>8.2295468985214934E-2</v>
      </c>
      <c r="O837" s="4">
        <v>0</v>
      </c>
    </row>
    <row r="838" spans="1:15" x14ac:dyDescent="0.3">
      <c r="A838" s="4">
        <v>362</v>
      </c>
      <c r="B838" s="4">
        <v>362000</v>
      </c>
      <c r="C838" s="4" t="s">
        <v>163</v>
      </c>
      <c r="D838" s="4" t="s">
        <v>161</v>
      </c>
      <c r="E838" s="4" t="s">
        <v>17</v>
      </c>
      <c r="F838" s="4" t="s">
        <v>18</v>
      </c>
      <c r="G838" s="5">
        <v>0.81111111111111112</v>
      </c>
      <c r="H838" s="5">
        <v>0.60000000000000009</v>
      </c>
      <c r="I838" s="5">
        <v>0.05</v>
      </c>
      <c r="J838" s="6">
        <v>0.37878787878787878</v>
      </c>
      <c r="K838" s="6">
        <v>0.91959999999999964</v>
      </c>
      <c r="L838" s="6">
        <v>0.84749862561847178</v>
      </c>
      <c r="M838" s="4" t="s">
        <v>170</v>
      </c>
      <c r="N838" s="4">
        <v>8.0635268200058979E-2</v>
      </c>
      <c r="O838" s="4">
        <v>0</v>
      </c>
    </row>
    <row r="839" spans="1:15" x14ac:dyDescent="0.3">
      <c r="A839" s="4">
        <v>363</v>
      </c>
      <c r="B839" s="4">
        <v>363000</v>
      </c>
      <c r="C839" s="4" t="s">
        <v>163</v>
      </c>
      <c r="D839" s="4" t="s">
        <v>161</v>
      </c>
      <c r="E839" s="4" t="s">
        <v>17</v>
      </c>
      <c r="F839" s="4" t="s">
        <v>18</v>
      </c>
      <c r="G839" s="5">
        <v>0.81111111111111112</v>
      </c>
      <c r="H839" s="5">
        <v>0.60000000000000009</v>
      </c>
      <c r="I839" s="5">
        <v>0.05</v>
      </c>
      <c r="J839" s="6">
        <v>0.37878787878787878</v>
      </c>
      <c r="K839" s="6">
        <v>0.92199999999999971</v>
      </c>
      <c r="L839" s="6">
        <v>0.84817188769522434</v>
      </c>
      <c r="M839" s="4" t="s">
        <v>21</v>
      </c>
      <c r="N839" s="4">
        <v>8.4109063180659444E-2</v>
      </c>
      <c r="O839" s="4">
        <v>0</v>
      </c>
    </row>
    <row r="840" spans="1:15" x14ac:dyDescent="0.3">
      <c r="A840" s="4">
        <v>364</v>
      </c>
      <c r="B840" s="4">
        <v>364000</v>
      </c>
      <c r="C840" s="4" t="s">
        <v>163</v>
      </c>
      <c r="D840" s="4" t="s">
        <v>161</v>
      </c>
      <c r="E840" s="4" t="s">
        <v>17</v>
      </c>
      <c r="F840" s="4" t="s">
        <v>18</v>
      </c>
      <c r="G840" s="5">
        <v>0.81111111111111112</v>
      </c>
      <c r="H840" s="5">
        <v>0.60000000000000009</v>
      </c>
      <c r="I840" s="5">
        <v>0.05</v>
      </c>
      <c r="J840" s="6">
        <v>0.37313432835820898</v>
      </c>
      <c r="K840" s="6">
        <v>0.92559999999999976</v>
      </c>
      <c r="L840" s="6">
        <v>0.84704607046070457</v>
      </c>
      <c r="M840" s="4" t="s">
        <v>97</v>
      </c>
      <c r="N840" s="4">
        <v>8.6104511163083458E-2</v>
      </c>
      <c r="O840" s="4">
        <v>0</v>
      </c>
    </row>
    <row r="841" spans="1:15" x14ac:dyDescent="0.3">
      <c r="A841" s="4">
        <v>365</v>
      </c>
      <c r="B841" s="4">
        <v>365000</v>
      </c>
      <c r="C841" s="4" t="s">
        <v>163</v>
      </c>
      <c r="D841" s="4" t="s">
        <v>161</v>
      </c>
      <c r="E841" s="4" t="s">
        <v>17</v>
      </c>
      <c r="F841" s="4" t="s">
        <v>18</v>
      </c>
      <c r="G841" s="5">
        <v>0.81111111111111112</v>
      </c>
      <c r="H841" s="5">
        <v>0.60000000000000009</v>
      </c>
      <c r="I841" s="5">
        <v>0.05</v>
      </c>
      <c r="J841" s="6">
        <v>0.37313432835820898</v>
      </c>
      <c r="K841" s="6">
        <v>0.92519999999999969</v>
      </c>
      <c r="L841" s="6">
        <v>0.84294249439880509</v>
      </c>
      <c r="M841" s="4" t="s">
        <v>97</v>
      </c>
      <c r="N841" s="4">
        <v>8.5991998527447266E-2</v>
      </c>
      <c r="O841" s="4">
        <v>0</v>
      </c>
    </row>
    <row r="842" spans="1:15" x14ac:dyDescent="0.3">
      <c r="A842" s="4">
        <v>366</v>
      </c>
      <c r="B842" s="4">
        <v>366000</v>
      </c>
      <c r="C842" s="4" t="s">
        <v>163</v>
      </c>
      <c r="D842" s="4" t="s">
        <v>161</v>
      </c>
      <c r="E842" s="4" t="s">
        <v>17</v>
      </c>
      <c r="F842" s="4" t="s">
        <v>18</v>
      </c>
      <c r="G842" s="5">
        <v>0.81111111111111112</v>
      </c>
      <c r="H842" s="5">
        <v>0.60000000000000009</v>
      </c>
      <c r="I842" s="5">
        <v>0.05</v>
      </c>
      <c r="J842" s="6">
        <v>0.35820895522388058</v>
      </c>
      <c r="K842" s="6">
        <v>0.92791666666666639</v>
      </c>
      <c r="L842" s="6">
        <v>0.84904854368932037</v>
      </c>
      <c r="M842" s="4" t="s">
        <v>97</v>
      </c>
      <c r="N842" s="4">
        <v>8.621433580574675E-2</v>
      </c>
      <c r="O842" s="4">
        <v>0</v>
      </c>
    </row>
    <row r="843" spans="1:15" x14ac:dyDescent="0.3">
      <c r="A843" s="4">
        <v>367</v>
      </c>
      <c r="B843" s="4">
        <v>367000</v>
      </c>
      <c r="C843" s="4" t="s">
        <v>163</v>
      </c>
      <c r="D843" s="4" t="s">
        <v>161</v>
      </c>
      <c r="E843" s="4" t="s">
        <v>17</v>
      </c>
      <c r="F843" s="4" t="s">
        <v>18</v>
      </c>
      <c r="G843" s="5">
        <v>0.81111111111111112</v>
      </c>
      <c r="H843" s="5">
        <v>0.60000000000000009</v>
      </c>
      <c r="I843" s="5">
        <v>0.05</v>
      </c>
      <c r="J843" s="6">
        <v>0.40298507462686572</v>
      </c>
      <c r="K843" s="6">
        <v>0.91629629629629594</v>
      </c>
      <c r="L843" s="6">
        <v>0.80690554649156376</v>
      </c>
      <c r="M843" s="4" t="s">
        <v>49</v>
      </c>
      <c r="N843" s="4">
        <v>8.9752119291166402E-2</v>
      </c>
      <c r="O843" s="4">
        <v>0</v>
      </c>
    </row>
    <row r="844" spans="1:15" x14ac:dyDescent="0.3">
      <c r="A844" s="4">
        <v>368</v>
      </c>
      <c r="B844" s="4">
        <v>368000</v>
      </c>
      <c r="C844" s="4" t="s">
        <v>163</v>
      </c>
      <c r="D844" s="4" t="s">
        <v>161</v>
      </c>
      <c r="E844" s="4" t="s">
        <v>17</v>
      </c>
      <c r="F844" s="4" t="s">
        <v>18</v>
      </c>
      <c r="G844" s="5">
        <v>0.81111111111111112</v>
      </c>
      <c r="H844" s="5">
        <v>0.60000000000000009</v>
      </c>
      <c r="I844" s="5">
        <v>0.05</v>
      </c>
      <c r="J844" s="6">
        <v>0.37313432835820898</v>
      </c>
      <c r="K844" s="6">
        <v>0.92679999999999974</v>
      </c>
      <c r="L844" s="6">
        <v>0.84458151086070132</v>
      </c>
      <c r="M844" s="4" t="s">
        <v>74</v>
      </c>
      <c r="N844" s="4">
        <v>8.9264930768587866E-2</v>
      </c>
      <c r="O844" s="4">
        <v>0</v>
      </c>
    </row>
    <row r="845" spans="1:15" x14ac:dyDescent="0.3">
      <c r="A845" s="4">
        <v>369</v>
      </c>
      <c r="B845" s="4">
        <v>369000</v>
      </c>
      <c r="C845" s="4" t="s">
        <v>163</v>
      </c>
      <c r="D845" s="4" t="s">
        <v>161</v>
      </c>
      <c r="E845" s="4" t="s">
        <v>17</v>
      </c>
      <c r="F845" s="4" t="s">
        <v>18</v>
      </c>
      <c r="G845" s="5">
        <v>0.81111111111111112</v>
      </c>
      <c r="H845" s="5">
        <v>0.60000000000000009</v>
      </c>
      <c r="I845" s="5">
        <v>0.05</v>
      </c>
      <c r="J845" s="6">
        <v>0.40909090909090912</v>
      </c>
      <c r="K845" s="6">
        <v>0.88962962962962944</v>
      </c>
      <c r="L845" s="6">
        <v>0.74526455026455019</v>
      </c>
      <c r="M845" s="4" t="s">
        <v>49</v>
      </c>
      <c r="N845" s="4">
        <v>9.0072172397283962E-2</v>
      </c>
      <c r="O845" s="4">
        <v>0</v>
      </c>
    </row>
    <row r="846" spans="1:15" x14ac:dyDescent="0.3">
      <c r="A846" s="4">
        <v>370</v>
      </c>
      <c r="B846" s="4">
        <v>370000</v>
      </c>
      <c r="C846" s="4" t="s">
        <v>163</v>
      </c>
      <c r="D846" s="4" t="s">
        <v>161</v>
      </c>
      <c r="E846" s="4" t="s">
        <v>17</v>
      </c>
      <c r="F846" s="4" t="s">
        <v>18</v>
      </c>
      <c r="G846" s="5">
        <v>0.81111111111111112</v>
      </c>
      <c r="H846" s="5">
        <v>0.60000000000000009</v>
      </c>
      <c r="I846" s="5">
        <v>0.05</v>
      </c>
      <c r="J846" s="6">
        <v>0.4</v>
      </c>
      <c r="K846" s="6">
        <v>0.88923076923076882</v>
      </c>
      <c r="L846" s="6">
        <v>0.68850428769385386</v>
      </c>
      <c r="M846" s="4" t="s">
        <v>73</v>
      </c>
      <c r="N846" s="4">
        <v>9.2243639346206885E-2</v>
      </c>
      <c r="O846" s="4">
        <v>0</v>
      </c>
    </row>
    <row r="847" spans="1:15" x14ac:dyDescent="0.3">
      <c r="A847" s="4">
        <v>371</v>
      </c>
      <c r="B847" s="4">
        <v>371000</v>
      </c>
      <c r="C847" s="4" t="s">
        <v>163</v>
      </c>
      <c r="D847" s="4" t="s">
        <v>161</v>
      </c>
      <c r="E847" s="4" t="s">
        <v>17</v>
      </c>
      <c r="F847" s="4" t="s">
        <v>18</v>
      </c>
      <c r="G847" s="5">
        <v>0.81111111111111112</v>
      </c>
      <c r="H847" s="5">
        <v>0.60000000000000009</v>
      </c>
      <c r="I847" s="5">
        <v>0.05</v>
      </c>
      <c r="J847" s="6">
        <v>0.42857142857142849</v>
      </c>
      <c r="K847" s="6">
        <v>0.88925925925925908</v>
      </c>
      <c r="L847" s="6">
        <v>0.71266926661722163</v>
      </c>
      <c r="M847" s="4" t="s">
        <v>73</v>
      </c>
      <c r="N847" s="4">
        <v>9.2009868496999797E-2</v>
      </c>
      <c r="O847" s="4">
        <v>0</v>
      </c>
    </row>
    <row r="848" spans="1:15" x14ac:dyDescent="0.3">
      <c r="A848" s="4">
        <v>372</v>
      </c>
      <c r="B848" s="4">
        <v>372000</v>
      </c>
      <c r="C848" s="4" t="s">
        <v>163</v>
      </c>
      <c r="D848" s="4" t="s">
        <v>161</v>
      </c>
      <c r="E848" s="4" t="s">
        <v>17</v>
      </c>
      <c r="F848" s="4" t="s">
        <v>18</v>
      </c>
      <c r="G848" s="5">
        <v>0.81111111111111112</v>
      </c>
      <c r="H848" s="5">
        <v>0.60000000000000009</v>
      </c>
      <c r="I848" s="5">
        <v>0.05</v>
      </c>
      <c r="J848" s="6">
        <v>0.41269841269841268</v>
      </c>
      <c r="K848" s="6">
        <v>0.88923076923076905</v>
      </c>
      <c r="L848" s="6">
        <v>0.66178233840625811</v>
      </c>
      <c r="M848" s="4" t="s">
        <v>22</v>
      </c>
      <c r="N848" s="4">
        <v>9.4472394917221397E-2</v>
      </c>
      <c r="O848" s="4">
        <v>0</v>
      </c>
    </row>
    <row r="849" spans="1:15" x14ac:dyDescent="0.3">
      <c r="A849" s="4">
        <v>373</v>
      </c>
      <c r="B849" s="4">
        <v>373000</v>
      </c>
      <c r="C849" s="4" t="s">
        <v>163</v>
      </c>
      <c r="D849" s="4" t="s">
        <v>161</v>
      </c>
      <c r="E849" s="4" t="s">
        <v>17</v>
      </c>
      <c r="F849" s="4" t="s">
        <v>18</v>
      </c>
      <c r="G849" s="5">
        <v>0.81111111111111112</v>
      </c>
      <c r="H849" s="5">
        <v>0.60000000000000009</v>
      </c>
      <c r="I849" s="5">
        <v>0.05</v>
      </c>
      <c r="J849" s="6">
        <v>0.41935483870967738</v>
      </c>
      <c r="K849" s="6">
        <v>0.88692307692307659</v>
      </c>
      <c r="L849" s="6">
        <v>0.65564958846252408</v>
      </c>
      <c r="M849" s="4" t="s">
        <v>150</v>
      </c>
      <c r="N849" s="4">
        <v>9.5230294669032461E-2</v>
      </c>
      <c r="O849" s="4">
        <v>0</v>
      </c>
    </row>
    <row r="850" spans="1:15" x14ac:dyDescent="0.3">
      <c r="A850" s="4">
        <v>374</v>
      </c>
      <c r="B850" s="4">
        <v>374000</v>
      </c>
      <c r="C850" s="4" t="s">
        <v>163</v>
      </c>
      <c r="D850" s="4" t="s">
        <v>161</v>
      </c>
      <c r="E850" s="4" t="s">
        <v>17</v>
      </c>
      <c r="F850" s="4" t="s">
        <v>18</v>
      </c>
      <c r="G850" s="5">
        <v>0.81111111111111112</v>
      </c>
      <c r="H850" s="5">
        <v>0.60000000000000009</v>
      </c>
      <c r="I850" s="5">
        <v>0.05</v>
      </c>
      <c r="J850" s="6">
        <v>0.42622950819672129</v>
      </c>
      <c r="K850" s="6">
        <v>0.88692307692307659</v>
      </c>
      <c r="L850" s="6">
        <v>0.66932859399684042</v>
      </c>
      <c r="M850" s="4" t="s">
        <v>154</v>
      </c>
      <c r="N850" s="4">
        <v>9.7793280961553847E-2</v>
      </c>
      <c r="O850" s="4">
        <v>0</v>
      </c>
    </row>
    <row r="851" spans="1:15" x14ac:dyDescent="0.3">
      <c r="A851" s="4">
        <v>375</v>
      </c>
      <c r="B851" s="4">
        <v>375000</v>
      </c>
      <c r="C851" s="4" t="s">
        <v>163</v>
      </c>
      <c r="D851" s="4" t="s">
        <v>161</v>
      </c>
      <c r="E851" s="4" t="s">
        <v>17</v>
      </c>
      <c r="F851" s="4" t="s">
        <v>18</v>
      </c>
      <c r="G851" s="5">
        <v>0.81111111111111112</v>
      </c>
      <c r="H851" s="5">
        <v>0.60000000000000009</v>
      </c>
      <c r="I851" s="5">
        <v>0.05</v>
      </c>
      <c r="J851" s="6">
        <v>0.42622950819672129</v>
      </c>
      <c r="K851" s="6">
        <v>0.88653846153846128</v>
      </c>
      <c r="L851" s="6">
        <v>0.66956964006259778</v>
      </c>
      <c r="M851" s="4" t="s">
        <v>154</v>
      </c>
      <c r="N851" s="4">
        <v>9.7780247720005098E-2</v>
      </c>
      <c r="O851" s="4">
        <v>0</v>
      </c>
    </row>
    <row r="852" spans="1:15" x14ac:dyDescent="0.3">
      <c r="A852" s="4">
        <v>376</v>
      </c>
      <c r="B852" s="4">
        <v>376000</v>
      </c>
      <c r="C852" s="4" t="s">
        <v>163</v>
      </c>
      <c r="D852" s="4" t="s">
        <v>161</v>
      </c>
      <c r="E852" s="4" t="s">
        <v>17</v>
      </c>
      <c r="F852" s="4" t="s">
        <v>18</v>
      </c>
      <c r="G852" s="5">
        <v>0.81111111111111112</v>
      </c>
      <c r="H852" s="5">
        <v>0.60000000000000009</v>
      </c>
      <c r="I852" s="5">
        <v>0.05</v>
      </c>
      <c r="J852" s="6">
        <v>0.44262295081967212</v>
      </c>
      <c r="K852" s="6">
        <v>0.88444444444444414</v>
      </c>
      <c r="L852" s="6">
        <v>0.69430901040582826</v>
      </c>
      <c r="M852" s="4" t="s">
        <v>129</v>
      </c>
      <c r="N852" s="4">
        <v>9.6570716109835739E-2</v>
      </c>
      <c r="O852" s="4">
        <v>0</v>
      </c>
    </row>
    <row r="853" spans="1:15" x14ac:dyDescent="0.3">
      <c r="A853" s="4">
        <v>377</v>
      </c>
      <c r="B853" s="4">
        <v>377000</v>
      </c>
      <c r="C853" s="4" t="s">
        <v>163</v>
      </c>
      <c r="D853" s="4" t="s">
        <v>161</v>
      </c>
      <c r="E853" s="4" t="s">
        <v>17</v>
      </c>
      <c r="F853" s="4" t="s">
        <v>18</v>
      </c>
      <c r="G853" s="5">
        <v>0.81111111111111112</v>
      </c>
      <c r="H853" s="5">
        <v>0.60000000000000009</v>
      </c>
      <c r="I853" s="5">
        <v>0.05</v>
      </c>
      <c r="J853" s="6">
        <v>0.45901639344262302</v>
      </c>
      <c r="K853" s="6">
        <v>0.8832142857142854</v>
      </c>
      <c r="L853" s="6">
        <v>0.69268694786611917</v>
      </c>
      <c r="M853" s="4" t="s">
        <v>156</v>
      </c>
      <c r="N853" s="4">
        <v>9.9336006795498699E-2</v>
      </c>
      <c r="O853" s="4">
        <v>0</v>
      </c>
    </row>
    <row r="854" spans="1:15" x14ac:dyDescent="0.3">
      <c r="A854" s="4">
        <v>378</v>
      </c>
      <c r="B854" s="4">
        <v>378000</v>
      </c>
      <c r="C854" s="4" t="s">
        <v>163</v>
      </c>
      <c r="D854" s="4" t="s">
        <v>161</v>
      </c>
      <c r="E854" s="4" t="s">
        <v>17</v>
      </c>
      <c r="F854" s="4" t="s">
        <v>18</v>
      </c>
      <c r="G854" s="5">
        <v>0.81111111111111112</v>
      </c>
      <c r="H854" s="5">
        <v>0.60000000000000009</v>
      </c>
      <c r="I854" s="5">
        <v>0.05</v>
      </c>
      <c r="J854" s="6">
        <v>0.50847457627118642</v>
      </c>
      <c r="K854" s="6">
        <v>0.88199999999999956</v>
      </c>
      <c r="L854" s="6">
        <v>0.77169395320991063</v>
      </c>
      <c r="M854" s="4" t="s">
        <v>156</v>
      </c>
      <c r="N854" s="4">
        <v>9.8720422096618549E-2</v>
      </c>
      <c r="O854" s="4">
        <v>0</v>
      </c>
    </row>
    <row r="855" spans="1:15" x14ac:dyDescent="0.3">
      <c r="A855" s="4">
        <v>379</v>
      </c>
      <c r="B855" s="4">
        <v>379000</v>
      </c>
      <c r="C855" s="4" t="s">
        <v>163</v>
      </c>
      <c r="D855" s="4" t="s">
        <v>161</v>
      </c>
      <c r="E855" s="4" t="s">
        <v>17</v>
      </c>
      <c r="F855" s="4" t="s">
        <v>18</v>
      </c>
      <c r="G855" s="5">
        <v>0.81111111111111112</v>
      </c>
      <c r="H855" s="5">
        <v>0.60000000000000009</v>
      </c>
      <c r="I855" s="5">
        <v>0.05</v>
      </c>
      <c r="J855" s="6">
        <v>0.51666666666666672</v>
      </c>
      <c r="K855" s="6">
        <v>0.85419354838709638</v>
      </c>
      <c r="L855" s="6">
        <v>0.74832983959168797</v>
      </c>
      <c r="M855" s="4" t="s">
        <v>160</v>
      </c>
      <c r="N855" s="4">
        <v>9.9688697662211709E-2</v>
      </c>
      <c r="O855" s="4">
        <v>0</v>
      </c>
    </row>
    <row r="856" spans="1:15" x14ac:dyDescent="0.3">
      <c r="A856" s="4">
        <v>380</v>
      </c>
      <c r="B856" s="4">
        <v>380000</v>
      </c>
      <c r="C856" s="4" t="s">
        <v>163</v>
      </c>
      <c r="D856" s="4" t="s">
        <v>161</v>
      </c>
      <c r="E856" s="4" t="s">
        <v>17</v>
      </c>
      <c r="F856" s="4" t="s">
        <v>18</v>
      </c>
      <c r="G856" s="5">
        <v>0.81111111111111112</v>
      </c>
      <c r="H856" s="5">
        <v>0.60000000000000009</v>
      </c>
      <c r="I856" s="5">
        <v>0.05</v>
      </c>
      <c r="J856" s="6">
        <v>0.53333333333333333</v>
      </c>
      <c r="K856" s="6">
        <v>0.85406249999999972</v>
      </c>
      <c r="L856" s="6">
        <v>0.77737989493155368</v>
      </c>
      <c r="M856" s="4" t="s">
        <v>156</v>
      </c>
      <c r="N856" s="4">
        <v>9.9250460907746349E-2</v>
      </c>
      <c r="O856" s="4">
        <v>0</v>
      </c>
    </row>
    <row r="857" spans="1:15" x14ac:dyDescent="0.3">
      <c r="A857" s="4">
        <v>381</v>
      </c>
      <c r="B857" s="4">
        <v>381000</v>
      </c>
      <c r="C857" s="4" t="s">
        <v>163</v>
      </c>
      <c r="D857" s="4" t="s">
        <v>161</v>
      </c>
      <c r="E857" s="4" t="s">
        <v>17</v>
      </c>
      <c r="F857" s="4" t="s">
        <v>18</v>
      </c>
      <c r="G857" s="5">
        <v>0.81111111111111112</v>
      </c>
      <c r="H857" s="5">
        <v>0.60000000000000009</v>
      </c>
      <c r="I857" s="5">
        <v>0.05</v>
      </c>
      <c r="J857" s="6">
        <v>0.49152542372881358</v>
      </c>
      <c r="K857" s="6">
        <v>0.85620689655172388</v>
      </c>
      <c r="L857" s="6">
        <v>0.68907548677730734</v>
      </c>
      <c r="M857" s="4" t="s">
        <v>129</v>
      </c>
      <c r="N857" s="4">
        <v>9.6709435142421307E-2</v>
      </c>
      <c r="O857" s="4">
        <v>0</v>
      </c>
    </row>
    <row r="858" spans="1:15" x14ac:dyDescent="0.3">
      <c r="A858" s="4">
        <v>382</v>
      </c>
      <c r="B858" s="4">
        <v>382000</v>
      </c>
      <c r="C858" s="4" t="s">
        <v>163</v>
      </c>
      <c r="D858" s="4" t="s">
        <v>161</v>
      </c>
      <c r="E858" s="4" t="s">
        <v>17</v>
      </c>
      <c r="F858" s="4" t="s">
        <v>18</v>
      </c>
      <c r="G858" s="5">
        <v>0.81111111111111112</v>
      </c>
      <c r="H858" s="5">
        <v>0.60000000000000009</v>
      </c>
      <c r="I858" s="5">
        <v>0.05</v>
      </c>
      <c r="J858" s="6">
        <v>0.49152542372881358</v>
      </c>
      <c r="K858" s="6">
        <v>0.85620689655172388</v>
      </c>
      <c r="L858" s="6">
        <v>0.68864821191826686</v>
      </c>
      <c r="M858" s="4" t="s">
        <v>78</v>
      </c>
      <c r="N858" s="4">
        <v>9.6395800927672345E-2</v>
      </c>
      <c r="O858" s="4">
        <v>0</v>
      </c>
    </row>
    <row r="859" spans="1:15" x14ac:dyDescent="0.3">
      <c r="A859" s="4">
        <v>383</v>
      </c>
      <c r="B859" s="4">
        <v>383000</v>
      </c>
      <c r="C859" s="4" t="s">
        <v>163</v>
      </c>
      <c r="D859" s="4" t="s">
        <v>161</v>
      </c>
      <c r="E859" s="4" t="s">
        <v>17</v>
      </c>
      <c r="F859" s="4" t="s">
        <v>18</v>
      </c>
      <c r="G859" s="5">
        <v>0.81111111111111112</v>
      </c>
      <c r="H859" s="5">
        <v>0.60000000000000009</v>
      </c>
      <c r="I859" s="5">
        <v>0.05</v>
      </c>
      <c r="J859" s="6">
        <v>0.50847457627118642</v>
      </c>
      <c r="K859" s="6">
        <v>0.85699999999999965</v>
      </c>
      <c r="L859" s="6">
        <v>0.72710431150303079</v>
      </c>
      <c r="M859" s="4" t="s">
        <v>129</v>
      </c>
      <c r="N859" s="4">
        <v>9.679626729839326E-2</v>
      </c>
      <c r="O859" s="4">
        <v>0</v>
      </c>
    </row>
    <row r="860" spans="1:15" x14ac:dyDescent="0.3">
      <c r="A860" s="4">
        <v>384</v>
      </c>
      <c r="B860" s="4">
        <v>384000</v>
      </c>
      <c r="C860" s="4" t="s">
        <v>163</v>
      </c>
      <c r="D860" s="4" t="s">
        <v>161</v>
      </c>
      <c r="E860" s="4" t="s">
        <v>17</v>
      </c>
      <c r="F860" s="4" t="s">
        <v>18</v>
      </c>
      <c r="G860" s="5">
        <v>0.81111111111111112</v>
      </c>
      <c r="H860" s="5">
        <v>0.60000000000000009</v>
      </c>
      <c r="I860" s="5">
        <v>0.05</v>
      </c>
      <c r="J860" s="6">
        <v>0.5</v>
      </c>
      <c r="K860" s="6">
        <v>0.85566666666666635</v>
      </c>
      <c r="L860" s="6">
        <v>0.73380169371310622</v>
      </c>
      <c r="M860" s="4" t="s">
        <v>154</v>
      </c>
      <c r="N860" s="4">
        <v>9.8303496710009236E-2</v>
      </c>
      <c r="O860" s="4">
        <v>0</v>
      </c>
    </row>
    <row r="861" spans="1:15" x14ac:dyDescent="0.3">
      <c r="A861" s="4">
        <v>385</v>
      </c>
      <c r="B861" s="4">
        <v>385000</v>
      </c>
      <c r="C861" s="4" t="s">
        <v>163</v>
      </c>
      <c r="D861" s="4" t="s">
        <v>161</v>
      </c>
      <c r="E861" s="4" t="s">
        <v>17</v>
      </c>
      <c r="F861" s="4" t="s">
        <v>18</v>
      </c>
      <c r="G861" s="5">
        <v>0.81111111111111112</v>
      </c>
      <c r="H861" s="5">
        <v>0.60000000000000009</v>
      </c>
      <c r="I861" s="5">
        <v>0.05</v>
      </c>
      <c r="J861" s="6">
        <v>0.51666666666666672</v>
      </c>
      <c r="K861" s="6">
        <v>0.85451612903225771</v>
      </c>
      <c r="L861" s="6">
        <v>0.76340504056408731</v>
      </c>
      <c r="M861" s="4" t="s">
        <v>160</v>
      </c>
      <c r="N861" s="4">
        <v>0.1002608887235934</v>
      </c>
      <c r="O861" s="4">
        <v>0</v>
      </c>
    </row>
    <row r="862" spans="1:15" x14ac:dyDescent="0.3">
      <c r="A862" s="4">
        <v>386</v>
      </c>
      <c r="B862" s="4">
        <v>386000</v>
      </c>
      <c r="C862" s="4" t="s">
        <v>163</v>
      </c>
      <c r="D862" s="4" t="s">
        <v>161</v>
      </c>
      <c r="E862" s="4" t="s">
        <v>17</v>
      </c>
      <c r="F862" s="4" t="s">
        <v>18</v>
      </c>
      <c r="G862" s="5">
        <v>0.81111111111111112</v>
      </c>
      <c r="H862" s="5">
        <v>0.60000000000000009</v>
      </c>
      <c r="I862" s="5">
        <v>0.05</v>
      </c>
      <c r="J862" s="6">
        <v>0.56666666666666665</v>
      </c>
      <c r="K862" s="6">
        <v>0.85617647058823509</v>
      </c>
      <c r="L862" s="6">
        <v>0.79582985753779112</v>
      </c>
      <c r="M862" s="4" t="s">
        <v>60</v>
      </c>
      <c r="N862" s="4">
        <v>0.10688633280176529</v>
      </c>
      <c r="O862" s="4">
        <v>0</v>
      </c>
    </row>
    <row r="863" spans="1:15" x14ac:dyDescent="0.3">
      <c r="A863" s="4">
        <v>387</v>
      </c>
      <c r="B863" s="4">
        <v>387000</v>
      </c>
      <c r="C863" s="4" t="s">
        <v>163</v>
      </c>
      <c r="D863" s="4" t="s">
        <v>161</v>
      </c>
      <c r="E863" s="4" t="s">
        <v>17</v>
      </c>
      <c r="F863" s="4" t="s">
        <v>18</v>
      </c>
      <c r="G863" s="5">
        <v>0.81111111111111112</v>
      </c>
      <c r="H863" s="5">
        <v>0.60000000000000009</v>
      </c>
      <c r="I863" s="5">
        <v>0.05</v>
      </c>
      <c r="J863" s="6">
        <v>0.55000000000000004</v>
      </c>
      <c r="K863" s="6">
        <v>0.85757575757575732</v>
      </c>
      <c r="L863" s="6">
        <v>0.77713591801010606</v>
      </c>
      <c r="M863" s="4" t="s">
        <v>93</v>
      </c>
      <c r="N863" s="4">
        <v>0.10544621484760459</v>
      </c>
      <c r="O863" s="4">
        <v>0</v>
      </c>
    </row>
    <row r="864" spans="1:15" x14ac:dyDescent="0.3">
      <c r="A864" s="4">
        <v>388</v>
      </c>
      <c r="B864" s="4">
        <v>388000</v>
      </c>
      <c r="C864" s="4" t="s">
        <v>163</v>
      </c>
      <c r="D864" s="4" t="s">
        <v>161</v>
      </c>
      <c r="E864" s="4" t="s">
        <v>17</v>
      </c>
      <c r="F864" s="4" t="s">
        <v>18</v>
      </c>
      <c r="G864" s="5">
        <v>0.81111111111111112</v>
      </c>
      <c r="H864" s="5">
        <v>0.60000000000000009</v>
      </c>
      <c r="I864" s="5">
        <v>0.05</v>
      </c>
      <c r="J864" s="6">
        <v>0.53333333333333333</v>
      </c>
      <c r="K864" s="6">
        <v>0.85468749999999971</v>
      </c>
      <c r="L864" s="6">
        <v>0.74915949156057016</v>
      </c>
      <c r="M864" s="4" t="s">
        <v>136</v>
      </c>
      <c r="N864" s="4">
        <v>0.1055210546534622</v>
      </c>
      <c r="O864" s="4">
        <v>0</v>
      </c>
    </row>
    <row r="865" spans="1:15" x14ac:dyDescent="0.3">
      <c r="A865" s="4">
        <v>389</v>
      </c>
      <c r="B865" s="4">
        <v>389000</v>
      </c>
      <c r="C865" s="4" t="s">
        <v>163</v>
      </c>
      <c r="D865" s="4" t="s">
        <v>161</v>
      </c>
      <c r="E865" s="4" t="s">
        <v>17</v>
      </c>
      <c r="F865" s="4" t="s">
        <v>18</v>
      </c>
      <c r="G865" s="5">
        <v>0.81111111111111112</v>
      </c>
      <c r="H865" s="5">
        <v>0.60000000000000009</v>
      </c>
      <c r="I865" s="5">
        <v>0.05</v>
      </c>
      <c r="J865" s="6">
        <v>0.52542372881355937</v>
      </c>
      <c r="K865" s="6">
        <v>0.85580645161290292</v>
      </c>
      <c r="L865" s="6">
        <v>0.7294439433591392</v>
      </c>
      <c r="M865" s="4" t="s">
        <v>160</v>
      </c>
      <c r="N865" s="4">
        <v>0.1004547437020387</v>
      </c>
      <c r="O865" s="4">
        <v>0</v>
      </c>
    </row>
    <row r="866" spans="1:15" x14ac:dyDescent="0.3">
      <c r="A866" s="4">
        <v>390</v>
      </c>
      <c r="B866" s="4">
        <v>390000</v>
      </c>
      <c r="C866" s="4" t="s">
        <v>163</v>
      </c>
      <c r="D866" s="4" t="s">
        <v>161</v>
      </c>
      <c r="E866" s="4" t="s">
        <v>17</v>
      </c>
      <c r="F866" s="4" t="s">
        <v>18</v>
      </c>
      <c r="G866" s="5">
        <v>0.81111111111111112</v>
      </c>
      <c r="H866" s="5">
        <v>0.60000000000000009</v>
      </c>
      <c r="I866" s="5">
        <v>0.05</v>
      </c>
      <c r="J866" s="6">
        <v>0.52459016393442626</v>
      </c>
      <c r="K866" s="6">
        <v>0.8559374999999998</v>
      </c>
      <c r="L866" s="6">
        <v>0.72831195842003049</v>
      </c>
      <c r="M866" s="4" t="s">
        <v>160</v>
      </c>
      <c r="N866" s="4">
        <v>0.1000760988644824</v>
      </c>
      <c r="O866" s="4">
        <v>0</v>
      </c>
    </row>
    <row r="867" spans="1:15" x14ac:dyDescent="0.3">
      <c r="A867" s="4">
        <v>391</v>
      </c>
      <c r="B867" s="4">
        <v>391000</v>
      </c>
      <c r="C867" s="4" t="s">
        <v>163</v>
      </c>
      <c r="D867" s="4" t="s">
        <v>161</v>
      </c>
      <c r="E867" s="4" t="s">
        <v>17</v>
      </c>
      <c r="F867" s="4" t="s">
        <v>18</v>
      </c>
      <c r="G867" s="5">
        <v>0.81111111111111112</v>
      </c>
      <c r="H867" s="5">
        <v>0.60000000000000009</v>
      </c>
      <c r="I867" s="5">
        <v>0.05</v>
      </c>
      <c r="J867" s="6">
        <v>0.53333333333333333</v>
      </c>
      <c r="K867" s="6">
        <v>0.85562499999999975</v>
      </c>
      <c r="L867" s="6">
        <v>0.71801787568444531</v>
      </c>
      <c r="M867" s="4" t="s">
        <v>78</v>
      </c>
      <c r="N867" s="4">
        <v>9.629864293702492E-2</v>
      </c>
      <c r="O867" s="4">
        <v>0</v>
      </c>
    </row>
    <row r="868" spans="1:15" x14ac:dyDescent="0.3">
      <c r="A868" s="4">
        <v>392</v>
      </c>
      <c r="B868" s="4">
        <v>392000</v>
      </c>
      <c r="C868" s="4" t="s">
        <v>163</v>
      </c>
      <c r="D868" s="4" t="s">
        <v>161</v>
      </c>
      <c r="E868" s="4" t="s">
        <v>17</v>
      </c>
      <c r="F868" s="4" t="s">
        <v>18</v>
      </c>
      <c r="G868" s="5">
        <v>0.81111111111111112</v>
      </c>
      <c r="H868" s="5">
        <v>0.60000000000000009</v>
      </c>
      <c r="I868" s="5">
        <v>0.05</v>
      </c>
      <c r="J868" s="6">
        <v>0.52542372881355937</v>
      </c>
      <c r="K868" s="6">
        <v>0.85451612903225782</v>
      </c>
      <c r="L868" s="6">
        <v>0.71854112019061578</v>
      </c>
      <c r="M868" s="4" t="s">
        <v>39</v>
      </c>
      <c r="N868" s="4">
        <v>9.3459885264362427E-2</v>
      </c>
      <c r="O868" s="4">
        <v>0</v>
      </c>
    </row>
    <row r="869" spans="1:15" x14ac:dyDescent="0.3">
      <c r="A869" s="4">
        <v>393</v>
      </c>
      <c r="B869" s="4">
        <v>393000</v>
      </c>
      <c r="C869" s="4" t="s">
        <v>163</v>
      </c>
      <c r="D869" s="4" t="s">
        <v>161</v>
      </c>
      <c r="E869" s="4" t="s">
        <v>17</v>
      </c>
      <c r="F869" s="4" t="s">
        <v>18</v>
      </c>
      <c r="G869" s="5">
        <v>0.81111111111111112</v>
      </c>
      <c r="H869" s="5">
        <v>0.60000000000000009</v>
      </c>
      <c r="I869" s="5">
        <v>0.05</v>
      </c>
      <c r="J869" s="6">
        <v>0.53448275862068961</v>
      </c>
      <c r="K869" s="6">
        <v>0.85387096774193527</v>
      </c>
      <c r="L869" s="6">
        <v>0.71673227403122741</v>
      </c>
      <c r="M869" s="4" t="s">
        <v>22</v>
      </c>
      <c r="N869" s="4">
        <v>9.4190904465548106E-2</v>
      </c>
      <c r="O869" s="4">
        <v>0</v>
      </c>
    </row>
    <row r="870" spans="1:15" x14ac:dyDescent="0.3">
      <c r="A870" s="4">
        <v>394</v>
      </c>
      <c r="B870" s="4">
        <v>394000</v>
      </c>
      <c r="C870" s="4" t="s">
        <v>163</v>
      </c>
      <c r="D870" s="4" t="s">
        <v>161</v>
      </c>
      <c r="E870" s="4" t="s">
        <v>17</v>
      </c>
      <c r="F870" s="4" t="s">
        <v>18</v>
      </c>
      <c r="G870" s="5">
        <v>0.81111111111111112</v>
      </c>
      <c r="H870" s="5">
        <v>0.60000000000000009</v>
      </c>
      <c r="I870" s="5">
        <v>0.05</v>
      </c>
      <c r="J870" s="6">
        <v>0.50847457627118642</v>
      </c>
      <c r="K870" s="6">
        <v>0.85433333333333306</v>
      </c>
      <c r="L870" s="6">
        <v>0.6776067053451198</v>
      </c>
      <c r="M870" s="4" t="s">
        <v>22</v>
      </c>
      <c r="N870" s="4">
        <v>9.3738445586726282E-2</v>
      </c>
      <c r="O870" s="4">
        <v>0</v>
      </c>
    </row>
    <row r="871" spans="1:15" x14ac:dyDescent="0.3">
      <c r="A871" s="4">
        <v>395</v>
      </c>
      <c r="B871" s="4">
        <v>395000</v>
      </c>
      <c r="C871" s="4" t="s">
        <v>163</v>
      </c>
      <c r="D871" s="4" t="s">
        <v>161</v>
      </c>
      <c r="E871" s="4" t="s">
        <v>17</v>
      </c>
      <c r="F871" s="4" t="s">
        <v>18</v>
      </c>
      <c r="G871" s="5">
        <v>0.81111111111111112</v>
      </c>
      <c r="H871" s="5">
        <v>0.60000000000000009</v>
      </c>
      <c r="I871" s="5">
        <v>0.05</v>
      </c>
      <c r="J871" s="6">
        <v>0.50847457627118642</v>
      </c>
      <c r="K871" s="6">
        <v>0.85266666666666624</v>
      </c>
      <c r="L871" s="6">
        <v>0.71704052621283554</v>
      </c>
      <c r="M871" s="4" t="s">
        <v>73</v>
      </c>
      <c r="N871" s="4">
        <v>9.1683396148126831E-2</v>
      </c>
      <c r="O871" s="4">
        <v>0</v>
      </c>
    </row>
    <row r="872" spans="1:15" x14ac:dyDescent="0.3">
      <c r="A872" s="4">
        <v>396</v>
      </c>
      <c r="B872" s="4">
        <v>396000</v>
      </c>
      <c r="C872" s="4" t="s">
        <v>163</v>
      </c>
      <c r="D872" s="4" t="s">
        <v>161</v>
      </c>
      <c r="E872" s="4" t="s">
        <v>17</v>
      </c>
      <c r="F872" s="4" t="s">
        <v>18</v>
      </c>
      <c r="G872" s="5">
        <v>0.81111111111111112</v>
      </c>
      <c r="H872" s="5">
        <v>0.60000000000000009</v>
      </c>
      <c r="I872" s="5">
        <v>0.05</v>
      </c>
      <c r="J872" s="6">
        <v>0.50847457627118642</v>
      </c>
      <c r="K872" s="6">
        <v>0.85366666666666646</v>
      </c>
      <c r="L872" s="6">
        <v>0.7171052773909391</v>
      </c>
      <c r="M872" s="4" t="s">
        <v>73</v>
      </c>
      <c r="N872" s="4">
        <v>9.2129217499314658E-2</v>
      </c>
      <c r="O872" s="4">
        <v>0</v>
      </c>
    </row>
    <row r="873" spans="1:15" x14ac:dyDescent="0.3">
      <c r="A873" s="4">
        <v>397</v>
      </c>
      <c r="B873" s="4">
        <v>397000</v>
      </c>
      <c r="C873" s="4" t="s">
        <v>163</v>
      </c>
      <c r="D873" s="4" t="s">
        <v>161</v>
      </c>
      <c r="E873" s="4" t="s">
        <v>17</v>
      </c>
      <c r="F873" s="4" t="s">
        <v>18</v>
      </c>
      <c r="G873" s="5">
        <v>0.81111111111111112</v>
      </c>
      <c r="H873" s="5">
        <v>0.60000000000000009</v>
      </c>
      <c r="I873" s="5">
        <v>0.05</v>
      </c>
      <c r="J873" s="6">
        <v>0.49152542372881358</v>
      </c>
      <c r="K873" s="6">
        <v>0.852413793103448</v>
      </c>
      <c r="L873" s="6">
        <v>0.77019224933867092</v>
      </c>
      <c r="M873" s="4" t="s">
        <v>74</v>
      </c>
      <c r="N873" s="4">
        <v>8.8681977561082162E-2</v>
      </c>
      <c r="O873" s="4">
        <v>0</v>
      </c>
    </row>
    <row r="874" spans="1:15" x14ac:dyDescent="0.3">
      <c r="A874" s="4">
        <v>398</v>
      </c>
      <c r="B874" s="4">
        <v>398000</v>
      </c>
      <c r="C874" s="4" t="s">
        <v>163</v>
      </c>
      <c r="D874" s="4" t="s">
        <v>161</v>
      </c>
      <c r="E874" s="4" t="s">
        <v>17</v>
      </c>
      <c r="F874" s="4" t="s">
        <v>18</v>
      </c>
      <c r="G874" s="5">
        <v>0.81111111111111112</v>
      </c>
      <c r="H874" s="5">
        <v>0.60000000000000009</v>
      </c>
      <c r="I874" s="5">
        <v>0.05</v>
      </c>
      <c r="J874" s="6">
        <v>0.48275862068965519</v>
      </c>
      <c r="K874" s="6">
        <v>0.85249999999999981</v>
      </c>
      <c r="L874" s="6">
        <v>0.81430374206897083</v>
      </c>
      <c r="M874" s="4" t="s">
        <v>49</v>
      </c>
      <c r="N874" s="4">
        <v>9.0419865047754983E-2</v>
      </c>
      <c r="O874" s="4">
        <v>0</v>
      </c>
    </row>
    <row r="875" spans="1:15" x14ac:dyDescent="0.3">
      <c r="A875" s="4">
        <v>399</v>
      </c>
      <c r="B875" s="4">
        <v>399000</v>
      </c>
      <c r="C875" s="4" t="s">
        <v>163</v>
      </c>
      <c r="D875" s="4" t="s">
        <v>161</v>
      </c>
      <c r="E875" s="4" t="s">
        <v>17</v>
      </c>
      <c r="F875" s="4" t="s">
        <v>18</v>
      </c>
      <c r="G875" s="5">
        <v>0.81111111111111112</v>
      </c>
      <c r="H875" s="5">
        <v>0.60000000000000009</v>
      </c>
      <c r="I875" s="5">
        <v>0.05</v>
      </c>
      <c r="J875" s="6">
        <v>0.45</v>
      </c>
      <c r="K875" s="6">
        <v>0.85370370370370352</v>
      </c>
      <c r="L875" s="6">
        <v>0.81519171695839121</v>
      </c>
      <c r="M875" s="4" t="s">
        <v>118</v>
      </c>
      <c r="N875" s="4">
        <v>8.7160065323925326E-2</v>
      </c>
      <c r="O875" s="4">
        <v>0</v>
      </c>
    </row>
    <row r="876" spans="1:15" x14ac:dyDescent="0.3">
      <c r="A876" s="4">
        <v>400</v>
      </c>
      <c r="B876" s="4">
        <v>400000</v>
      </c>
      <c r="C876" s="4" t="s">
        <v>163</v>
      </c>
      <c r="D876" s="4" t="s">
        <v>161</v>
      </c>
      <c r="E876" s="4" t="s">
        <v>17</v>
      </c>
      <c r="F876" s="4" t="s">
        <v>18</v>
      </c>
      <c r="G876" s="5">
        <v>0.81111111111111112</v>
      </c>
      <c r="H876" s="5">
        <v>0.60000000000000009</v>
      </c>
      <c r="I876" s="5">
        <v>0.05</v>
      </c>
      <c r="J876" s="6">
        <v>0.41935483870967738</v>
      </c>
      <c r="K876" s="6">
        <v>0.85038461538461507</v>
      </c>
      <c r="L876" s="6">
        <v>0.77924187644517351</v>
      </c>
      <c r="M876" s="4" t="s">
        <v>50</v>
      </c>
      <c r="N876" s="4">
        <v>8.4706895831074533E-2</v>
      </c>
      <c r="O876" s="4">
        <v>0</v>
      </c>
    </row>
    <row r="877" spans="1:15" x14ac:dyDescent="0.3">
      <c r="A877" s="4">
        <v>401</v>
      </c>
      <c r="B877" s="4">
        <v>401000</v>
      </c>
      <c r="C877" s="4" t="s">
        <v>163</v>
      </c>
      <c r="D877" s="4" t="s">
        <v>161</v>
      </c>
      <c r="E877" s="4" t="s">
        <v>17</v>
      </c>
      <c r="F877" s="4" t="s">
        <v>18</v>
      </c>
      <c r="G877" s="5">
        <v>0.81111111111111112</v>
      </c>
      <c r="H877" s="5">
        <v>0.60000000000000009</v>
      </c>
      <c r="I877" s="5">
        <v>0.05</v>
      </c>
      <c r="J877" s="6">
        <v>0.40625</v>
      </c>
      <c r="K877" s="6">
        <v>0.84999999999999976</v>
      </c>
      <c r="L877" s="6">
        <v>0.7785259640780825</v>
      </c>
      <c r="M877" s="4" t="s">
        <v>74</v>
      </c>
      <c r="N877" s="4">
        <v>8.8915911503275866E-2</v>
      </c>
      <c r="O877" s="4">
        <v>0</v>
      </c>
    </row>
    <row r="878" spans="1:15" x14ac:dyDescent="0.3">
      <c r="A878" s="4">
        <v>402</v>
      </c>
      <c r="B878" s="4">
        <v>402000</v>
      </c>
      <c r="C878" s="4" t="s">
        <v>163</v>
      </c>
      <c r="D878" s="4" t="s">
        <v>161</v>
      </c>
      <c r="E878" s="4" t="s">
        <v>17</v>
      </c>
      <c r="F878" s="4" t="s">
        <v>18</v>
      </c>
      <c r="G878" s="5">
        <v>0.81111111111111112</v>
      </c>
      <c r="H878" s="5">
        <v>0.60000000000000009</v>
      </c>
      <c r="I878" s="5">
        <v>0.05</v>
      </c>
      <c r="J878" s="6">
        <v>0.38461538461538458</v>
      </c>
      <c r="K878" s="6">
        <v>0.85079999999999967</v>
      </c>
      <c r="L878" s="6">
        <v>0.81562728285773711</v>
      </c>
      <c r="M878" s="4" t="s">
        <v>74</v>
      </c>
      <c r="N878" s="4">
        <v>8.9469812895236131E-2</v>
      </c>
      <c r="O878" s="4">
        <v>0</v>
      </c>
    </row>
    <row r="879" spans="1:15" x14ac:dyDescent="0.3">
      <c r="A879" s="4">
        <v>403</v>
      </c>
      <c r="B879" s="4">
        <v>403000</v>
      </c>
      <c r="C879" s="4" t="s">
        <v>163</v>
      </c>
      <c r="D879" s="4" t="s">
        <v>161</v>
      </c>
      <c r="E879" s="4" t="s">
        <v>17</v>
      </c>
      <c r="F879" s="4" t="s">
        <v>18</v>
      </c>
      <c r="G879" s="5">
        <v>0.81111111111111112</v>
      </c>
      <c r="H879" s="5">
        <v>0.60000000000000009</v>
      </c>
      <c r="I879" s="5">
        <v>0.05</v>
      </c>
      <c r="J879" s="6">
        <v>0.37878787878787878</v>
      </c>
      <c r="K879" s="6">
        <v>0.8515999999999998</v>
      </c>
      <c r="L879" s="6">
        <v>0.81573759232127707</v>
      </c>
      <c r="M879" s="4" t="s">
        <v>22</v>
      </c>
      <c r="N879" s="4">
        <v>9.3755003848717725E-2</v>
      </c>
      <c r="O879" s="4">
        <v>0</v>
      </c>
    </row>
    <row r="880" spans="1:15" x14ac:dyDescent="0.3">
      <c r="A880" s="4">
        <v>404</v>
      </c>
      <c r="B880" s="4">
        <v>404000</v>
      </c>
      <c r="C880" s="4" t="s">
        <v>163</v>
      </c>
      <c r="D880" s="4" t="s">
        <v>161</v>
      </c>
      <c r="E880" s="4" t="s">
        <v>17</v>
      </c>
      <c r="F880" s="4" t="s">
        <v>18</v>
      </c>
      <c r="G880" s="5">
        <v>0.81111111111111112</v>
      </c>
      <c r="H880" s="5">
        <v>0.60000000000000009</v>
      </c>
      <c r="I880" s="5">
        <v>0.05</v>
      </c>
      <c r="J880" s="6">
        <v>0.39393939393939392</v>
      </c>
      <c r="K880" s="6">
        <v>0.85192307692307678</v>
      </c>
      <c r="L880" s="6">
        <v>0.77466560768192128</v>
      </c>
      <c r="M880" s="4" t="s">
        <v>154</v>
      </c>
      <c r="N880" s="4">
        <v>9.8025144797205088E-2</v>
      </c>
      <c r="O880" s="4">
        <v>0</v>
      </c>
    </row>
    <row r="881" spans="1:15" x14ac:dyDescent="0.3">
      <c r="A881" s="4">
        <v>405</v>
      </c>
      <c r="B881" s="4">
        <v>405000</v>
      </c>
      <c r="C881" s="4" t="s">
        <v>163</v>
      </c>
      <c r="D881" s="4" t="s">
        <v>161</v>
      </c>
      <c r="E881" s="4" t="s">
        <v>17</v>
      </c>
      <c r="F881" s="4" t="s">
        <v>18</v>
      </c>
      <c r="G881" s="5">
        <v>0.81111111111111112</v>
      </c>
      <c r="H881" s="5">
        <v>0.60000000000000009</v>
      </c>
      <c r="I881" s="5">
        <v>0.05</v>
      </c>
      <c r="J881" s="6">
        <v>0.4</v>
      </c>
      <c r="K881" s="6">
        <v>0.85076923076923072</v>
      </c>
      <c r="L881" s="6">
        <v>0.77414364928323265</v>
      </c>
      <c r="M881" s="4" t="s">
        <v>99</v>
      </c>
      <c r="N881" s="4">
        <v>0.1025397342347116</v>
      </c>
      <c r="O881" s="4">
        <v>0</v>
      </c>
    </row>
    <row r="882" spans="1:15" x14ac:dyDescent="0.3">
      <c r="A882" s="4">
        <v>406</v>
      </c>
      <c r="B882" s="4">
        <v>406000</v>
      </c>
      <c r="C882" s="4" t="s">
        <v>163</v>
      </c>
      <c r="D882" s="4" t="s">
        <v>161</v>
      </c>
      <c r="E882" s="4" t="s">
        <v>17</v>
      </c>
      <c r="F882" s="4" t="s">
        <v>18</v>
      </c>
      <c r="G882" s="5">
        <v>0.81111111111111112</v>
      </c>
      <c r="H882" s="5">
        <v>0.60000000000000009</v>
      </c>
      <c r="I882" s="5">
        <v>0.05</v>
      </c>
      <c r="J882" s="6">
        <v>0.4</v>
      </c>
      <c r="K882" s="6">
        <v>0.85115384615384593</v>
      </c>
      <c r="L882" s="6">
        <v>0.77447010089965906</v>
      </c>
      <c r="M882" s="4" t="s">
        <v>82</v>
      </c>
      <c r="N882" s="4">
        <v>0.1022180754870254</v>
      </c>
      <c r="O882" s="4">
        <v>0</v>
      </c>
    </row>
    <row r="883" spans="1:15" x14ac:dyDescent="0.3">
      <c r="A883" s="4">
        <v>407</v>
      </c>
      <c r="B883" s="4">
        <v>407000</v>
      </c>
      <c r="C883" s="4" t="s">
        <v>163</v>
      </c>
      <c r="D883" s="4" t="s">
        <v>161</v>
      </c>
      <c r="E883" s="4" t="s">
        <v>17</v>
      </c>
      <c r="F883" s="4" t="s">
        <v>18</v>
      </c>
      <c r="G883" s="5">
        <v>0.81111111111111112</v>
      </c>
      <c r="H883" s="5">
        <v>0.60000000000000009</v>
      </c>
      <c r="I883" s="5">
        <v>0.05</v>
      </c>
      <c r="J883" s="6">
        <v>0.41538461538461541</v>
      </c>
      <c r="K883" s="6">
        <v>0.85148148148148128</v>
      </c>
      <c r="L883" s="6">
        <v>0.81323021571237364</v>
      </c>
      <c r="M883" s="4" t="s">
        <v>82</v>
      </c>
      <c r="N883" s="4">
        <v>0.10246659214129521</v>
      </c>
      <c r="O883" s="4">
        <v>0</v>
      </c>
    </row>
    <row r="884" spans="1:15" x14ac:dyDescent="0.3">
      <c r="A884" s="4">
        <v>408</v>
      </c>
      <c r="B884" s="4">
        <v>408000</v>
      </c>
      <c r="C884" s="4" t="s">
        <v>163</v>
      </c>
      <c r="D884" s="4" t="s">
        <v>161</v>
      </c>
      <c r="E884" s="4" t="s">
        <v>17</v>
      </c>
      <c r="F884" s="4" t="s">
        <v>18</v>
      </c>
      <c r="G884" s="5">
        <v>0.81111111111111112</v>
      </c>
      <c r="H884" s="5">
        <v>0.60000000000000009</v>
      </c>
      <c r="I884" s="5">
        <v>0.05</v>
      </c>
      <c r="J884" s="6">
        <v>0.39393939393939392</v>
      </c>
      <c r="K884" s="6">
        <v>0.85230769230769221</v>
      </c>
      <c r="L884" s="6">
        <v>0.84597345528124002</v>
      </c>
      <c r="M884" s="4" t="s">
        <v>28</v>
      </c>
      <c r="N884" s="4">
        <v>0.10119091920970751</v>
      </c>
      <c r="O884" s="4">
        <v>0</v>
      </c>
    </row>
    <row r="885" spans="1:15" x14ac:dyDescent="0.3">
      <c r="A885" s="4">
        <v>409</v>
      </c>
      <c r="B885" s="4">
        <v>409000</v>
      </c>
      <c r="C885" s="4" t="s">
        <v>163</v>
      </c>
      <c r="D885" s="4" t="s">
        <v>161</v>
      </c>
      <c r="E885" s="4" t="s">
        <v>17</v>
      </c>
      <c r="F885" s="4" t="s">
        <v>18</v>
      </c>
      <c r="G885" s="5">
        <v>0.81111111111111112</v>
      </c>
      <c r="H885" s="5">
        <v>0.60000000000000009</v>
      </c>
      <c r="I885" s="5">
        <v>0.05</v>
      </c>
      <c r="J885" s="6">
        <v>0.40909090909090912</v>
      </c>
      <c r="K885" s="6">
        <v>0.8529629629629627</v>
      </c>
      <c r="L885" s="6">
        <v>0.8470870140762542</v>
      </c>
      <c r="M885" s="4" t="s">
        <v>28</v>
      </c>
      <c r="N885" s="4">
        <v>0.1014510229617302</v>
      </c>
      <c r="O885" s="4">
        <v>0</v>
      </c>
    </row>
    <row r="886" spans="1:15" x14ac:dyDescent="0.3">
      <c r="A886" s="4">
        <v>410</v>
      </c>
      <c r="B886" s="4">
        <v>410000</v>
      </c>
      <c r="C886" s="4" t="s">
        <v>163</v>
      </c>
      <c r="D886" s="4" t="s">
        <v>161</v>
      </c>
      <c r="E886" s="4" t="s">
        <v>17</v>
      </c>
      <c r="F886" s="4" t="s">
        <v>18</v>
      </c>
      <c r="G886" s="5">
        <v>0.81111111111111112</v>
      </c>
      <c r="H886" s="5">
        <v>0.60000000000000009</v>
      </c>
      <c r="I886" s="5">
        <v>0.05</v>
      </c>
      <c r="J886" s="6">
        <v>0.421875</v>
      </c>
      <c r="K886" s="6">
        <v>0.85333333333333306</v>
      </c>
      <c r="L886" s="6">
        <v>0.84618659027311838</v>
      </c>
      <c r="M886" s="4" t="s">
        <v>99</v>
      </c>
      <c r="N886" s="4">
        <v>0.1025725963635334</v>
      </c>
      <c r="O886" s="4">
        <v>0</v>
      </c>
    </row>
    <row r="887" spans="1:15" x14ac:dyDescent="0.3">
      <c r="A887" s="4">
        <v>411</v>
      </c>
      <c r="B887" s="4">
        <v>411000</v>
      </c>
      <c r="C887" s="4" t="s">
        <v>163</v>
      </c>
      <c r="D887" s="4" t="s">
        <v>161</v>
      </c>
      <c r="E887" s="4" t="s">
        <v>17</v>
      </c>
      <c r="F887" s="4" t="s">
        <v>18</v>
      </c>
      <c r="G887" s="5">
        <v>0.81111111111111112</v>
      </c>
      <c r="H887" s="5">
        <v>0.60000000000000009</v>
      </c>
      <c r="I887" s="5">
        <v>0.05</v>
      </c>
      <c r="J887" s="6">
        <v>0.41538461538461541</v>
      </c>
      <c r="K887" s="6">
        <v>0.85370370370370352</v>
      </c>
      <c r="L887" s="6">
        <v>0.84650847540113583</v>
      </c>
      <c r="M887" s="4" t="s">
        <v>160</v>
      </c>
      <c r="N887" s="4">
        <v>9.9803080898344623E-2</v>
      </c>
      <c r="O887" s="4">
        <v>0</v>
      </c>
    </row>
    <row r="888" spans="1:15" x14ac:dyDescent="0.3">
      <c r="A888" s="4">
        <v>412</v>
      </c>
      <c r="B888" s="4">
        <v>412000</v>
      </c>
      <c r="C888" s="4" t="s">
        <v>163</v>
      </c>
      <c r="D888" s="4" t="s">
        <v>161</v>
      </c>
      <c r="E888" s="4" t="s">
        <v>17</v>
      </c>
      <c r="F888" s="4" t="s">
        <v>18</v>
      </c>
      <c r="G888" s="5">
        <v>0.81111111111111112</v>
      </c>
      <c r="H888" s="5">
        <v>0.60000000000000009</v>
      </c>
      <c r="I888" s="5">
        <v>0.05</v>
      </c>
      <c r="J888" s="6">
        <v>0.41538461538461541</v>
      </c>
      <c r="K888" s="6">
        <v>0.85407407407407376</v>
      </c>
      <c r="L888" s="6">
        <v>0.84706244276662523</v>
      </c>
      <c r="M888" s="4" t="s">
        <v>160</v>
      </c>
      <c r="N888" s="4">
        <v>9.9639810052900485E-2</v>
      </c>
      <c r="O888" s="4">
        <v>0</v>
      </c>
    </row>
    <row r="889" spans="1:15" x14ac:dyDescent="0.3">
      <c r="A889" s="4">
        <v>413</v>
      </c>
      <c r="B889" s="4">
        <v>413000</v>
      </c>
      <c r="C889" s="4" t="s">
        <v>163</v>
      </c>
      <c r="D889" s="4" t="s">
        <v>161</v>
      </c>
      <c r="E889" s="4" t="s">
        <v>17</v>
      </c>
      <c r="F889" s="4" t="s">
        <v>18</v>
      </c>
      <c r="G889" s="5">
        <v>0.81111111111111112</v>
      </c>
      <c r="H889" s="5">
        <v>0.60000000000000009</v>
      </c>
      <c r="I889" s="5">
        <v>0.05</v>
      </c>
      <c r="J889" s="6">
        <v>0.421875</v>
      </c>
      <c r="K889" s="6">
        <v>0.85148148148148117</v>
      </c>
      <c r="L889" s="6">
        <v>0.84306969957649613</v>
      </c>
      <c r="M889" s="4" t="s">
        <v>136</v>
      </c>
      <c r="N889" s="4">
        <v>0.1058491072016749</v>
      </c>
      <c r="O889" s="4">
        <v>0</v>
      </c>
    </row>
    <row r="890" spans="1:15" x14ac:dyDescent="0.3">
      <c r="A890" s="4">
        <v>414</v>
      </c>
      <c r="B890" s="4">
        <v>414000</v>
      </c>
      <c r="C890" s="4" t="s">
        <v>163</v>
      </c>
      <c r="D890" s="4" t="s">
        <v>161</v>
      </c>
      <c r="E890" s="4" t="s">
        <v>17</v>
      </c>
      <c r="F890" s="4" t="s">
        <v>18</v>
      </c>
      <c r="G890" s="5">
        <v>0.81111111111111112</v>
      </c>
      <c r="H890" s="5">
        <v>0.60000000000000009</v>
      </c>
      <c r="I890" s="5">
        <v>0.05</v>
      </c>
      <c r="J890" s="6">
        <v>0.4375</v>
      </c>
      <c r="K890" s="6">
        <v>0.85214285714285687</v>
      </c>
      <c r="L890" s="6">
        <v>0.86298987209921718</v>
      </c>
      <c r="M890" s="4" t="s">
        <v>79</v>
      </c>
      <c r="N890" s="4">
        <v>0.1038585017299084</v>
      </c>
      <c r="O890" s="4">
        <v>0</v>
      </c>
    </row>
    <row r="891" spans="1:15" x14ac:dyDescent="0.3">
      <c r="A891" s="4">
        <v>415</v>
      </c>
      <c r="B891" s="4">
        <v>415000</v>
      </c>
      <c r="C891" s="4" t="s">
        <v>163</v>
      </c>
      <c r="D891" s="4" t="s">
        <v>161</v>
      </c>
      <c r="E891" s="4" t="s">
        <v>17</v>
      </c>
      <c r="F891" s="4" t="s">
        <v>18</v>
      </c>
      <c r="G891" s="5">
        <v>0.81111111111111112</v>
      </c>
      <c r="H891" s="5">
        <v>0.60000000000000009</v>
      </c>
      <c r="I891" s="5">
        <v>0.05</v>
      </c>
      <c r="J891" s="6">
        <v>0.453125</v>
      </c>
      <c r="K891" s="6">
        <v>0.85655172413793079</v>
      </c>
      <c r="L891" s="6">
        <v>0.87534065986008691</v>
      </c>
      <c r="M891" s="4" t="s">
        <v>99</v>
      </c>
      <c r="N891" s="4">
        <v>0.1029078258988023</v>
      </c>
      <c r="O891" s="4">
        <v>0</v>
      </c>
    </row>
    <row r="892" spans="1:15" x14ac:dyDescent="0.3">
      <c r="A892" s="4">
        <v>416</v>
      </c>
      <c r="B892" s="4">
        <v>416000</v>
      </c>
      <c r="C892" s="4" t="s">
        <v>163</v>
      </c>
      <c r="D892" s="4" t="s">
        <v>161</v>
      </c>
      <c r="E892" s="4" t="s">
        <v>17</v>
      </c>
      <c r="F892" s="4" t="s">
        <v>18</v>
      </c>
      <c r="G892" s="5">
        <v>0.81111111111111112</v>
      </c>
      <c r="H892" s="5">
        <v>0.60000000000000009</v>
      </c>
      <c r="I892" s="5">
        <v>0.05</v>
      </c>
      <c r="J892" s="6">
        <v>0.4375</v>
      </c>
      <c r="K892" s="6">
        <v>0.85678571428571393</v>
      </c>
      <c r="L892" s="6">
        <v>0.85739795619043846</v>
      </c>
      <c r="M892" s="4" t="s">
        <v>79</v>
      </c>
      <c r="N892" s="4">
        <v>0.1039897498720594</v>
      </c>
      <c r="O892" s="4">
        <v>0</v>
      </c>
    </row>
    <row r="893" spans="1:15" x14ac:dyDescent="0.3">
      <c r="A893" s="4">
        <v>417</v>
      </c>
      <c r="B893" s="4">
        <v>417000</v>
      </c>
      <c r="C893" s="4" t="s">
        <v>163</v>
      </c>
      <c r="D893" s="4" t="s">
        <v>161</v>
      </c>
      <c r="E893" s="4" t="s">
        <v>17</v>
      </c>
      <c r="F893" s="4" t="s">
        <v>18</v>
      </c>
      <c r="G893" s="5">
        <v>0.81111111111111112</v>
      </c>
      <c r="H893" s="5">
        <v>0.60000000000000009</v>
      </c>
      <c r="I893" s="5">
        <v>0.05</v>
      </c>
      <c r="J893" s="6">
        <v>0.4375</v>
      </c>
      <c r="K893" s="6">
        <v>0.85678571428571393</v>
      </c>
      <c r="L893" s="6">
        <v>0.85851680457372315</v>
      </c>
      <c r="M893" s="4" t="s">
        <v>99</v>
      </c>
      <c r="N893" s="4">
        <v>0.10292048618404211</v>
      </c>
      <c r="O893" s="4">
        <v>0</v>
      </c>
    </row>
    <row r="894" spans="1:15" x14ac:dyDescent="0.3">
      <c r="A894" s="4">
        <v>418</v>
      </c>
      <c r="B894" s="4">
        <v>418000</v>
      </c>
      <c r="C894" s="4" t="s">
        <v>163</v>
      </c>
      <c r="D894" s="4" t="s">
        <v>161</v>
      </c>
      <c r="E894" s="4" t="s">
        <v>17</v>
      </c>
      <c r="F894" s="4" t="s">
        <v>18</v>
      </c>
      <c r="G894" s="5">
        <v>0.81111111111111112</v>
      </c>
      <c r="H894" s="5">
        <v>0.60000000000000009</v>
      </c>
      <c r="I894" s="5">
        <v>0.05</v>
      </c>
      <c r="J894" s="6">
        <v>0.4375</v>
      </c>
      <c r="K894" s="6">
        <v>0.85678571428571393</v>
      </c>
      <c r="L894" s="6">
        <v>0.85962676200288946</v>
      </c>
      <c r="M894" s="4" t="s">
        <v>79</v>
      </c>
      <c r="N894" s="4">
        <v>0.10366876418117139</v>
      </c>
      <c r="O894" s="4">
        <v>0</v>
      </c>
    </row>
    <row r="895" spans="1:15" x14ac:dyDescent="0.3">
      <c r="A895" s="4">
        <v>419</v>
      </c>
      <c r="B895" s="4">
        <v>419000</v>
      </c>
      <c r="C895" s="4" t="s">
        <v>163</v>
      </c>
      <c r="D895" s="4" t="s">
        <v>161</v>
      </c>
      <c r="E895" s="4" t="s">
        <v>17</v>
      </c>
      <c r="F895" s="4" t="s">
        <v>18</v>
      </c>
      <c r="G895" s="5">
        <v>0.81111111111111112</v>
      </c>
      <c r="H895" s="5">
        <v>0.60000000000000009</v>
      </c>
      <c r="I895" s="5">
        <v>0.05</v>
      </c>
      <c r="J895" s="6">
        <v>0.4375</v>
      </c>
      <c r="K895" s="6">
        <v>0.85678571428571393</v>
      </c>
      <c r="L895" s="6">
        <v>0.85738311584796534</v>
      </c>
      <c r="M895" s="4" t="s">
        <v>28</v>
      </c>
      <c r="N895" s="4">
        <v>0.10102205149452009</v>
      </c>
      <c r="O895" s="4">
        <v>0</v>
      </c>
    </row>
    <row r="896" spans="1:15" x14ac:dyDescent="0.3">
      <c r="A896" s="4">
        <v>420</v>
      </c>
      <c r="B896" s="4">
        <v>420000</v>
      </c>
      <c r="C896" s="4" t="s">
        <v>163</v>
      </c>
      <c r="D896" s="4" t="s">
        <v>161</v>
      </c>
      <c r="E896" s="4" t="s">
        <v>17</v>
      </c>
      <c r="F896" s="4" t="s">
        <v>18</v>
      </c>
      <c r="G896" s="5">
        <v>0.81111111111111112</v>
      </c>
      <c r="H896" s="5">
        <v>0.60000000000000009</v>
      </c>
      <c r="I896" s="5">
        <v>0.05</v>
      </c>
      <c r="J896" s="6">
        <v>0.4375</v>
      </c>
      <c r="K896" s="6">
        <v>0.85607142857142826</v>
      </c>
      <c r="L896" s="6">
        <v>0.85668267802257947</v>
      </c>
      <c r="M896" s="4" t="s">
        <v>156</v>
      </c>
      <c r="N896" s="4">
        <v>9.8676404468665546E-2</v>
      </c>
      <c r="O896" s="4">
        <v>0</v>
      </c>
    </row>
    <row r="897" spans="1:15" x14ac:dyDescent="0.3">
      <c r="A897" s="4">
        <v>421</v>
      </c>
      <c r="B897" s="4">
        <v>421000</v>
      </c>
      <c r="C897" s="4" t="s">
        <v>163</v>
      </c>
      <c r="D897" s="4" t="s">
        <v>161</v>
      </c>
      <c r="E897" s="4" t="s">
        <v>17</v>
      </c>
      <c r="F897" s="4" t="s">
        <v>18</v>
      </c>
      <c r="G897" s="5">
        <v>0.81111111111111112</v>
      </c>
      <c r="H897" s="5">
        <v>0.60000000000000009</v>
      </c>
      <c r="I897" s="5">
        <v>0.05</v>
      </c>
      <c r="J897" s="6">
        <v>0.4375</v>
      </c>
      <c r="K897" s="6">
        <v>0.85678571428571393</v>
      </c>
      <c r="L897" s="6">
        <v>0.8565936713265474</v>
      </c>
      <c r="M897" s="4" t="s">
        <v>160</v>
      </c>
      <c r="N897" s="4">
        <v>0.10023292235584851</v>
      </c>
      <c r="O897" s="4">
        <v>0</v>
      </c>
    </row>
    <row r="898" spans="1:15" x14ac:dyDescent="0.3">
      <c r="A898" s="4">
        <v>422</v>
      </c>
      <c r="B898" s="4">
        <v>422000</v>
      </c>
      <c r="C898" s="4" t="s">
        <v>163</v>
      </c>
      <c r="D898" s="4" t="s">
        <v>161</v>
      </c>
      <c r="E898" s="4" t="s">
        <v>17</v>
      </c>
      <c r="F898" s="4" t="s">
        <v>18</v>
      </c>
      <c r="G898" s="5">
        <v>0.81111111111111112</v>
      </c>
      <c r="H898" s="5">
        <v>0.60000000000000009</v>
      </c>
      <c r="I898" s="5">
        <v>0.05</v>
      </c>
      <c r="J898" s="6">
        <v>0.3968253968253968</v>
      </c>
      <c r="K898" s="6">
        <v>0.88799999999999968</v>
      </c>
      <c r="L898" s="6">
        <v>0.87231467019103703</v>
      </c>
      <c r="M898" s="4" t="s">
        <v>150</v>
      </c>
      <c r="N898" s="4">
        <v>9.5101651233005388E-2</v>
      </c>
      <c r="O898" s="4">
        <v>0</v>
      </c>
    </row>
    <row r="899" spans="1:15" x14ac:dyDescent="0.3">
      <c r="A899" s="4">
        <v>423</v>
      </c>
      <c r="B899" s="4">
        <v>423000</v>
      </c>
      <c r="C899" s="4" t="s">
        <v>163</v>
      </c>
      <c r="D899" s="4" t="s">
        <v>161</v>
      </c>
      <c r="E899" s="4" t="s">
        <v>17</v>
      </c>
      <c r="F899" s="4" t="s">
        <v>18</v>
      </c>
      <c r="G899" s="5">
        <v>0.81111111111111112</v>
      </c>
      <c r="H899" s="5">
        <v>0.60000000000000009</v>
      </c>
      <c r="I899" s="5">
        <v>0.05</v>
      </c>
      <c r="J899" s="6">
        <v>0.390625</v>
      </c>
      <c r="K899" s="6">
        <v>0.88839999999999975</v>
      </c>
      <c r="L899" s="6">
        <v>0.87341354958480721</v>
      </c>
      <c r="M899" s="4" t="s">
        <v>39</v>
      </c>
      <c r="N899" s="4">
        <v>9.2741279200694388E-2</v>
      </c>
      <c r="O899" s="4">
        <v>0</v>
      </c>
    </row>
    <row r="900" spans="1:15" x14ac:dyDescent="0.3">
      <c r="A900" s="4">
        <v>424</v>
      </c>
      <c r="B900" s="4">
        <v>424000</v>
      </c>
      <c r="C900" s="4" t="s">
        <v>163</v>
      </c>
      <c r="D900" s="4" t="s">
        <v>161</v>
      </c>
      <c r="E900" s="4" t="s">
        <v>17</v>
      </c>
      <c r="F900" s="4" t="s">
        <v>18</v>
      </c>
      <c r="G900" s="5">
        <v>0.81111111111111112</v>
      </c>
      <c r="H900" s="5">
        <v>0.60000000000000009</v>
      </c>
      <c r="I900" s="5">
        <v>0.05</v>
      </c>
      <c r="J900" s="6">
        <v>0.390625</v>
      </c>
      <c r="K900" s="6">
        <v>0.88759999999999994</v>
      </c>
      <c r="L900" s="6">
        <v>0.87651319268966332</v>
      </c>
      <c r="M900" s="4" t="s">
        <v>49</v>
      </c>
      <c r="N900" s="4">
        <v>9.0415425724048565E-2</v>
      </c>
      <c r="O900" s="4">
        <v>0</v>
      </c>
    </row>
    <row r="901" spans="1:15" x14ac:dyDescent="0.3">
      <c r="A901" s="4">
        <v>425</v>
      </c>
      <c r="B901" s="4">
        <v>425000</v>
      </c>
      <c r="C901" s="4" t="s">
        <v>163</v>
      </c>
      <c r="D901" s="4" t="s">
        <v>161</v>
      </c>
      <c r="E901" s="4" t="s">
        <v>17</v>
      </c>
      <c r="F901" s="4" t="s">
        <v>18</v>
      </c>
      <c r="G901" s="5">
        <v>0.81111111111111112</v>
      </c>
      <c r="H901" s="5">
        <v>0.60000000000000009</v>
      </c>
      <c r="I901" s="5">
        <v>0.05</v>
      </c>
      <c r="J901" s="6">
        <v>0.390625</v>
      </c>
      <c r="K901" s="6">
        <v>0.88800000000000001</v>
      </c>
      <c r="L901" s="6">
        <v>0.87592864125122194</v>
      </c>
      <c r="M901" s="4" t="s">
        <v>49</v>
      </c>
      <c r="N901" s="4">
        <v>9.0313080001259163E-2</v>
      </c>
      <c r="O901" s="4">
        <v>0</v>
      </c>
    </row>
    <row r="902" spans="1:15" x14ac:dyDescent="0.3">
      <c r="A902" s="4">
        <v>426</v>
      </c>
      <c r="B902" s="4">
        <v>426000</v>
      </c>
      <c r="C902" s="4" t="s">
        <v>163</v>
      </c>
      <c r="D902" s="4" t="s">
        <v>161</v>
      </c>
      <c r="E902" s="4" t="s">
        <v>17</v>
      </c>
      <c r="F902" s="4" t="s">
        <v>18</v>
      </c>
      <c r="G902" s="5">
        <v>0.81111111111111112</v>
      </c>
      <c r="H902" s="5">
        <v>0.60000000000000009</v>
      </c>
      <c r="I902" s="5">
        <v>0.05</v>
      </c>
      <c r="J902" s="6">
        <v>0.421875</v>
      </c>
      <c r="K902" s="6">
        <v>0.88518518518518496</v>
      </c>
      <c r="L902" s="6">
        <v>0.89491717295962236</v>
      </c>
      <c r="M902" s="4" t="s">
        <v>22</v>
      </c>
      <c r="N902" s="4">
        <v>9.4364525917059613E-2</v>
      </c>
      <c r="O902" s="4">
        <v>0</v>
      </c>
    </row>
    <row r="903" spans="1:15" x14ac:dyDescent="0.3">
      <c r="A903" s="4">
        <v>427</v>
      </c>
      <c r="B903" s="4">
        <v>427000</v>
      </c>
      <c r="C903" s="4" t="s">
        <v>163</v>
      </c>
      <c r="D903" s="4" t="s">
        <v>161</v>
      </c>
      <c r="E903" s="4" t="s">
        <v>17</v>
      </c>
      <c r="F903" s="4" t="s">
        <v>18</v>
      </c>
      <c r="G903" s="5">
        <v>0.81111111111111112</v>
      </c>
      <c r="H903" s="5">
        <v>0.60000000000000009</v>
      </c>
      <c r="I903" s="5">
        <v>0.05</v>
      </c>
      <c r="J903" s="6">
        <v>0.40625</v>
      </c>
      <c r="K903" s="6">
        <v>0.88423076923076904</v>
      </c>
      <c r="L903" s="6">
        <v>0.8123032401668292</v>
      </c>
      <c r="M903" s="4" t="s">
        <v>22</v>
      </c>
      <c r="N903" s="4">
        <v>9.439127516780968E-2</v>
      </c>
      <c r="O903" s="4">
        <v>0</v>
      </c>
    </row>
    <row r="904" spans="1:15" x14ac:dyDescent="0.3">
      <c r="A904" s="4">
        <v>428</v>
      </c>
      <c r="B904" s="4">
        <v>428000</v>
      </c>
      <c r="C904" s="4" t="s">
        <v>163</v>
      </c>
      <c r="D904" s="4" t="s">
        <v>161</v>
      </c>
      <c r="E904" s="4" t="s">
        <v>17</v>
      </c>
      <c r="F904" s="4" t="s">
        <v>18</v>
      </c>
      <c r="G904" s="5">
        <v>0.81111111111111112</v>
      </c>
      <c r="H904" s="5">
        <v>0.60000000000000009</v>
      </c>
      <c r="I904" s="5">
        <v>0.05</v>
      </c>
      <c r="J904" s="6">
        <v>0.421875</v>
      </c>
      <c r="K904" s="6">
        <v>0.8840740740740739</v>
      </c>
      <c r="L904" s="6">
        <v>0.8201177675371224</v>
      </c>
      <c r="M904" s="4" t="s">
        <v>78</v>
      </c>
      <c r="N904" s="4">
        <v>9.6197454626283666E-2</v>
      </c>
      <c r="O904" s="4">
        <v>0</v>
      </c>
    </row>
    <row r="905" spans="1:15" x14ac:dyDescent="0.3">
      <c r="A905" s="4">
        <v>429</v>
      </c>
      <c r="B905" s="4">
        <v>429000</v>
      </c>
      <c r="C905" s="4" t="s">
        <v>163</v>
      </c>
      <c r="D905" s="4" t="s">
        <v>161</v>
      </c>
      <c r="E905" s="4" t="s">
        <v>17</v>
      </c>
      <c r="F905" s="4" t="s">
        <v>18</v>
      </c>
      <c r="G905" s="5">
        <v>0.81111111111111112</v>
      </c>
      <c r="H905" s="5">
        <v>0.60000000000000009</v>
      </c>
      <c r="I905" s="5">
        <v>0.05</v>
      </c>
      <c r="J905" s="6">
        <v>0.4375</v>
      </c>
      <c r="K905" s="6">
        <v>0.8821428571428569</v>
      </c>
      <c r="L905" s="6">
        <v>0.83842867773399421</v>
      </c>
      <c r="M905" s="4" t="s">
        <v>78</v>
      </c>
      <c r="N905" s="4">
        <v>9.6105766413026344E-2</v>
      </c>
      <c r="O905" s="4">
        <v>0</v>
      </c>
    </row>
    <row r="906" spans="1:15" x14ac:dyDescent="0.3">
      <c r="A906" s="4">
        <v>430</v>
      </c>
      <c r="B906" s="4">
        <v>430000</v>
      </c>
      <c r="C906" s="4" t="s">
        <v>163</v>
      </c>
      <c r="D906" s="4" t="s">
        <v>161</v>
      </c>
      <c r="E906" s="4" t="s">
        <v>17</v>
      </c>
      <c r="F906" s="4" t="s">
        <v>18</v>
      </c>
      <c r="G906" s="5">
        <v>0.81111111111111112</v>
      </c>
      <c r="H906" s="5">
        <v>0.60000000000000009</v>
      </c>
      <c r="I906" s="5">
        <v>0.05</v>
      </c>
      <c r="J906" s="6">
        <v>0.40625</v>
      </c>
      <c r="K906" s="6">
        <v>0.88153846153846138</v>
      </c>
      <c r="L906" s="6">
        <v>0.81922382008870931</v>
      </c>
      <c r="M906" s="4" t="s">
        <v>154</v>
      </c>
      <c r="N906" s="4">
        <v>9.7741725016325318E-2</v>
      </c>
      <c r="O906" s="4">
        <v>0</v>
      </c>
    </row>
    <row r="907" spans="1:15" x14ac:dyDescent="0.3">
      <c r="A907" s="4">
        <v>431</v>
      </c>
      <c r="B907" s="4">
        <v>431000</v>
      </c>
      <c r="C907" s="4" t="s">
        <v>163</v>
      </c>
      <c r="D907" s="4" t="s">
        <v>161</v>
      </c>
      <c r="E907" s="4" t="s">
        <v>17</v>
      </c>
      <c r="F907" s="4" t="s">
        <v>18</v>
      </c>
      <c r="G907" s="5">
        <v>0.81111111111111112</v>
      </c>
      <c r="H907" s="5">
        <v>0.60000000000000009</v>
      </c>
      <c r="I907" s="5">
        <v>0.05</v>
      </c>
      <c r="J907" s="6">
        <v>0.4375</v>
      </c>
      <c r="K907" s="6">
        <v>0.88285714285714256</v>
      </c>
      <c r="L907" s="6">
        <v>0.84001143662492495</v>
      </c>
      <c r="M907" s="4" t="s">
        <v>150</v>
      </c>
      <c r="N907" s="4">
        <v>9.5297538934214762E-2</v>
      </c>
      <c r="O907" s="4">
        <v>0</v>
      </c>
    </row>
    <row r="908" spans="1:15" x14ac:dyDescent="0.3">
      <c r="A908" s="4">
        <v>432</v>
      </c>
      <c r="B908" s="4">
        <v>432000</v>
      </c>
      <c r="C908" s="4" t="s">
        <v>163</v>
      </c>
      <c r="D908" s="4" t="s">
        <v>161</v>
      </c>
      <c r="E908" s="4" t="s">
        <v>17</v>
      </c>
      <c r="F908" s="4" t="s">
        <v>18</v>
      </c>
      <c r="G908" s="5">
        <v>0.81111111111111112</v>
      </c>
      <c r="H908" s="5">
        <v>0.60000000000000009</v>
      </c>
      <c r="I908" s="5">
        <v>0.05</v>
      </c>
      <c r="J908" s="6">
        <v>0.421875</v>
      </c>
      <c r="K908" s="6">
        <v>0.88370370370370332</v>
      </c>
      <c r="L908" s="6">
        <v>0.81806783710485287</v>
      </c>
      <c r="M908" s="4" t="s">
        <v>150</v>
      </c>
      <c r="N908" s="4">
        <v>9.5011959129496101E-2</v>
      </c>
      <c r="O908" s="4">
        <v>0</v>
      </c>
    </row>
    <row r="909" spans="1:15" x14ac:dyDescent="0.3">
      <c r="A909" s="4">
        <v>433</v>
      </c>
      <c r="B909" s="4">
        <v>433000</v>
      </c>
      <c r="C909" s="4" t="s">
        <v>163</v>
      </c>
      <c r="D909" s="4" t="s">
        <v>161</v>
      </c>
      <c r="E909" s="4" t="s">
        <v>17</v>
      </c>
      <c r="F909" s="4" t="s">
        <v>18</v>
      </c>
      <c r="G909" s="5">
        <v>0.81111111111111112</v>
      </c>
      <c r="H909" s="5">
        <v>0.60000000000000009</v>
      </c>
      <c r="I909" s="5">
        <v>0.05</v>
      </c>
      <c r="J909" s="6">
        <v>0.37878787878787878</v>
      </c>
      <c r="K909" s="6">
        <v>0.88319999999999965</v>
      </c>
      <c r="L909" s="6">
        <v>0.79246094969487624</v>
      </c>
      <c r="M909" s="4" t="s">
        <v>156</v>
      </c>
      <c r="N909" s="4">
        <v>9.9327399013480103E-2</v>
      </c>
      <c r="O909" s="4">
        <v>0</v>
      </c>
    </row>
    <row r="910" spans="1:15" x14ac:dyDescent="0.3">
      <c r="A910" s="4">
        <v>434</v>
      </c>
      <c r="B910" s="4">
        <v>434000</v>
      </c>
      <c r="C910" s="4" t="s">
        <v>163</v>
      </c>
      <c r="D910" s="4" t="s">
        <v>161</v>
      </c>
      <c r="E910" s="4" t="s">
        <v>17</v>
      </c>
      <c r="F910" s="4" t="s">
        <v>18</v>
      </c>
      <c r="G910" s="5">
        <v>0.81111111111111112</v>
      </c>
      <c r="H910" s="5">
        <v>0.60000000000000009</v>
      </c>
      <c r="I910" s="5">
        <v>0.05</v>
      </c>
      <c r="J910" s="6">
        <v>0.40909090909090912</v>
      </c>
      <c r="K910" s="6">
        <v>0.88407407407407368</v>
      </c>
      <c r="L910" s="6">
        <v>0.81949711186265473</v>
      </c>
      <c r="M910" s="4" t="s">
        <v>150</v>
      </c>
      <c r="N910" s="4">
        <v>9.4822493750161801E-2</v>
      </c>
      <c r="O910" s="4">
        <v>0</v>
      </c>
    </row>
    <row r="911" spans="1:15" x14ac:dyDescent="0.3">
      <c r="A911" s="4">
        <v>435</v>
      </c>
      <c r="B911" s="4">
        <v>435000</v>
      </c>
      <c r="C911" s="4" t="s">
        <v>163</v>
      </c>
      <c r="D911" s="4" t="s">
        <v>161</v>
      </c>
      <c r="E911" s="4" t="s">
        <v>17</v>
      </c>
      <c r="F911" s="4" t="s">
        <v>18</v>
      </c>
      <c r="G911" s="5">
        <v>0.81111111111111112</v>
      </c>
      <c r="H911" s="5">
        <v>0.60000000000000009</v>
      </c>
      <c r="I911" s="5">
        <v>0.05</v>
      </c>
      <c r="J911" s="6">
        <v>0.40909090909090912</v>
      </c>
      <c r="K911" s="6">
        <v>0.88333333333333297</v>
      </c>
      <c r="L911" s="6">
        <v>0.82104531735174702</v>
      </c>
      <c r="M911" s="4" t="s">
        <v>150</v>
      </c>
      <c r="N911" s="4">
        <v>9.483108599640834E-2</v>
      </c>
      <c r="O911" s="4">
        <v>0</v>
      </c>
    </row>
    <row r="912" spans="1:15" x14ac:dyDescent="0.3">
      <c r="A912" s="4">
        <v>436</v>
      </c>
      <c r="B912" s="4">
        <v>436000</v>
      </c>
      <c r="C912" s="4" t="s">
        <v>163</v>
      </c>
      <c r="D912" s="4" t="s">
        <v>161</v>
      </c>
      <c r="E912" s="4" t="s">
        <v>17</v>
      </c>
      <c r="F912" s="4" t="s">
        <v>18</v>
      </c>
      <c r="G912" s="5">
        <v>0.81111111111111112</v>
      </c>
      <c r="H912" s="5">
        <v>0.60000000000000009</v>
      </c>
      <c r="I912" s="5">
        <v>0.05</v>
      </c>
      <c r="J912" s="6">
        <v>0.42424242424242431</v>
      </c>
      <c r="K912" s="6">
        <v>0.85214285714285676</v>
      </c>
      <c r="L912" s="6">
        <v>0.77483002358957054</v>
      </c>
      <c r="M912" s="4" t="s">
        <v>22</v>
      </c>
      <c r="N912" s="4">
        <v>9.3582315321808426E-2</v>
      </c>
      <c r="O912" s="4">
        <v>0</v>
      </c>
    </row>
    <row r="913" spans="1:15" x14ac:dyDescent="0.3">
      <c r="A913" s="4">
        <v>437</v>
      </c>
      <c r="B913" s="4">
        <v>437000</v>
      </c>
      <c r="C913" s="4" t="s">
        <v>163</v>
      </c>
      <c r="D913" s="4" t="s">
        <v>161</v>
      </c>
      <c r="E913" s="4" t="s">
        <v>17</v>
      </c>
      <c r="F913" s="4" t="s">
        <v>18</v>
      </c>
      <c r="G913" s="5">
        <v>0.81111111111111112</v>
      </c>
      <c r="H913" s="5">
        <v>0.60000000000000009</v>
      </c>
      <c r="I913" s="5">
        <v>0.05</v>
      </c>
      <c r="J913" s="6">
        <v>0.41538461538461541</v>
      </c>
      <c r="K913" s="6">
        <v>0.88555555555555521</v>
      </c>
      <c r="L913" s="6">
        <v>0.84127071702769707</v>
      </c>
      <c r="M913" s="4" t="s">
        <v>129</v>
      </c>
      <c r="N913" s="4">
        <v>9.7489767892782145E-2</v>
      </c>
      <c r="O913" s="4">
        <v>0</v>
      </c>
    </row>
    <row r="914" spans="1:15" x14ac:dyDescent="0.3">
      <c r="A914" s="4">
        <v>438</v>
      </c>
      <c r="B914" s="4">
        <v>438000</v>
      </c>
      <c r="C914" s="4" t="s">
        <v>163</v>
      </c>
      <c r="D914" s="4" t="s">
        <v>161</v>
      </c>
      <c r="E914" s="4" t="s">
        <v>17</v>
      </c>
      <c r="F914" s="4" t="s">
        <v>18</v>
      </c>
      <c r="G914" s="5">
        <v>0.81111111111111112</v>
      </c>
      <c r="H914" s="5">
        <v>0.60000000000000009</v>
      </c>
      <c r="I914" s="5">
        <v>0.05</v>
      </c>
      <c r="J914" s="6">
        <v>0.45161290322580638</v>
      </c>
      <c r="K914" s="6">
        <v>0.88964285714285685</v>
      </c>
      <c r="L914" s="6">
        <v>0.86554294636365903</v>
      </c>
      <c r="M914" s="4" t="s">
        <v>160</v>
      </c>
      <c r="N914" s="4">
        <v>9.9701208264252855E-2</v>
      </c>
      <c r="O914" s="4">
        <v>0</v>
      </c>
    </row>
    <row r="915" spans="1:15" x14ac:dyDescent="0.3">
      <c r="A915" s="4">
        <v>439</v>
      </c>
      <c r="B915" s="4">
        <v>439000</v>
      </c>
      <c r="C915" s="4" t="s">
        <v>163</v>
      </c>
      <c r="D915" s="4" t="s">
        <v>161</v>
      </c>
      <c r="E915" s="4" t="s">
        <v>17</v>
      </c>
      <c r="F915" s="4" t="s">
        <v>18</v>
      </c>
      <c r="G915" s="5">
        <v>0.81111111111111112</v>
      </c>
      <c r="H915" s="5">
        <v>0.60000000000000009</v>
      </c>
      <c r="I915" s="5">
        <v>0.05</v>
      </c>
      <c r="J915" s="6">
        <v>0.45161290322580638</v>
      </c>
      <c r="K915" s="6">
        <v>0.88714285714285679</v>
      </c>
      <c r="L915" s="6">
        <v>0.86788077182092349</v>
      </c>
      <c r="M915" s="4" t="s">
        <v>22</v>
      </c>
      <c r="N915" s="4">
        <v>9.4294410829124542E-2</v>
      </c>
      <c r="O915" s="4">
        <v>0</v>
      </c>
    </row>
    <row r="916" spans="1:15" x14ac:dyDescent="0.3">
      <c r="A916" s="4">
        <v>440</v>
      </c>
      <c r="B916" s="4">
        <v>440000</v>
      </c>
      <c r="C916" s="4" t="s">
        <v>163</v>
      </c>
      <c r="D916" s="4" t="s">
        <v>161</v>
      </c>
      <c r="E916" s="4" t="s">
        <v>17</v>
      </c>
      <c r="F916" s="4" t="s">
        <v>18</v>
      </c>
      <c r="G916" s="5">
        <v>0.81111111111111112</v>
      </c>
      <c r="H916" s="5">
        <v>0.60000000000000009</v>
      </c>
      <c r="I916" s="5">
        <v>0.05</v>
      </c>
      <c r="J916" s="6">
        <v>0.45161290322580638</v>
      </c>
      <c r="K916" s="6">
        <v>0.88464285714285662</v>
      </c>
      <c r="L916" s="6">
        <v>0.86797683935471148</v>
      </c>
      <c r="M916" s="4" t="s">
        <v>22</v>
      </c>
      <c r="N916" s="4">
        <v>9.4135089729445995E-2</v>
      </c>
      <c r="O916" s="4">
        <v>0</v>
      </c>
    </row>
    <row r="917" spans="1:15" x14ac:dyDescent="0.3">
      <c r="A917" s="4">
        <v>441</v>
      </c>
      <c r="B917" s="4">
        <v>441000</v>
      </c>
      <c r="C917" s="4" t="s">
        <v>163</v>
      </c>
      <c r="D917" s="4" t="s">
        <v>161</v>
      </c>
      <c r="E917" s="4" t="s">
        <v>17</v>
      </c>
      <c r="F917" s="4" t="s">
        <v>18</v>
      </c>
      <c r="G917" s="5">
        <v>0.81111111111111112</v>
      </c>
      <c r="H917" s="5">
        <v>0.60000000000000009</v>
      </c>
      <c r="I917" s="5">
        <v>0.05</v>
      </c>
      <c r="J917" s="6">
        <v>0.44262295081967212</v>
      </c>
      <c r="K917" s="6">
        <v>0.88629629629629592</v>
      </c>
      <c r="L917" s="6">
        <v>0.86781084505696693</v>
      </c>
      <c r="M917" s="4" t="s">
        <v>39</v>
      </c>
      <c r="N917" s="4">
        <v>9.3052454997592182E-2</v>
      </c>
      <c r="O917" s="4">
        <v>0</v>
      </c>
    </row>
    <row r="918" spans="1:15" x14ac:dyDescent="0.3">
      <c r="A918" s="4">
        <v>442</v>
      </c>
      <c r="B918" s="4">
        <v>442000</v>
      </c>
      <c r="C918" s="4" t="s">
        <v>163</v>
      </c>
      <c r="D918" s="4" t="s">
        <v>161</v>
      </c>
      <c r="E918" s="4" t="s">
        <v>17</v>
      </c>
      <c r="F918" s="4" t="s">
        <v>18</v>
      </c>
      <c r="G918" s="5">
        <v>0.81111111111111112</v>
      </c>
      <c r="H918" s="5">
        <v>0.60000000000000009</v>
      </c>
      <c r="I918" s="5">
        <v>0.05</v>
      </c>
      <c r="J918" s="6">
        <v>0.42622950819672129</v>
      </c>
      <c r="K918" s="6">
        <v>0.92115384615384588</v>
      </c>
      <c r="L918" s="6">
        <v>0.90158978952082403</v>
      </c>
      <c r="M918" s="4" t="s">
        <v>78</v>
      </c>
      <c r="N918" s="4">
        <v>9.6082983243983872E-2</v>
      </c>
      <c r="O918" s="4">
        <v>0</v>
      </c>
    </row>
    <row r="919" spans="1:15" x14ac:dyDescent="0.3">
      <c r="A919" s="4">
        <v>443</v>
      </c>
      <c r="B919" s="4">
        <v>443000</v>
      </c>
      <c r="C919" s="4" t="s">
        <v>163</v>
      </c>
      <c r="D919" s="4" t="s">
        <v>161</v>
      </c>
      <c r="E919" s="4" t="s">
        <v>17</v>
      </c>
      <c r="F919" s="4" t="s">
        <v>18</v>
      </c>
      <c r="G919" s="5">
        <v>0.81111111111111112</v>
      </c>
      <c r="H919" s="5">
        <v>0.60000000000000009</v>
      </c>
      <c r="I919" s="5">
        <v>0.05</v>
      </c>
      <c r="J919" s="6">
        <v>0.42622950819672129</v>
      </c>
      <c r="K919" s="6">
        <v>0.92269230769230748</v>
      </c>
      <c r="L919" s="6">
        <v>0.90006069511883458</v>
      </c>
      <c r="M919" s="4" t="s">
        <v>156</v>
      </c>
      <c r="N919" s="4">
        <v>9.8578375193281317E-2</v>
      </c>
      <c r="O919" s="4">
        <v>0</v>
      </c>
    </row>
    <row r="920" spans="1:15" x14ac:dyDescent="0.3">
      <c r="A920" s="4">
        <v>444</v>
      </c>
      <c r="B920" s="4">
        <v>444000</v>
      </c>
      <c r="C920" s="4" t="s">
        <v>163</v>
      </c>
      <c r="D920" s="4" t="s">
        <v>161</v>
      </c>
      <c r="E920" s="4" t="s">
        <v>17</v>
      </c>
      <c r="F920" s="4" t="s">
        <v>18</v>
      </c>
      <c r="G920" s="5">
        <v>0.81111111111111112</v>
      </c>
      <c r="H920" s="5">
        <v>0.60000000000000009</v>
      </c>
      <c r="I920" s="5">
        <v>0.05</v>
      </c>
      <c r="J920" s="6">
        <v>0.43333333333333329</v>
      </c>
      <c r="K920" s="6">
        <v>0.92269230769230737</v>
      </c>
      <c r="L920" s="6">
        <v>0.90139751552795033</v>
      </c>
      <c r="M920" s="4" t="s">
        <v>156</v>
      </c>
      <c r="N920" s="4">
        <v>9.9375909217945396E-2</v>
      </c>
      <c r="O920" s="4">
        <v>0</v>
      </c>
    </row>
    <row r="921" spans="1:15" x14ac:dyDescent="0.3">
      <c r="A921" s="4">
        <v>445</v>
      </c>
      <c r="B921" s="4">
        <v>445000</v>
      </c>
      <c r="C921" s="4" t="s">
        <v>163</v>
      </c>
      <c r="D921" s="4" t="s">
        <v>161</v>
      </c>
      <c r="E921" s="4" t="s">
        <v>17</v>
      </c>
      <c r="F921" s="4" t="s">
        <v>18</v>
      </c>
      <c r="G921" s="5">
        <v>0.81111111111111112</v>
      </c>
      <c r="H921" s="5">
        <v>0.60000000000000009</v>
      </c>
      <c r="I921" s="5">
        <v>0.05</v>
      </c>
      <c r="J921" s="6">
        <v>0.42622950819672129</v>
      </c>
      <c r="K921" s="6">
        <v>0.92269230769230737</v>
      </c>
      <c r="L921" s="6">
        <v>0.90167958103229306</v>
      </c>
      <c r="M921" s="4" t="s">
        <v>154</v>
      </c>
      <c r="N921" s="4">
        <v>9.799957474481262E-2</v>
      </c>
      <c r="O921" s="4">
        <v>0</v>
      </c>
    </row>
    <row r="922" spans="1:15" x14ac:dyDescent="0.3">
      <c r="A922" s="4">
        <v>446</v>
      </c>
      <c r="B922" s="4">
        <v>446000</v>
      </c>
      <c r="C922" s="4" t="s">
        <v>163</v>
      </c>
      <c r="D922" s="4" t="s">
        <v>161</v>
      </c>
      <c r="E922" s="4" t="s">
        <v>17</v>
      </c>
      <c r="F922" s="4" t="s">
        <v>18</v>
      </c>
      <c r="G922" s="5">
        <v>0.81111111111111112</v>
      </c>
      <c r="H922" s="5">
        <v>0.60000000000000009</v>
      </c>
      <c r="I922" s="5">
        <v>0.05</v>
      </c>
      <c r="J922" s="6">
        <v>0.42622950819672129</v>
      </c>
      <c r="K922" s="6">
        <v>0.9215384615384612</v>
      </c>
      <c r="L922" s="6">
        <v>0.89861553540798822</v>
      </c>
      <c r="M922" s="4" t="s">
        <v>150</v>
      </c>
      <c r="N922" s="4">
        <v>9.5220813786580261E-2</v>
      </c>
      <c r="O922" s="4">
        <v>0</v>
      </c>
    </row>
    <row r="923" spans="1:15" x14ac:dyDescent="0.3">
      <c r="A923" s="4">
        <v>447</v>
      </c>
      <c r="B923" s="4">
        <v>447000</v>
      </c>
      <c r="C923" s="4" t="s">
        <v>163</v>
      </c>
      <c r="D923" s="4" t="s">
        <v>161</v>
      </c>
      <c r="E923" s="4" t="s">
        <v>17</v>
      </c>
      <c r="F923" s="4" t="s">
        <v>18</v>
      </c>
      <c r="G923" s="5">
        <v>0.81111111111111112</v>
      </c>
      <c r="H923" s="5">
        <v>0.60000000000000009</v>
      </c>
      <c r="I923" s="5">
        <v>0.05</v>
      </c>
      <c r="J923" s="6">
        <v>0.42622950819672129</v>
      </c>
      <c r="K923" s="6">
        <v>0.92192307692307662</v>
      </c>
      <c r="L923" s="6">
        <v>0.9000937420106242</v>
      </c>
      <c r="M923" s="4" t="s">
        <v>22</v>
      </c>
      <c r="N923" s="4">
        <v>9.4120858995267745E-2</v>
      </c>
      <c r="O923" s="4">
        <v>0</v>
      </c>
    </row>
    <row r="924" spans="1:15" x14ac:dyDescent="0.3">
      <c r="A924" s="4">
        <v>448</v>
      </c>
      <c r="B924" s="4">
        <v>448000</v>
      </c>
      <c r="C924" s="4" t="s">
        <v>163</v>
      </c>
      <c r="D924" s="4" t="s">
        <v>161</v>
      </c>
      <c r="E924" s="4" t="s">
        <v>17</v>
      </c>
      <c r="F924" s="4" t="s">
        <v>18</v>
      </c>
      <c r="G924" s="5">
        <v>0.81111111111111112</v>
      </c>
      <c r="H924" s="5">
        <v>0.60000000000000009</v>
      </c>
      <c r="I924" s="5">
        <v>0.05</v>
      </c>
      <c r="J924" s="6">
        <v>0.42622950819672129</v>
      </c>
      <c r="K924" s="6">
        <v>0.92038461538461513</v>
      </c>
      <c r="L924" s="6">
        <v>0.89880292139039752</v>
      </c>
      <c r="M924" s="4" t="s">
        <v>73</v>
      </c>
      <c r="N924" s="4">
        <v>9.2424933194746622E-2</v>
      </c>
      <c r="O924" s="4">
        <v>0</v>
      </c>
    </row>
    <row r="925" spans="1:15" x14ac:dyDescent="0.3">
      <c r="A925" s="4">
        <v>449</v>
      </c>
      <c r="B925" s="4">
        <v>449000</v>
      </c>
      <c r="C925" s="4" t="s">
        <v>163</v>
      </c>
      <c r="D925" s="4" t="s">
        <v>161</v>
      </c>
      <c r="E925" s="4" t="s">
        <v>17</v>
      </c>
      <c r="F925" s="4" t="s">
        <v>18</v>
      </c>
      <c r="G925" s="5">
        <v>0.81111111111111112</v>
      </c>
      <c r="H925" s="5">
        <v>0.60000000000000009</v>
      </c>
      <c r="I925" s="5">
        <v>0.05</v>
      </c>
      <c r="J925" s="6">
        <v>0.42622950819672129</v>
      </c>
      <c r="K925" s="6">
        <v>0.91961538461538417</v>
      </c>
      <c r="L925" s="6">
        <v>0.89998361730013099</v>
      </c>
      <c r="M925" s="4" t="s">
        <v>59</v>
      </c>
      <c r="N925" s="4">
        <v>9.1128865121869407E-2</v>
      </c>
      <c r="O925" s="4">
        <v>0</v>
      </c>
    </row>
    <row r="926" spans="1:15" x14ac:dyDescent="0.3">
      <c r="A926" s="4">
        <v>450</v>
      </c>
      <c r="B926" s="4">
        <v>450000</v>
      </c>
      <c r="C926" s="4" t="s">
        <v>163</v>
      </c>
      <c r="D926" s="4" t="s">
        <v>161</v>
      </c>
      <c r="E926" s="4" t="s">
        <v>17</v>
      </c>
      <c r="F926" s="4" t="s">
        <v>18</v>
      </c>
      <c r="G926" s="5">
        <v>0.81111111111111112</v>
      </c>
      <c r="H926" s="5">
        <v>0.60000000000000009</v>
      </c>
      <c r="I926" s="5">
        <v>0.05</v>
      </c>
      <c r="J926" s="6">
        <v>0.44262295081967212</v>
      </c>
      <c r="K926" s="6">
        <v>0.92074074074074042</v>
      </c>
      <c r="L926" s="6">
        <v>0.91251014307068135</v>
      </c>
      <c r="M926" s="4" t="s">
        <v>73</v>
      </c>
      <c r="N926" s="4">
        <v>9.1990789187820235E-2</v>
      </c>
      <c r="O926" s="4">
        <v>0</v>
      </c>
    </row>
    <row r="927" spans="1:15" x14ac:dyDescent="0.3">
      <c r="A927" s="4">
        <v>451</v>
      </c>
      <c r="B927" s="4">
        <v>451000</v>
      </c>
      <c r="C927" s="4" t="s">
        <v>163</v>
      </c>
      <c r="D927" s="4" t="s">
        <v>161</v>
      </c>
      <c r="E927" s="4" t="s">
        <v>17</v>
      </c>
      <c r="F927" s="4" t="s">
        <v>18</v>
      </c>
      <c r="G927" s="5">
        <v>0.81111111111111112</v>
      </c>
      <c r="H927" s="5">
        <v>0.60000000000000009</v>
      </c>
      <c r="I927" s="5">
        <v>0.05</v>
      </c>
      <c r="J927" s="6">
        <v>0.44262295081967212</v>
      </c>
      <c r="K927" s="6">
        <v>0.919259259259259</v>
      </c>
      <c r="L927" s="6">
        <v>0.91083399732205794</v>
      </c>
      <c r="M927" s="4" t="s">
        <v>49</v>
      </c>
      <c r="N927" s="4">
        <v>9.0439493573535354E-2</v>
      </c>
      <c r="O927" s="4">
        <v>0</v>
      </c>
    </row>
    <row r="928" spans="1:15" x14ac:dyDescent="0.3">
      <c r="A928" s="4">
        <v>452</v>
      </c>
      <c r="B928" s="4">
        <v>452000</v>
      </c>
      <c r="C928" s="4" t="s">
        <v>163</v>
      </c>
      <c r="D928" s="4" t="s">
        <v>161</v>
      </c>
      <c r="E928" s="4" t="s">
        <v>17</v>
      </c>
      <c r="F928" s="4" t="s">
        <v>18</v>
      </c>
      <c r="G928" s="5">
        <v>0.81111111111111112</v>
      </c>
      <c r="H928" s="5">
        <v>0.60000000000000009</v>
      </c>
      <c r="I928" s="5">
        <v>0.05</v>
      </c>
      <c r="J928" s="6">
        <v>0.43548387096774188</v>
      </c>
      <c r="K928" s="6">
        <v>0.91777777777777758</v>
      </c>
      <c r="L928" s="6">
        <v>0.90989104588405689</v>
      </c>
      <c r="M928" s="4" t="s">
        <v>49</v>
      </c>
      <c r="N928" s="4">
        <v>8.9667501399429972E-2</v>
      </c>
      <c r="O928" s="4">
        <v>0</v>
      </c>
    </row>
    <row r="929" spans="1:15" x14ac:dyDescent="0.3">
      <c r="A929" s="4">
        <v>453</v>
      </c>
      <c r="B929" s="4">
        <v>453000</v>
      </c>
      <c r="C929" s="4" t="s">
        <v>163</v>
      </c>
      <c r="D929" s="4" t="s">
        <v>161</v>
      </c>
      <c r="E929" s="4" t="s">
        <v>17</v>
      </c>
      <c r="F929" s="4" t="s">
        <v>18</v>
      </c>
      <c r="G929" s="5">
        <v>0.81111111111111112</v>
      </c>
      <c r="H929" s="5">
        <v>0.60000000000000009</v>
      </c>
      <c r="I929" s="5">
        <v>0.05</v>
      </c>
      <c r="J929" s="6">
        <v>0.40322580645161288</v>
      </c>
      <c r="K929" s="6">
        <v>0.91639999999999977</v>
      </c>
      <c r="L929" s="6">
        <v>0.89222222222222225</v>
      </c>
      <c r="M929" s="4" t="s">
        <v>74</v>
      </c>
      <c r="N929" s="4">
        <v>8.8951136854403187E-2</v>
      </c>
      <c r="O929" s="4">
        <v>0</v>
      </c>
    </row>
    <row r="930" spans="1:15" x14ac:dyDescent="0.3">
      <c r="A930" s="4">
        <v>454</v>
      </c>
      <c r="B930" s="4">
        <v>454000</v>
      </c>
      <c r="C930" s="4" t="s">
        <v>163</v>
      </c>
      <c r="D930" s="4" t="s">
        <v>161</v>
      </c>
      <c r="E930" s="4" t="s">
        <v>17</v>
      </c>
      <c r="F930" s="4" t="s">
        <v>18</v>
      </c>
      <c r="G930" s="5">
        <v>0.81111111111111112</v>
      </c>
      <c r="H930" s="5">
        <v>0.60000000000000009</v>
      </c>
      <c r="I930" s="5">
        <v>0.05</v>
      </c>
      <c r="J930" s="6">
        <v>0.44444444444444442</v>
      </c>
      <c r="K930" s="6">
        <v>0.88749999999999984</v>
      </c>
      <c r="L930" s="6">
        <v>0.91011471532019483</v>
      </c>
      <c r="M930" s="4" t="s">
        <v>52</v>
      </c>
      <c r="N930" s="4">
        <v>8.8475349467133202E-2</v>
      </c>
      <c r="O930" s="4">
        <v>0</v>
      </c>
    </row>
    <row r="931" spans="1:15" x14ac:dyDescent="0.3">
      <c r="A931" s="4">
        <v>455</v>
      </c>
      <c r="B931" s="4">
        <v>455000</v>
      </c>
      <c r="C931" s="4" t="s">
        <v>163</v>
      </c>
      <c r="D931" s="4" t="s">
        <v>161</v>
      </c>
      <c r="E931" s="4" t="s">
        <v>17</v>
      </c>
      <c r="F931" s="4" t="s">
        <v>18</v>
      </c>
      <c r="G931" s="5">
        <v>0.81111111111111112</v>
      </c>
      <c r="H931" s="5">
        <v>0.60000000000000009</v>
      </c>
      <c r="I931" s="5">
        <v>0.05</v>
      </c>
      <c r="J931" s="6">
        <v>0.44444444444444442</v>
      </c>
      <c r="K931" s="6">
        <v>0.88749999999999984</v>
      </c>
      <c r="L931" s="6">
        <v>0.91141916674503898</v>
      </c>
      <c r="M931" s="4" t="s">
        <v>49</v>
      </c>
      <c r="N931" s="4">
        <v>9.0102876863730211E-2</v>
      </c>
      <c r="O931" s="4">
        <v>0</v>
      </c>
    </row>
    <row r="932" spans="1:15" x14ac:dyDescent="0.3">
      <c r="A932" s="4">
        <v>456</v>
      </c>
      <c r="B932" s="4">
        <v>456000</v>
      </c>
      <c r="C932" s="4" t="s">
        <v>163</v>
      </c>
      <c r="D932" s="4" t="s">
        <v>161</v>
      </c>
      <c r="E932" s="4" t="s">
        <v>17</v>
      </c>
      <c r="F932" s="4" t="s">
        <v>18</v>
      </c>
      <c r="G932" s="5">
        <v>0.81111111111111112</v>
      </c>
      <c r="H932" s="5">
        <v>0.60000000000000009</v>
      </c>
      <c r="I932" s="5">
        <v>0.05</v>
      </c>
      <c r="J932" s="6">
        <v>0.41538461538461541</v>
      </c>
      <c r="K932" s="6">
        <v>0.88592592592592567</v>
      </c>
      <c r="L932" s="6">
        <v>0.90609063184136251</v>
      </c>
      <c r="M932" s="4" t="s">
        <v>19</v>
      </c>
      <c r="N932" s="4">
        <v>1</v>
      </c>
      <c r="O932" s="4">
        <v>1</v>
      </c>
    </row>
    <row r="933" spans="1:15" x14ac:dyDescent="0.3">
      <c r="A933" s="4">
        <v>457</v>
      </c>
      <c r="B933" s="4">
        <v>457000</v>
      </c>
      <c r="C933" s="4" t="s">
        <v>163</v>
      </c>
      <c r="D933" s="4" t="s">
        <v>161</v>
      </c>
      <c r="E933" s="4" t="s">
        <v>17</v>
      </c>
      <c r="F933" s="4" t="s">
        <v>18</v>
      </c>
      <c r="G933" s="5">
        <v>0.81111111111111112</v>
      </c>
      <c r="H933" s="5">
        <v>0.60000000000000009</v>
      </c>
      <c r="I933" s="5">
        <v>0.05</v>
      </c>
      <c r="J933" s="6">
        <v>0.43076923076923079</v>
      </c>
      <c r="K933" s="6">
        <v>0.8553571428571427</v>
      </c>
      <c r="L933" s="6">
        <v>0.87367303139407526</v>
      </c>
      <c r="M933" s="4" t="s">
        <v>208</v>
      </c>
      <c r="N933" s="4">
        <v>1.5095421751906179E-2</v>
      </c>
      <c r="O933" s="4">
        <v>0</v>
      </c>
    </row>
    <row r="934" spans="1:15" x14ac:dyDescent="0.3">
      <c r="A934" s="4">
        <v>458</v>
      </c>
      <c r="B934" s="4">
        <v>458000</v>
      </c>
      <c r="C934" s="4" t="s">
        <v>163</v>
      </c>
      <c r="D934" s="4" t="s">
        <v>161</v>
      </c>
      <c r="E934" s="4" t="s">
        <v>17</v>
      </c>
      <c r="F934" s="4" t="s">
        <v>18</v>
      </c>
      <c r="G934" s="5">
        <v>0.81111111111111112</v>
      </c>
      <c r="H934" s="5">
        <v>0.60000000000000009</v>
      </c>
      <c r="I934" s="5">
        <v>0.05</v>
      </c>
      <c r="J934" s="6">
        <v>0.43076923076923079</v>
      </c>
      <c r="K934" s="6">
        <v>0.8553571428571427</v>
      </c>
      <c r="L934" s="6">
        <v>0.87312053026338743</v>
      </c>
      <c r="M934" s="4" t="s">
        <v>202</v>
      </c>
      <c r="N934" s="4">
        <v>2.258470040087527E-2</v>
      </c>
      <c r="O934" s="4">
        <v>0</v>
      </c>
    </row>
    <row r="935" spans="1:15" x14ac:dyDescent="0.3">
      <c r="A935" s="4">
        <v>459</v>
      </c>
      <c r="B935" s="4">
        <v>459000</v>
      </c>
      <c r="C935" s="4" t="s">
        <v>163</v>
      </c>
      <c r="D935" s="4" t="s">
        <v>161</v>
      </c>
      <c r="E935" s="4" t="s">
        <v>17</v>
      </c>
      <c r="F935" s="4" t="s">
        <v>18</v>
      </c>
      <c r="G935" s="5">
        <v>0.81111111111111112</v>
      </c>
      <c r="H935" s="5">
        <v>0.60000000000000009</v>
      </c>
      <c r="I935" s="5">
        <v>0.05</v>
      </c>
      <c r="J935" s="6">
        <v>0.44615384615384618</v>
      </c>
      <c r="K935" s="6">
        <v>0.85862068965517224</v>
      </c>
      <c r="L935" s="6">
        <v>0.88372269881413035</v>
      </c>
      <c r="M935" s="4" t="s">
        <v>215</v>
      </c>
      <c r="N935" s="4">
        <v>2.5507583882849849E-2</v>
      </c>
      <c r="O935" s="4">
        <v>0</v>
      </c>
    </row>
    <row r="936" spans="1:15" x14ac:dyDescent="0.3">
      <c r="A936" s="4">
        <v>460</v>
      </c>
      <c r="B936" s="4">
        <v>460000</v>
      </c>
      <c r="C936" s="4" t="s">
        <v>163</v>
      </c>
      <c r="D936" s="4" t="s">
        <v>161</v>
      </c>
      <c r="E936" s="4" t="s">
        <v>17</v>
      </c>
      <c r="F936" s="4" t="s">
        <v>18</v>
      </c>
      <c r="G936" s="5">
        <v>0.81111111111111112</v>
      </c>
      <c r="H936" s="5">
        <v>0.60000000000000009</v>
      </c>
      <c r="I936" s="5">
        <v>0.05</v>
      </c>
      <c r="J936" s="6">
        <v>0.453125</v>
      </c>
      <c r="K936" s="6">
        <v>0.85965517241379286</v>
      </c>
      <c r="L936" s="6">
        <v>0.88418633475632424</v>
      </c>
      <c r="M936" s="4" t="s">
        <v>165</v>
      </c>
      <c r="N936" s="4">
        <v>3.4471062955899183E-2</v>
      </c>
      <c r="O936" s="4">
        <v>0</v>
      </c>
    </row>
    <row r="937" spans="1:15" x14ac:dyDescent="0.3">
      <c r="A937" s="4">
        <v>461</v>
      </c>
      <c r="B937" s="4">
        <v>461000</v>
      </c>
      <c r="C937" s="4" t="s">
        <v>163</v>
      </c>
      <c r="D937" s="4" t="s">
        <v>161</v>
      </c>
      <c r="E937" s="4" t="s">
        <v>17</v>
      </c>
      <c r="F937" s="4" t="s">
        <v>18</v>
      </c>
      <c r="G937" s="5">
        <v>0.81111111111111112</v>
      </c>
      <c r="H937" s="5">
        <v>0.60000000000000009</v>
      </c>
      <c r="I937" s="5">
        <v>0.05</v>
      </c>
      <c r="J937" s="6">
        <v>0.4375</v>
      </c>
      <c r="K937" s="6">
        <v>0.85714285714285676</v>
      </c>
      <c r="L937" s="6">
        <v>0.87233024077340748</v>
      </c>
      <c r="M937" s="4" t="s">
        <v>165</v>
      </c>
      <c r="N937" s="4">
        <v>3.369493466607662E-2</v>
      </c>
      <c r="O937" s="4">
        <v>0</v>
      </c>
    </row>
    <row r="938" spans="1:15" x14ac:dyDescent="0.3">
      <c r="A938" s="4">
        <v>462</v>
      </c>
      <c r="B938" s="4">
        <v>462000</v>
      </c>
      <c r="C938" s="4" t="s">
        <v>163</v>
      </c>
      <c r="D938" s="4" t="s">
        <v>161</v>
      </c>
      <c r="E938" s="4" t="s">
        <v>17</v>
      </c>
      <c r="F938" s="4" t="s">
        <v>18</v>
      </c>
      <c r="G938" s="5">
        <v>0.81111111111111112</v>
      </c>
      <c r="H938" s="5">
        <v>0.60000000000000009</v>
      </c>
      <c r="I938" s="5">
        <v>0.05</v>
      </c>
      <c r="J938" s="6">
        <v>0.43548387096774188</v>
      </c>
      <c r="K938" s="6">
        <v>0.89222222222222192</v>
      </c>
      <c r="L938" s="6">
        <v>0.88256450544204168</v>
      </c>
      <c r="M938" s="4" t="s">
        <v>168</v>
      </c>
      <c r="N938" s="4">
        <v>4.4259785430551347E-2</v>
      </c>
      <c r="O938" s="4">
        <v>0</v>
      </c>
    </row>
    <row r="939" spans="1:15" x14ac:dyDescent="0.3">
      <c r="A939" s="4">
        <v>463</v>
      </c>
      <c r="B939" s="4">
        <v>463000</v>
      </c>
      <c r="C939" s="4" t="s">
        <v>163</v>
      </c>
      <c r="D939" s="4" t="s">
        <v>161</v>
      </c>
      <c r="E939" s="4" t="s">
        <v>17</v>
      </c>
      <c r="F939" s="4" t="s">
        <v>18</v>
      </c>
      <c r="G939" s="5">
        <v>0.81111111111111112</v>
      </c>
      <c r="H939" s="5">
        <v>0.60000000000000009</v>
      </c>
      <c r="I939" s="5">
        <v>0.05</v>
      </c>
      <c r="J939" s="6">
        <v>0.43548387096774188</v>
      </c>
      <c r="K939" s="6">
        <v>0.89222222222222192</v>
      </c>
      <c r="L939" s="6">
        <v>0.8830089424450327</v>
      </c>
      <c r="M939" s="4" t="s">
        <v>168</v>
      </c>
      <c r="N939" s="4">
        <v>4.3687881170750648E-2</v>
      </c>
      <c r="O939" s="4">
        <v>0</v>
      </c>
    </row>
    <row r="940" spans="1:15" x14ac:dyDescent="0.3">
      <c r="A940" s="4">
        <v>464</v>
      </c>
      <c r="B940" s="4">
        <v>464000</v>
      </c>
      <c r="C940" s="4" t="s">
        <v>163</v>
      </c>
      <c r="D940" s="4" t="s">
        <v>161</v>
      </c>
      <c r="E940" s="4" t="s">
        <v>17</v>
      </c>
      <c r="F940" s="4" t="s">
        <v>18</v>
      </c>
      <c r="G940" s="5">
        <v>0.81111111111111112</v>
      </c>
      <c r="H940" s="5">
        <v>0.60000000000000009</v>
      </c>
      <c r="I940" s="5">
        <v>0.05</v>
      </c>
      <c r="J940" s="6">
        <v>0.44262295081967212</v>
      </c>
      <c r="K940" s="6">
        <v>0.89296296296296285</v>
      </c>
      <c r="L940" s="6">
        <v>0.88313798788501641</v>
      </c>
      <c r="M940" s="4" t="s">
        <v>193</v>
      </c>
      <c r="N940" s="4">
        <v>4.8060170021057648E-2</v>
      </c>
      <c r="O940" s="4">
        <v>0</v>
      </c>
    </row>
    <row r="941" spans="1:15" x14ac:dyDescent="0.3">
      <c r="A941" s="4">
        <v>465</v>
      </c>
      <c r="B941" s="4">
        <v>465000</v>
      </c>
      <c r="C941" s="4" t="s">
        <v>163</v>
      </c>
      <c r="D941" s="4" t="s">
        <v>161</v>
      </c>
      <c r="E941" s="4" t="s">
        <v>17</v>
      </c>
      <c r="F941" s="4" t="s">
        <v>18</v>
      </c>
      <c r="G941" s="5">
        <v>0.81111111111111112</v>
      </c>
      <c r="H941" s="5">
        <v>0.60000000000000009</v>
      </c>
      <c r="I941" s="5">
        <v>0.05</v>
      </c>
      <c r="J941" s="6">
        <v>0.43548387096774188</v>
      </c>
      <c r="K941" s="6">
        <v>0.89296296296296263</v>
      </c>
      <c r="L941" s="6">
        <v>0.88289086648698645</v>
      </c>
      <c r="M941" s="4" t="s">
        <v>193</v>
      </c>
      <c r="N941" s="4">
        <v>4.78695754232462E-2</v>
      </c>
      <c r="O941" s="4">
        <v>0</v>
      </c>
    </row>
    <row r="942" spans="1:15" x14ac:dyDescent="0.3">
      <c r="A942" s="4">
        <v>466</v>
      </c>
      <c r="B942" s="4">
        <v>466000</v>
      </c>
      <c r="C942" s="4" t="s">
        <v>163</v>
      </c>
      <c r="D942" s="4" t="s">
        <v>161</v>
      </c>
      <c r="E942" s="4" t="s">
        <v>17</v>
      </c>
      <c r="F942" s="4" t="s">
        <v>18</v>
      </c>
      <c r="G942" s="5">
        <v>0.81111111111111112</v>
      </c>
      <c r="H942" s="5">
        <v>0.60000000000000009</v>
      </c>
      <c r="I942" s="5">
        <v>0.05</v>
      </c>
      <c r="J942" s="6">
        <v>0.43548387096774188</v>
      </c>
      <c r="K942" s="6">
        <v>0.89259259259259238</v>
      </c>
      <c r="L942" s="6">
        <v>0.88124347122427404</v>
      </c>
      <c r="M942" s="4" t="s">
        <v>182</v>
      </c>
      <c r="N942" s="4">
        <v>5.1994720506439163E-2</v>
      </c>
      <c r="O942" s="4">
        <v>0</v>
      </c>
    </row>
    <row r="943" spans="1:15" x14ac:dyDescent="0.3">
      <c r="A943" s="4">
        <v>467</v>
      </c>
      <c r="B943" s="4">
        <v>467000</v>
      </c>
      <c r="C943" s="4" t="s">
        <v>163</v>
      </c>
      <c r="D943" s="4" t="s">
        <v>161</v>
      </c>
      <c r="E943" s="4" t="s">
        <v>17</v>
      </c>
      <c r="F943" s="4" t="s">
        <v>18</v>
      </c>
      <c r="G943" s="5">
        <v>0.81111111111111112</v>
      </c>
      <c r="H943" s="5">
        <v>0.60000000000000009</v>
      </c>
      <c r="I943" s="5">
        <v>0.05</v>
      </c>
      <c r="J943" s="6">
        <v>0.43548387096774188</v>
      </c>
      <c r="K943" s="6">
        <v>0.89296296296296285</v>
      </c>
      <c r="L943" s="6">
        <v>0.87967094261369039</v>
      </c>
      <c r="M943" s="4" t="s">
        <v>182</v>
      </c>
      <c r="N943" s="4">
        <v>5.2045584421627551E-2</v>
      </c>
      <c r="O943" s="4">
        <v>0</v>
      </c>
    </row>
    <row r="944" spans="1:15" x14ac:dyDescent="0.3">
      <c r="A944" s="4">
        <v>468</v>
      </c>
      <c r="B944" s="4">
        <v>468000</v>
      </c>
      <c r="C944" s="4" t="s">
        <v>163</v>
      </c>
      <c r="D944" s="4" t="s">
        <v>161</v>
      </c>
      <c r="E944" s="4" t="s">
        <v>17</v>
      </c>
      <c r="F944" s="4" t="s">
        <v>18</v>
      </c>
      <c r="G944" s="5">
        <v>0.81111111111111112</v>
      </c>
      <c r="H944" s="5">
        <v>0.60000000000000009</v>
      </c>
      <c r="I944" s="5">
        <v>0.05</v>
      </c>
      <c r="J944" s="6">
        <v>0.43548387096774188</v>
      </c>
      <c r="K944" s="6">
        <v>0.89370370370370356</v>
      </c>
      <c r="L944" s="6">
        <v>0.88037754339572349</v>
      </c>
      <c r="M944" s="4" t="s">
        <v>214</v>
      </c>
      <c r="N944" s="4">
        <v>5.1374086865174418E-2</v>
      </c>
      <c r="O944" s="4">
        <v>0</v>
      </c>
    </row>
    <row r="945" spans="1:15" x14ac:dyDescent="0.3">
      <c r="A945" s="4">
        <v>469</v>
      </c>
      <c r="B945" s="4">
        <v>469000</v>
      </c>
      <c r="C945" s="4" t="s">
        <v>163</v>
      </c>
      <c r="D945" s="4" t="s">
        <v>161</v>
      </c>
      <c r="E945" s="4" t="s">
        <v>17</v>
      </c>
      <c r="F945" s="4" t="s">
        <v>18</v>
      </c>
      <c r="G945" s="5">
        <v>0.81111111111111112</v>
      </c>
      <c r="H945" s="5">
        <v>0.60000000000000009</v>
      </c>
      <c r="I945" s="5">
        <v>0.05</v>
      </c>
      <c r="J945" s="6">
        <v>0.45161290322580638</v>
      </c>
      <c r="K945" s="6">
        <v>0.8921428571428569</v>
      </c>
      <c r="L945" s="6">
        <v>0.84000540801913037</v>
      </c>
      <c r="M945" s="4" t="s">
        <v>185</v>
      </c>
      <c r="N945" s="4">
        <v>6.0329507014090213E-2</v>
      </c>
      <c r="O945" s="4">
        <v>0</v>
      </c>
    </row>
    <row r="946" spans="1:15" x14ac:dyDescent="0.3">
      <c r="A946" s="4">
        <v>470</v>
      </c>
      <c r="B946" s="4">
        <v>470000</v>
      </c>
      <c r="C946" s="4" t="s">
        <v>163</v>
      </c>
      <c r="D946" s="4" t="s">
        <v>161</v>
      </c>
      <c r="E946" s="4" t="s">
        <v>17</v>
      </c>
      <c r="F946" s="4" t="s">
        <v>18</v>
      </c>
      <c r="G946" s="5">
        <v>0.81111111111111112</v>
      </c>
      <c r="H946" s="5">
        <v>0.60000000000000009</v>
      </c>
      <c r="I946" s="5">
        <v>0.05</v>
      </c>
      <c r="J946" s="6">
        <v>0.45161290322580638</v>
      </c>
      <c r="K946" s="6">
        <v>0.89321428571428563</v>
      </c>
      <c r="L946" s="6">
        <v>0.8374316895096946</v>
      </c>
      <c r="M946" s="4" t="s">
        <v>26</v>
      </c>
      <c r="N946" s="4">
        <v>6.5732057692716311E-2</v>
      </c>
      <c r="O946" s="4">
        <v>0</v>
      </c>
    </row>
    <row r="947" spans="1:15" x14ac:dyDescent="0.3">
      <c r="A947" s="4">
        <v>471</v>
      </c>
      <c r="B947" s="4">
        <v>471000</v>
      </c>
      <c r="C947" s="4" t="s">
        <v>163</v>
      </c>
      <c r="D947" s="4" t="s">
        <v>161</v>
      </c>
      <c r="E947" s="4" t="s">
        <v>17</v>
      </c>
      <c r="F947" s="4" t="s">
        <v>18</v>
      </c>
      <c r="G947" s="5">
        <v>0.81111111111111112</v>
      </c>
      <c r="H947" s="5">
        <v>0.60000000000000009</v>
      </c>
      <c r="I947" s="5">
        <v>0.05</v>
      </c>
      <c r="J947" s="6">
        <v>0.45161290322580638</v>
      </c>
      <c r="K947" s="6">
        <v>0.89321428571428563</v>
      </c>
      <c r="L947" s="6">
        <v>0.8354525196474839</v>
      </c>
      <c r="M947" s="4" t="s">
        <v>176</v>
      </c>
      <c r="N947" s="4">
        <v>7.3786127871299165E-2</v>
      </c>
      <c r="O947" s="4">
        <v>0</v>
      </c>
    </row>
    <row r="948" spans="1:15" x14ac:dyDescent="0.3">
      <c r="A948" s="4">
        <v>472</v>
      </c>
      <c r="B948" s="4">
        <v>472000</v>
      </c>
      <c r="C948" s="4" t="s">
        <v>163</v>
      </c>
      <c r="D948" s="4" t="s">
        <v>161</v>
      </c>
      <c r="E948" s="4" t="s">
        <v>17</v>
      </c>
      <c r="F948" s="4" t="s">
        <v>18</v>
      </c>
      <c r="G948" s="5">
        <v>0.81111111111111112</v>
      </c>
      <c r="H948" s="5">
        <v>0.60000000000000009</v>
      </c>
      <c r="I948" s="5">
        <v>0.05</v>
      </c>
      <c r="J948" s="6">
        <v>0.41269841269841268</v>
      </c>
      <c r="K948" s="6">
        <v>0.92769230769230759</v>
      </c>
      <c r="L948" s="6">
        <v>0.85641642813773955</v>
      </c>
      <c r="M948" s="4" t="s">
        <v>118</v>
      </c>
      <c r="N948" s="4">
        <v>8.7434771522065621E-2</v>
      </c>
      <c r="O948" s="4">
        <v>0</v>
      </c>
    </row>
    <row r="949" spans="1:15" x14ac:dyDescent="0.3">
      <c r="A949" s="4">
        <v>473</v>
      </c>
      <c r="B949" s="4">
        <v>473000</v>
      </c>
      <c r="C949" s="4" t="s">
        <v>163</v>
      </c>
      <c r="D949" s="4" t="s">
        <v>161</v>
      </c>
      <c r="E949" s="4" t="s">
        <v>17</v>
      </c>
      <c r="F949" s="4" t="s">
        <v>18</v>
      </c>
      <c r="G949" s="5">
        <v>0.81111111111111112</v>
      </c>
      <c r="H949" s="5">
        <v>0.60000000000000009</v>
      </c>
      <c r="I949" s="5">
        <v>0.05</v>
      </c>
      <c r="J949" s="6">
        <v>0.44444444444444442</v>
      </c>
      <c r="K949" s="6">
        <v>0.92607142857142832</v>
      </c>
      <c r="L949" s="6">
        <v>0.83264391151715089</v>
      </c>
      <c r="M949" s="4" t="s">
        <v>160</v>
      </c>
      <c r="N949" s="4">
        <v>0.1000605817388838</v>
      </c>
      <c r="O949" s="4">
        <v>0</v>
      </c>
    </row>
    <row r="950" spans="1:15" x14ac:dyDescent="0.3">
      <c r="A950" s="4">
        <v>474</v>
      </c>
      <c r="B950" s="4">
        <v>474000</v>
      </c>
      <c r="C950" s="4" t="s">
        <v>163</v>
      </c>
      <c r="D950" s="4" t="s">
        <v>161</v>
      </c>
      <c r="E950" s="4" t="s">
        <v>17</v>
      </c>
      <c r="F950" s="4" t="s">
        <v>18</v>
      </c>
      <c r="G950" s="5">
        <v>0.81111111111111112</v>
      </c>
      <c r="H950" s="5">
        <v>0.60000000000000009</v>
      </c>
      <c r="I950" s="5">
        <v>0.05</v>
      </c>
      <c r="J950" s="6">
        <v>0.44444444444444442</v>
      </c>
      <c r="K950" s="6">
        <v>0.9267857142857141</v>
      </c>
      <c r="L950" s="6">
        <v>0.83403988217965142</v>
      </c>
      <c r="M950" s="4" t="s">
        <v>63</v>
      </c>
      <c r="N950" s="4">
        <v>0.11127444825055841</v>
      </c>
      <c r="O950" s="4">
        <v>0</v>
      </c>
    </row>
    <row r="951" spans="1:15" x14ac:dyDescent="0.3">
      <c r="A951" s="4">
        <v>475</v>
      </c>
      <c r="B951" s="4">
        <v>475000</v>
      </c>
      <c r="C951" s="4" t="s">
        <v>163</v>
      </c>
      <c r="D951" s="4" t="s">
        <v>161</v>
      </c>
      <c r="E951" s="4" t="s">
        <v>17</v>
      </c>
      <c r="F951" s="4" t="s">
        <v>18</v>
      </c>
      <c r="G951" s="5">
        <v>0.81111111111111112</v>
      </c>
      <c r="H951" s="5">
        <v>0.60000000000000009</v>
      </c>
      <c r="I951" s="5">
        <v>0.05</v>
      </c>
      <c r="J951" s="6">
        <v>0.4375</v>
      </c>
      <c r="K951" s="6">
        <v>0.92821428571428566</v>
      </c>
      <c r="L951" s="6">
        <v>0.82955615476801925</v>
      </c>
      <c r="M951" s="4" t="s">
        <v>29</v>
      </c>
      <c r="N951" s="4">
        <v>0.12074718276390629</v>
      </c>
      <c r="O951" s="4">
        <v>0</v>
      </c>
    </row>
    <row r="952" spans="1:15" x14ac:dyDescent="0.3">
      <c r="A952" s="4">
        <v>1</v>
      </c>
      <c r="B952" s="4">
        <v>1000</v>
      </c>
      <c r="C952" s="4" t="s">
        <v>163</v>
      </c>
      <c r="D952" s="4" t="s">
        <v>162</v>
      </c>
      <c r="E952" s="4" t="s">
        <v>17</v>
      </c>
      <c r="F952" s="4" t="s">
        <v>18</v>
      </c>
      <c r="G952" s="5">
        <v>0.81111111111111112</v>
      </c>
      <c r="H952" s="5">
        <v>0.4</v>
      </c>
      <c r="I952" s="5">
        <v>0.05</v>
      </c>
      <c r="J952" s="6">
        <v>0.875</v>
      </c>
      <c r="K952" s="6">
        <v>0.93142857142857149</v>
      </c>
      <c r="L952" s="6">
        <v>1</v>
      </c>
      <c r="M952" s="4" t="s">
        <v>19</v>
      </c>
      <c r="N952" s="4">
        <v>1</v>
      </c>
      <c r="O952" s="4">
        <v>1</v>
      </c>
    </row>
    <row r="953" spans="1:15" x14ac:dyDescent="0.3">
      <c r="A953" s="4">
        <v>2</v>
      </c>
      <c r="B953" s="4">
        <v>2000</v>
      </c>
      <c r="C953" s="4" t="s">
        <v>163</v>
      </c>
      <c r="D953" s="4" t="s">
        <v>162</v>
      </c>
      <c r="E953" s="4" t="s">
        <v>17</v>
      </c>
      <c r="F953" s="4" t="s">
        <v>18</v>
      </c>
      <c r="G953" s="5">
        <v>0.9</v>
      </c>
      <c r="H953" s="5">
        <v>0.4</v>
      </c>
      <c r="I953" s="5">
        <v>0.05</v>
      </c>
      <c r="J953" s="6">
        <v>0.53846153846153844</v>
      </c>
      <c r="K953" s="6">
        <v>0.95714285714285718</v>
      </c>
      <c r="L953" s="6">
        <v>1</v>
      </c>
      <c r="M953" s="4" t="s">
        <v>19</v>
      </c>
      <c r="N953" s="4">
        <v>1</v>
      </c>
      <c r="O953" s="4">
        <v>1</v>
      </c>
    </row>
    <row r="954" spans="1:15" x14ac:dyDescent="0.3">
      <c r="A954" s="4">
        <v>3</v>
      </c>
      <c r="B954" s="4">
        <v>3000</v>
      </c>
      <c r="C954" s="4" t="s">
        <v>163</v>
      </c>
      <c r="D954" s="4" t="s">
        <v>162</v>
      </c>
      <c r="E954" s="4" t="s">
        <v>17</v>
      </c>
      <c r="F954" s="4" t="s">
        <v>18</v>
      </c>
      <c r="G954" s="5">
        <v>0.9</v>
      </c>
      <c r="H954" s="5">
        <v>0.4</v>
      </c>
      <c r="I954" s="5">
        <v>0.05</v>
      </c>
      <c r="J954" s="6">
        <v>0.53333333333333333</v>
      </c>
      <c r="K954" s="6">
        <v>0.96374999999999988</v>
      </c>
      <c r="L954" s="6">
        <v>0.3571428571428571</v>
      </c>
      <c r="M954" s="4" t="s">
        <v>24</v>
      </c>
      <c r="N954" s="4">
        <v>7.2796843074874801E-2</v>
      </c>
      <c r="O954" s="4">
        <v>0</v>
      </c>
    </row>
    <row r="955" spans="1:15" x14ac:dyDescent="0.3">
      <c r="A955" s="4">
        <v>4</v>
      </c>
      <c r="B955" s="4">
        <v>4000</v>
      </c>
      <c r="C955" s="4" t="s">
        <v>163</v>
      </c>
      <c r="D955" s="4" t="s">
        <v>162</v>
      </c>
      <c r="E955" s="4" t="s">
        <v>17</v>
      </c>
      <c r="F955" s="4" t="s">
        <v>18</v>
      </c>
      <c r="G955" s="5">
        <v>0.9</v>
      </c>
      <c r="H955" s="5">
        <v>0.4</v>
      </c>
      <c r="I955" s="5">
        <v>0.05</v>
      </c>
      <c r="J955" s="6">
        <v>0.30769230769230771</v>
      </c>
      <c r="K955" s="6">
        <v>0.97375000000000012</v>
      </c>
      <c r="L955" s="6">
        <v>0.32758620689655171</v>
      </c>
      <c r="M955" s="4" t="s">
        <v>19</v>
      </c>
      <c r="N955" s="4">
        <v>1</v>
      </c>
      <c r="O955" s="4">
        <v>1</v>
      </c>
    </row>
    <row r="956" spans="1:15" x14ac:dyDescent="0.3">
      <c r="A956" s="4">
        <v>5</v>
      </c>
      <c r="B956" s="4">
        <v>5000</v>
      </c>
      <c r="C956" s="4" t="s">
        <v>163</v>
      </c>
      <c r="D956" s="4" t="s">
        <v>162</v>
      </c>
      <c r="E956" s="4" t="s">
        <v>17</v>
      </c>
      <c r="F956" s="4" t="s">
        <v>18</v>
      </c>
      <c r="G956" s="5">
        <v>0.9</v>
      </c>
      <c r="H956" s="5">
        <v>0.4</v>
      </c>
      <c r="I956" s="5">
        <v>0.05</v>
      </c>
      <c r="J956" s="6">
        <v>0.2857142857142857</v>
      </c>
      <c r="K956" s="6">
        <v>0.98</v>
      </c>
      <c r="L956" s="6">
        <v>0.323943661971831</v>
      </c>
      <c r="M956" s="4" t="s">
        <v>19</v>
      </c>
      <c r="N956" s="4">
        <v>1</v>
      </c>
      <c r="O956" s="4">
        <v>1</v>
      </c>
    </row>
    <row r="957" spans="1:15" x14ac:dyDescent="0.3">
      <c r="A957" s="4">
        <v>6</v>
      </c>
      <c r="B957" s="4">
        <v>6000</v>
      </c>
      <c r="C957" s="4" t="s">
        <v>163</v>
      </c>
      <c r="D957" s="4" t="s">
        <v>162</v>
      </c>
      <c r="E957" s="4" t="s">
        <v>17</v>
      </c>
      <c r="F957" s="4" t="s">
        <v>18</v>
      </c>
      <c r="G957" s="5">
        <v>0.9</v>
      </c>
      <c r="H957" s="5">
        <v>0.4</v>
      </c>
      <c r="I957" s="5">
        <v>0.05</v>
      </c>
      <c r="J957" s="6">
        <v>0.3125</v>
      </c>
      <c r="K957" s="6">
        <v>0.97000000000000008</v>
      </c>
      <c r="L957" s="6">
        <v>0.30487804878048791</v>
      </c>
      <c r="M957" s="4" t="s">
        <v>19</v>
      </c>
      <c r="N957" s="4">
        <v>1</v>
      </c>
      <c r="O957" s="4">
        <v>1</v>
      </c>
    </row>
    <row r="958" spans="1:15" x14ac:dyDescent="0.3">
      <c r="A958" s="4">
        <v>7</v>
      </c>
      <c r="B958" s="4">
        <v>7000</v>
      </c>
      <c r="C958" s="4" t="s">
        <v>163</v>
      </c>
      <c r="D958" s="4" t="s">
        <v>162</v>
      </c>
      <c r="E958" s="4" t="s">
        <v>17</v>
      </c>
      <c r="F958" s="4" t="s">
        <v>18</v>
      </c>
      <c r="G958" s="5">
        <v>0.9</v>
      </c>
      <c r="H958" s="5">
        <v>0.4</v>
      </c>
      <c r="I958" s="5">
        <v>0.05</v>
      </c>
      <c r="J958" s="6">
        <v>0.39393939393939392</v>
      </c>
      <c r="K958" s="6">
        <v>0.88769230769230778</v>
      </c>
      <c r="L958" s="6">
        <v>0.1330591630591631</v>
      </c>
      <c r="M958" s="4" t="s">
        <v>164</v>
      </c>
      <c r="N958" s="4">
        <v>5.2925159318655567E-2</v>
      </c>
      <c r="O958" s="4">
        <v>0</v>
      </c>
    </row>
    <row r="959" spans="1:15" x14ac:dyDescent="0.3">
      <c r="A959" s="4">
        <v>8</v>
      </c>
      <c r="B959" s="4">
        <v>8000</v>
      </c>
      <c r="C959" s="4" t="s">
        <v>163</v>
      </c>
      <c r="D959" s="4" t="s">
        <v>162</v>
      </c>
      <c r="E959" s="4" t="s">
        <v>17</v>
      </c>
      <c r="F959" s="4" t="s">
        <v>18</v>
      </c>
      <c r="G959" s="5">
        <v>0.9</v>
      </c>
      <c r="H959" s="5">
        <v>0.4</v>
      </c>
      <c r="I959" s="5">
        <v>0.05</v>
      </c>
      <c r="J959" s="6">
        <v>0.3611111111111111</v>
      </c>
      <c r="K959" s="6">
        <v>0.8961538461538463</v>
      </c>
      <c r="L959" s="6">
        <v>0.13300880406143559</v>
      </c>
      <c r="M959" s="4" t="s">
        <v>73</v>
      </c>
      <c r="N959" s="4">
        <v>9.193652061042823E-2</v>
      </c>
      <c r="O959" s="4">
        <v>0</v>
      </c>
    </row>
    <row r="960" spans="1:15" x14ac:dyDescent="0.3">
      <c r="A960" s="4">
        <v>9</v>
      </c>
      <c r="B960" s="4">
        <v>9000</v>
      </c>
      <c r="C960" s="4" t="s">
        <v>163</v>
      </c>
      <c r="D960" s="4" t="s">
        <v>162</v>
      </c>
      <c r="E960" s="4" t="s">
        <v>17</v>
      </c>
      <c r="F960" s="4" t="s">
        <v>18</v>
      </c>
      <c r="G960" s="5">
        <v>0.9</v>
      </c>
      <c r="H960" s="5">
        <v>0.4</v>
      </c>
      <c r="I960" s="5">
        <v>0.05</v>
      </c>
      <c r="J960" s="6">
        <v>0.375</v>
      </c>
      <c r="K960" s="6">
        <v>0.84266666666666667</v>
      </c>
      <c r="L960" s="6">
        <v>0.54675638783966596</v>
      </c>
      <c r="M960" s="4" t="s">
        <v>54</v>
      </c>
      <c r="N960" s="4">
        <v>0.13823650851250441</v>
      </c>
      <c r="O960" s="4">
        <v>0</v>
      </c>
    </row>
    <row r="961" spans="1:15" x14ac:dyDescent="0.3">
      <c r="A961" s="4">
        <v>10</v>
      </c>
      <c r="B961" s="4">
        <v>10000</v>
      </c>
      <c r="C961" s="4" t="s">
        <v>163</v>
      </c>
      <c r="D961" s="4" t="s">
        <v>162</v>
      </c>
      <c r="E961" s="4" t="s">
        <v>17</v>
      </c>
      <c r="F961" s="4" t="s">
        <v>18</v>
      </c>
      <c r="G961" s="5">
        <v>0.9</v>
      </c>
      <c r="H961" s="5">
        <v>0.60000000000000009</v>
      </c>
      <c r="I961" s="5">
        <v>0.18333333333333329</v>
      </c>
      <c r="J961" s="6">
        <v>0.31111111111111112</v>
      </c>
      <c r="K961" s="6">
        <v>0.97142857142857142</v>
      </c>
      <c r="L961" s="6">
        <v>0.64156490275893263</v>
      </c>
      <c r="M961" s="4" t="s">
        <v>19</v>
      </c>
      <c r="N961" s="4">
        <v>1</v>
      </c>
      <c r="O961" s="4">
        <v>1</v>
      </c>
    </row>
    <row r="962" spans="1:15" x14ac:dyDescent="0.3">
      <c r="A962" s="4">
        <v>11</v>
      </c>
      <c r="B962" s="4">
        <v>11000</v>
      </c>
      <c r="C962" s="4" t="s">
        <v>163</v>
      </c>
      <c r="D962" s="4" t="s">
        <v>162</v>
      </c>
      <c r="E962" s="4" t="s">
        <v>17</v>
      </c>
      <c r="F962" s="4" t="s">
        <v>18</v>
      </c>
      <c r="G962" s="5">
        <v>0.9</v>
      </c>
      <c r="H962" s="5">
        <v>0.60000000000000009</v>
      </c>
      <c r="I962" s="5">
        <v>0.18333333333333329</v>
      </c>
      <c r="J962" s="6">
        <v>0.35555555555555562</v>
      </c>
      <c r="K962" s="6">
        <v>0.96562500000000007</v>
      </c>
      <c r="L962" s="6">
        <v>0.56968542332902405</v>
      </c>
      <c r="M962" s="4" t="s">
        <v>165</v>
      </c>
      <c r="N962" s="4">
        <v>3.3579259577835252E-2</v>
      </c>
      <c r="O962" s="4">
        <v>0</v>
      </c>
    </row>
    <row r="963" spans="1:15" x14ac:dyDescent="0.3">
      <c r="A963" s="4">
        <v>12</v>
      </c>
      <c r="B963" s="4">
        <v>12000</v>
      </c>
      <c r="C963" s="4" t="s">
        <v>163</v>
      </c>
      <c r="D963" s="4" t="s">
        <v>162</v>
      </c>
      <c r="E963" s="4" t="s">
        <v>17</v>
      </c>
      <c r="F963" s="4" t="s">
        <v>18</v>
      </c>
      <c r="G963" s="5">
        <v>0.9</v>
      </c>
      <c r="H963" s="5">
        <v>0.60000000000000009</v>
      </c>
      <c r="I963" s="5">
        <v>0.18333333333333329</v>
      </c>
      <c r="J963" s="6">
        <v>0.31914893617021278</v>
      </c>
      <c r="K963" s="6">
        <v>0.97133333333333338</v>
      </c>
      <c r="L963" s="6">
        <v>0.63055289229785871</v>
      </c>
      <c r="M963" s="4" t="s">
        <v>57</v>
      </c>
      <c r="N963" s="4">
        <v>5.3835211445127248E-2</v>
      </c>
      <c r="O963" s="4">
        <v>0</v>
      </c>
    </row>
    <row r="964" spans="1:15" x14ac:dyDescent="0.3">
      <c r="A964" s="4">
        <v>13</v>
      </c>
      <c r="B964" s="4">
        <v>13000</v>
      </c>
      <c r="C964" s="4" t="s">
        <v>163</v>
      </c>
      <c r="D964" s="4" t="s">
        <v>162</v>
      </c>
      <c r="E964" s="4" t="s">
        <v>17</v>
      </c>
      <c r="F964" s="4" t="s">
        <v>18</v>
      </c>
      <c r="G964" s="5">
        <v>0.9</v>
      </c>
      <c r="H964" s="5">
        <v>0.60000000000000009</v>
      </c>
      <c r="I964" s="5">
        <v>0.18333333333333329</v>
      </c>
      <c r="J964" s="6">
        <v>0.34042553191489361</v>
      </c>
      <c r="K964" s="6">
        <v>0.91312500000000008</v>
      </c>
      <c r="L964" s="6">
        <v>0.5453815589712413</v>
      </c>
      <c r="M964" s="4" t="s">
        <v>128</v>
      </c>
      <c r="N964" s="4">
        <v>7.1311311464680144E-2</v>
      </c>
      <c r="O964" s="4">
        <v>0</v>
      </c>
    </row>
    <row r="965" spans="1:15" x14ac:dyDescent="0.3">
      <c r="A965" s="4">
        <v>14</v>
      </c>
      <c r="B965" s="4">
        <v>14000</v>
      </c>
      <c r="C965" s="4" t="s">
        <v>163</v>
      </c>
      <c r="D965" s="4" t="s">
        <v>162</v>
      </c>
      <c r="E965" s="4" t="s">
        <v>17</v>
      </c>
      <c r="F965" s="4" t="s">
        <v>18</v>
      </c>
      <c r="G965" s="5">
        <v>0.9</v>
      </c>
      <c r="H965" s="5">
        <v>0.60000000000000009</v>
      </c>
      <c r="I965" s="5">
        <v>0.18333333333333329</v>
      </c>
      <c r="J965" s="6">
        <v>0.36170212765957449</v>
      </c>
      <c r="K965" s="6">
        <v>0.91764705882352937</v>
      </c>
      <c r="L965" s="6">
        <v>0.45788965129862752</v>
      </c>
      <c r="M965" s="4" t="s">
        <v>106</v>
      </c>
      <c r="N965" s="4">
        <v>8.2218596398275848E-2</v>
      </c>
      <c r="O965" s="4">
        <v>0</v>
      </c>
    </row>
    <row r="966" spans="1:15" x14ac:dyDescent="0.3">
      <c r="A966" s="4">
        <v>15</v>
      </c>
      <c r="B966" s="4">
        <v>15000</v>
      </c>
      <c r="C966" s="4" t="s">
        <v>163</v>
      </c>
      <c r="D966" s="4" t="s">
        <v>162</v>
      </c>
      <c r="E966" s="4" t="s">
        <v>17</v>
      </c>
      <c r="F966" s="4" t="s">
        <v>18</v>
      </c>
      <c r="G966" s="5">
        <v>0.9</v>
      </c>
      <c r="H966" s="5">
        <v>0.60000000000000009</v>
      </c>
      <c r="I966" s="5">
        <v>0.18333333333333329</v>
      </c>
      <c r="J966" s="6">
        <v>0.36170212765957449</v>
      </c>
      <c r="K966" s="6">
        <v>0.92176470588235282</v>
      </c>
      <c r="L966" s="6">
        <v>0.46087104484049068</v>
      </c>
      <c r="M966" s="4" t="s">
        <v>22</v>
      </c>
      <c r="N966" s="4">
        <v>9.4454159949271144E-2</v>
      </c>
      <c r="O966" s="4">
        <v>0</v>
      </c>
    </row>
    <row r="967" spans="1:15" x14ac:dyDescent="0.3">
      <c r="A967" s="4">
        <v>16</v>
      </c>
      <c r="B967" s="4">
        <v>16000</v>
      </c>
      <c r="C967" s="4" t="s">
        <v>163</v>
      </c>
      <c r="D967" s="4" t="s">
        <v>162</v>
      </c>
      <c r="E967" s="4" t="s">
        <v>17</v>
      </c>
      <c r="F967" s="4" t="s">
        <v>18</v>
      </c>
      <c r="G967" s="5">
        <v>0.9</v>
      </c>
      <c r="H967" s="5">
        <v>0.60000000000000009</v>
      </c>
      <c r="I967" s="5">
        <v>0.18333333333333329</v>
      </c>
      <c r="J967" s="6">
        <v>0.38297872340425532</v>
      </c>
      <c r="K967" s="6">
        <v>0.92666666666666664</v>
      </c>
      <c r="L967" s="6">
        <v>0.49614143924289311</v>
      </c>
      <c r="M967" s="4" t="s">
        <v>99</v>
      </c>
      <c r="N967" s="4">
        <v>0.1028607278457052</v>
      </c>
      <c r="O967" s="4">
        <v>0</v>
      </c>
    </row>
    <row r="968" spans="1:15" x14ac:dyDescent="0.3">
      <c r="A968" s="4">
        <v>17</v>
      </c>
      <c r="B968" s="4">
        <v>17000</v>
      </c>
      <c r="C968" s="4" t="s">
        <v>163</v>
      </c>
      <c r="D968" s="4" t="s">
        <v>162</v>
      </c>
      <c r="E968" s="4" t="s">
        <v>17</v>
      </c>
      <c r="F968" s="4" t="s">
        <v>18</v>
      </c>
      <c r="G968" s="5">
        <v>0.9</v>
      </c>
      <c r="H968" s="5">
        <v>0.60000000000000009</v>
      </c>
      <c r="I968" s="5">
        <v>0.18333333333333329</v>
      </c>
      <c r="J968" s="6">
        <v>0.38297872340425532</v>
      </c>
      <c r="K968" s="6">
        <v>0.9277777777777777</v>
      </c>
      <c r="L968" s="6">
        <v>0.49751912593178832</v>
      </c>
      <c r="M968" s="4" t="s">
        <v>63</v>
      </c>
      <c r="N968" s="4">
        <v>0.11098516629180161</v>
      </c>
      <c r="O968" s="4">
        <v>0</v>
      </c>
    </row>
    <row r="969" spans="1:15" x14ac:dyDescent="0.3">
      <c r="A969" s="4">
        <v>18</v>
      </c>
      <c r="B969" s="4">
        <v>18000</v>
      </c>
      <c r="C969" s="4" t="s">
        <v>163</v>
      </c>
      <c r="D969" s="4" t="s">
        <v>162</v>
      </c>
      <c r="E969" s="4" t="s">
        <v>17</v>
      </c>
      <c r="F969" s="4" t="s">
        <v>18</v>
      </c>
      <c r="G969" s="5">
        <v>0.9</v>
      </c>
      <c r="H969" s="5">
        <v>0.60000000000000009</v>
      </c>
      <c r="I969" s="5">
        <v>0.18333333333333329</v>
      </c>
      <c r="J969" s="6">
        <v>0.38297872340425532</v>
      </c>
      <c r="K969" s="6">
        <v>0.92833333333333334</v>
      </c>
      <c r="L969" s="6">
        <v>0.49805744443486172</v>
      </c>
      <c r="M969" s="4" t="s">
        <v>136</v>
      </c>
      <c r="N969" s="4">
        <v>0.10588907738044839</v>
      </c>
      <c r="O969" s="4">
        <v>0</v>
      </c>
    </row>
    <row r="970" spans="1:15" x14ac:dyDescent="0.3">
      <c r="A970" s="4">
        <v>19</v>
      </c>
      <c r="B970" s="4">
        <v>19000</v>
      </c>
      <c r="C970" s="4" t="s">
        <v>163</v>
      </c>
      <c r="D970" s="4" t="s">
        <v>162</v>
      </c>
      <c r="E970" s="4" t="s">
        <v>17</v>
      </c>
      <c r="F970" s="4" t="s">
        <v>18</v>
      </c>
      <c r="G970" s="5">
        <v>0.9</v>
      </c>
      <c r="H970" s="5">
        <v>0.60000000000000009</v>
      </c>
      <c r="I970" s="5">
        <v>0.18333333333333329</v>
      </c>
      <c r="J970" s="6">
        <v>0.40425531914893609</v>
      </c>
      <c r="K970" s="6">
        <v>0.92736842105263162</v>
      </c>
      <c r="L970" s="6">
        <v>0.50227156868909728</v>
      </c>
      <c r="M970" s="4" t="s">
        <v>47</v>
      </c>
      <c r="N970" s="4">
        <v>0.10760280143907409</v>
      </c>
      <c r="O970" s="4">
        <v>0</v>
      </c>
    </row>
    <row r="971" spans="1:15" x14ac:dyDescent="0.3">
      <c r="A971" s="4">
        <v>20</v>
      </c>
      <c r="B971" s="4">
        <v>20000</v>
      </c>
      <c r="C971" s="4" t="s">
        <v>163</v>
      </c>
      <c r="D971" s="4" t="s">
        <v>162</v>
      </c>
      <c r="E971" s="4" t="s">
        <v>17</v>
      </c>
      <c r="F971" s="4" t="s">
        <v>18</v>
      </c>
      <c r="G971" s="5">
        <v>0.9</v>
      </c>
      <c r="H971" s="5">
        <v>0.8</v>
      </c>
      <c r="I971" s="5">
        <v>0.25</v>
      </c>
      <c r="J971" s="6">
        <v>0.30612244897959179</v>
      </c>
      <c r="K971" s="6">
        <v>0.98333333333333361</v>
      </c>
      <c r="L971" s="6">
        <v>0.3</v>
      </c>
      <c r="M971" s="4" t="s">
        <v>19</v>
      </c>
      <c r="N971" s="4">
        <v>1</v>
      </c>
      <c r="O971" s="4">
        <v>1</v>
      </c>
    </row>
    <row r="972" spans="1:15" x14ac:dyDescent="0.3">
      <c r="A972" s="4">
        <v>21</v>
      </c>
      <c r="B972" s="4">
        <v>21000</v>
      </c>
      <c r="C972" s="4" t="s">
        <v>163</v>
      </c>
      <c r="D972" s="4" t="s">
        <v>162</v>
      </c>
      <c r="E972" s="4" t="s">
        <v>17</v>
      </c>
      <c r="F972" s="4" t="s">
        <v>18</v>
      </c>
      <c r="G972" s="5">
        <v>0.9</v>
      </c>
      <c r="H972" s="5">
        <v>0.8</v>
      </c>
      <c r="I972" s="5">
        <v>0.25</v>
      </c>
      <c r="J972" s="6">
        <v>0.30612244897959179</v>
      </c>
      <c r="K972" s="6">
        <v>0.98466666666666691</v>
      </c>
      <c r="L972" s="6">
        <v>0.29554655870445351</v>
      </c>
      <c r="M972" s="4" t="s">
        <v>166</v>
      </c>
      <c r="N972" s="4">
        <v>2.0146139964668779E-2</v>
      </c>
      <c r="O972" s="4">
        <v>0</v>
      </c>
    </row>
    <row r="973" spans="1:15" x14ac:dyDescent="0.3">
      <c r="A973" s="4">
        <v>22</v>
      </c>
      <c r="B973" s="4">
        <v>22000</v>
      </c>
      <c r="C973" s="4" t="s">
        <v>163</v>
      </c>
      <c r="D973" s="4" t="s">
        <v>162</v>
      </c>
      <c r="E973" s="4" t="s">
        <v>17</v>
      </c>
      <c r="F973" s="4" t="s">
        <v>18</v>
      </c>
      <c r="G973" s="5">
        <v>0.9</v>
      </c>
      <c r="H973" s="5">
        <v>0.8</v>
      </c>
      <c r="I973" s="5">
        <v>0.25</v>
      </c>
      <c r="J973" s="6">
        <v>0.3</v>
      </c>
      <c r="K973" s="6">
        <v>0.98466666666666691</v>
      </c>
      <c r="L973" s="6">
        <v>0.29961089494163429</v>
      </c>
      <c r="M973" s="4" t="s">
        <v>167</v>
      </c>
      <c r="N973" s="4">
        <v>2.9682552189093971E-2</v>
      </c>
      <c r="O973" s="4">
        <v>0</v>
      </c>
    </row>
    <row r="974" spans="1:15" x14ac:dyDescent="0.3">
      <c r="A974" s="4">
        <v>23</v>
      </c>
      <c r="B974" s="4">
        <v>23000</v>
      </c>
      <c r="C974" s="4" t="s">
        <v>163</v>
      </c>
      <c r="D974" s="4" t="s">
        <v>162</v>
      </c>
      <c r="E974" s="4" t="s">
        <v>17</v>
      </c>
      <c r="F974" s="4" t="s">
        <v>18</v>
      </c>
      <c r="G974" s="5">
        <v>0.9</v>
      </c>
      <c r="H974" s="5">
        <v>0.8</v>
      </c>
      <c r="I974" s="5">
        <v>0.25</v>
      </c>
      <c r="J974" s="6">
        <v>0.3</v>
      </c>
      <c r="K974" s="6">
        <v>0.98533333333333351</v>
      </c>
      <c r="L974" s="6">
        <v>0.30534351145038158</v>
      </c>
      <c r="M974" s="4" t="s">
        <v>165</v>
      </c>
      <c r="N974" s="4">
        <v>3.4003378246744292E-2</v>
      </c>
      <c r="O974" s="4">
        <v>0</v>
      </c>
    </row>
    <row r="975" spans="1:15" x14ac:dyDescent="0.3">
      <c r="A975" s="4">
        <v>24</v>
      </c>
      <c r="B975" s="4">
        <v>24000</v>
      </c>
      <c r="C975" s="4" t="s">
        <v>163</v>
      </c>
      <c r="D975" s="4" t="s">
        <v>162</v>
      </c>
      <c r="E975" s="4" t="s">
        <v>17</v>
      </c>
      <c r="F975" s="4" t="s">
        <v>18</v>
      </c>
      <c r="G975" s="5">
        <v>0.9</v>
      </c>
      <c r="H975" s="5">
        <v>0.8</v>
      </c>
      <c r="I975" s="5">
        <v>0.25</v>
      </c>
      <c r="J975" s="6">
        <v>0.28846153846153838</v>
      </c>
      <c r="K975" s="6">
        <v>0.98466666666666691</v>
      </c>
      <c r="L975" s="6">
        <v>0.30651340996168591</v>
      </c>
      <c r="M975" s="4" t="s">
        <v>168</v>
      </c>
      <c r="N975" s="4">
        <v>4.3951330867887523E-2</v>
      </c>
      <c r="O975" s="4">
        <v>0</v>
      </c>
    </row>
    <row r="976" spans="1:15" x14ac:dyDescent="0.3">
      <c r="A976" s="4">
        <v>25</v>
      </c>
      <c r="B976" s="4">
        <v>25000</v>
      </c>
      <c r="C976" s="4" t="s">
        <v>163</v>
      </c>
      <c r="D976" s="4" t="s">
        <v>162</v>
      </c>
      <c r="E976" s="4" t="s">
        <v>17</v>
      </c>
      <c r="F976" s="4" t="s">
        <v>18</v>
      </c>
      <c r="G976" s="5">
        <v>0.9</v>
      </c>
      <c r="H976" s="5">
        <v>0.8</v>
      </c>
      <c r="I976" s="5">
        <v>0.25</v>
      </c>
      <c r="J976" s="6">
        <v>0.28846153846153838</v>
      </c>
      <c r="K976" s="6">
        <v>0.98466666666666691</v>
      </c>
      <c r="L976" s="6">
        <v>0.30888030888030887</v>
      </c>
      <c r="M976" s="4" t="s">
        <v>164</v>
      </c>
      <c r="N976" s="4">
        <v>5.3083788332053718E-2</v>
      </c>
      <c r="O976" s="4">
        <v>0</v>
      </c>
    </row>
    <row r="977" spans="1:15" x14ac:dyDescent="0.3">
      <c r="A977" s="4">
        <v>26</v>
      </c>
      <c r="B977" s="4">
        <v>26000</v>
      </c>
      <c r="C977" s="4" t="s">
        <v>163</v>
      </c>
      <c r="D977" s="4" t="s">
        <v>162</v>
      </c>
      <c r="E977" s="4" t="s">
        <v>17</v>
      </c>
      <c r="F977" s="4" t="s">
        <v>18</v>
      </c>
      <c r="G977" s="5">
        <v>0.9</v>
      </c>
      <c r="H977" s="5">
        <v>0.8</v>
      </c>
      <c r="I977" s="5">
        <v>0.25</v>
      </c>
      <c r="J977" s="6">
        <v>0.29411764705882348</v>
      </c>
      <c r="K977" s="6">
        <v>0.98533333333333351</v>
      </c>
      <c r="L977" s="6">
        <v>0.29527559055118108</v>
      </c>
      <c r="M977" s="4" t="s">
        <v>169</v>
      </c>
      <c r="N977" s="4">
        <v>6.1283315932522758E-2</v>
      </c>
      <c r="O977" s="4">
        <v>0</v>
      </c>
    </row>
    <row r="978" spans="1:15" x14ac:dyDescent="0.3">
      <c r="A978" s="4">
        <v>27</v>
      </c>
      <c r="B978" s="4">
        <v>27000</v>
      </c>
      <c r="C978" s="4" t="s">
        <v>163</v>
      </c>
      <c r="D978" s="4" t="s">
        <v>162</v>
      </c>
      <c r="E978" s="4" t="s">
        <v>17</v>
      </c>
      <c r="F978" s="4" t="s">
        <v>18</v>
      </c>
      <c r="G978" s="5">
        <v>0.9</v>
      </c>
      <c r="H978" s="5">
        <v>0.8</v>
      </c>
      <c r="I978" s="5">
        <v>0.25</v>
      </c>
      <c r="J978" s="6">
        <v>0.28846153846153838</v>
      </c>
      <c r="K978" s="6">
        <v>0.98533333333333351</v>
      </c>
      <c r="L978" s="6">
        <v>0.29838709677419351</v>
      </c>
      <c r="M978" s="4" t="s">
        <v>152</v>
      </c>
      <c r="N978" s="4">
        <v>7.4728944812063672E-2</v>
      </c>
      <c r="O978" s="4">
        <v>0</v>
      </c>
    </row>
    <row r="979" spans="1:15" x14ac:dyDescent="0.3">
      <c r="A979" s="4">
        <v>28</v>
      </c>
      <c r="B979" s="4">
        <v>28000</v>
      </c>
      <c r="C979" s="4" t="s">
        <v>163</v>
      </c>
      <c r="D979" s="4" t="s">
        <v>162</v>
      </c>
      <c r="E979" s="4" t="s">
        <v>17</v>
      </c>
      <c r="F979" s="4" t="s">
        <v>18</v>
      </c>
      <c r="G979" s="5">
        <v>0.9</v>
      </c>
      <c r="H979" s="5">
        <v>0.8</v>
      </c>
      <c r="I979" s="5">
        <v>0.25</v>
      </c>
      <c r="J979" s="6">
        <v>0.28301886792452829</v>
      </c>
      <c r="K979" s="6">
        <v>0.9826666666666668</v>
      </c>
      <c r="L979" s="6">
        <v>0.31854838709677419</v>
      </c>
      <c r="M979" s="4" t="s">
        <v>170</v>
      </c>
      <c r="N979" s="4">
        <v>8.0572111748854841E-2</v>
      </c>
      <c r="O979" s="4">
        <v>0</v>
      </c>
    </row>
    <row r="980" spans="1:15" x14ac:dyDescent="0.3">
      <c r="A980" s="4">
        <v>29</v>
      </c>
      <c r="B980" s="4">
        <v>29000</v>
      </c>
      <c r="C980" s="4" t="s">
        <v>163</v>
      </c>
      <c r="D980" s="4" t="s">
        <v>162</v>
      </c>
      <c r="E980" s="4" t="s">
        <v>17</v>
      </c>
      <c r="F980" s="4" t="s">
        <v>18</v>
      </c>
      <c r="G980" s="5">
        <v>0.9</v>
      </c>
      <c r="H980" s="5">
        <v>0.8</v>
      </c>
      <c r="I980" s="5">
        <v>0.25</v>
      </c>
      <c r="J980" s="6">
        <v>0.30188679245283018</v>
      </c>
      <c r="K980" s="6">
        <v>0.98187500000000005</v>
      </c>
      <c r="L980" s="6">
        <v>0.65789473684210531</v>
      </c>
      <c r="M980" s="4" t="s">
        <v>39</v>
      </c>
      <c r="N980" s="4">
        <v>9.3247358320082088E-2</v>
      </c>
      <c r="O980" s="4">
        <v>0</v>
      </c>
    </row>
    <row r="981" spans="1:15" x14ac:dyDescent="0.3">
      <c r="A981" s="4">
        <v>30</v>
      </c>
      <c r="B981" s="4">
        <v>30000</v>
      </c>
      <c r="C981" s="4" t="s">
        <v>163</v>
      </c>
      <c r="D981" s="4" t="s">
        <v>162</v>
      </c>
      <c r="E981" s="4" t="s">
        <v>17</v>
      </c>
      <c r="F981" s="4" t="s">
        <v>18</v>
      </c>
      <c r="G981" s="5">
        <v>0.9</v>
      </c>
      <c r="H981" s="5">
        <v>0.8</v>
      </c>
      <c r="I981" s="5">
        <v>0.25</v>
      </c>
      <c r="J981" s="6">
        <v>0.30188679245283018</v>
      </c>
      <c r="K981" s="6">
        <v>0.98125000000000018</v>
      </c>
      <c r="L981" s="6">
        <v>0.6612244897959183</v>
      </c>
      <c r="M981" s="4" t="s">
        <v>160</v>
      </c>
      <c r="N981" s="4">
        <v>9.9623214392308257E-2</v>
      </c>
      <c r="O981" s="4">
        <v>0</v>
      </c>
    </row>
    <row r="982" spans="1:15" x14ac:dyDescent="0.3">
      <c r="A982" s="4">
        <v>31</v>
      </c>
      <c r="B982" s="4">
        <v>31000</v>
      </c>
      <c r="C982" s="4" t="s">
        <v>163</v>
      </c>
      <c r="D982" s="4" t="s">
        <v>162</v>
      </c>
      <c r="E982" s="4" t="s">
        <v>17</v>
      </c>
      <c r="F982" s="4" t="s">
        <v>18</v>
      </c>
      <c r="G982" s="5">
        <v>0.9</v>
      </c>
      <c r="H982" s="5">
        <v>0.8</v>
      </c>
      <c r="I982" s="5">
        <v>0.25</v>
      </c>
      <c r="J982" s="6">
        <v>0.31481481481481483</v>
      </c>
      <c r="K982" s="6">
        <v>0.9764705882352942</v>
      </c>
      <c r="L982" s="6">
        <v>0.66176470588235292</v>
      </c>
      <c r="M982" s="4" t="s">
        <v>108</v>
      </c>
      <c r="N982" s="4">
        <v>0.1147392350153508</v>
      </c>
      <c r="O982" s="4">
        <v>0</v>
      </c>
    </row>
    <row r="983" spans="1:15" x14ac:dyDescent="0.3">
      <c r="A983" s="4">
        <v>32</v>
      </c>
      <c r="B983" s="4">
        <v>32000</v>
      </c>
      <c r="C983" s="4" t="s">
        <v>163</v>
      </c>
      <c r="D983" s="4" t="s">
        <v>162</v>
      </c>
      <c r="E983" s="4" t="s">
        <v>17</v>
      </c>
      <c r="F983" s="4" t="s">
        <v>18</v>
      </c>
      <c r="G983" s="5">
        <v>0.9</v>
      </c>
      <c r="H983" s="5">
        <v>0.8</v>
      </c>
      <c r="I983" s="5">
        <v>0.25</v>
      </c>
      <c r="J983" s="6">
        <v>0.2982456140350877</v>
      </c>
      <c r="K983" s="6">
        <v>0.97882352941176454</v>
      </c>
      <c r="L983" s="6">
        <v>0.66150442477876104</v>
      </c>
      <c r="M983" s="4" t="s">
        <v>100</v>
      </c>
      <c r="N983" s="4">
        <v>0.13136803576968059</v>
      </c>
      <c r="O983" s="4">
        <v>0</v>
      </c>
    </row>
    <row r="984" spans="1:15" x14ac:dyDescent="0.3">
      <c r="A984" s="4">
        <v>33</v>
      </c>
      <c r="B984" s="4">
        <v>33000</v>
      </c>
      <c r="C984" s="4" t="s">
        <v>163</v>
      </c>
      <c r="D984" s="4" t="s">
        <v>162</v>
      </c>
      <c r="E984" s="4" t="s">
        <v>17</v>
      </c>
      <c r="F984" s="4" t="s">
        <v>18</v>
      </c>
      <c r="G984" s="5">
        <v>0.9</v>
      </c>
      <c r="H984" s="5">
        <v>0.8</v>
      </c>
      <c r="I984" s="5">
        <v>0.25</v>
      </c>
      <c r="J984" s="6">
        <v>0.2982456140350877</v>
      </c>
      <c r="K984" s="6">
        <v>0.97941176470588232</v>
      </c>
      <c r="L984" s="6">
        <v>0.66299559471365632</v>
      </c>
      <c r="M984" s="4" t="s">
        <v>139</v>
      </c>
      <c r="N984" s="4">
        <v>0.1327144611414981</v>
      </c>
      <c r="O984" s="4">
        <v>0</v>
      </c>
    </row>
    <row r="985" spans="1:15" x14ac:dyDescent="0.3">
      <c r="A985" s="4">
        <v>34</v>
      </c>
      <c r="B985" s="4">
        <v>34000</v>
      </c>
      <c r="C985" s="4" t="s">
        <v>163</v>
      </c>
      <c r="D985" s="4" t="s">
        <v>162</v>
      </c>
      <c r="E985" s="4" t="s">
        <v>17</v>
      </c>
      <c r="F985" s="4" t="s">
        <v>18</v>
      </c>
      <c r="G985" s="5">
        <v>0.9</v>
      </c>
      <c r="H985" s="5">
        <v>0.8</v>
      </c>
      <c r="I985" s="5">
        <v>0.25</v>
      </c>
      <c r="J985" s="6">
        <v>0.2982456140350877</v>
      </c>
      <c r="K985" s="6">
        <v>0.97941176470588232</v>
      </c>
      <c r="L985" s="6">
        <v>0.66952789699570814</v>
      </c>
      <c r="M985" s="4" t="s">
        <v>100</v>
      </c>
      <c r="N985" s="4">
        <v>0.1313439977458484</v>
      </c>
      <c r="O985" s="4">
        <v>0</v>
      </c>
    </row>
    <row r="986" spans="1:15" x14ac:dyDescent="0.3">
      <c r="A986" s="4">
        <v>35</v>
      </c>
      <c r="B986" s="4">
        <v>35000</v>
      </c>
      <c r="C986" s="4" t="s">
        <v>163</v>
      </c>
      <c r="D986" s="4" t="s">
        <v>162</v>
      </c>
      <c r="E986" s="4" t="s">
        <v>17</v>
      </c>
      <c r="F986" s="4" t="s">
        <v>18</v>
      </c>
      <c r="G986" s="5">
        <v>0.9</v>
      </c>
      <c r="H986" s="5">
        <v>0.8</v>
      </c>
      <c r="I986" s="5">
        <v>0.25</v>
      </c>
      <c r="J986" s="6">
        <v>0.2807017543859649</v>
      </c>
      <c r="K986" s="6">
        <v>0.979375</v>
      </c>
      <c r="L986" s="6">
        <v>0.34955752212389379</v>
      </c>
      <c r="M986" s="4" t="s">
        <v>94</v>
      </c>
      <c r="N986" s="4">
        <v>0.13467890658896431</v>
      </c>
      <c r="O986" s="4">
        <v>0</v>
      </c>
    </row>
    <row r="987" spans="1:15" x14ac:dyDescent="0.3">
      <c r="A987" s="4">
        <v>36</v>
      </c>
      <c r="B987" s="4">
        <v>36000</v>
      </c>
      <c r="C987" s="4" t="s">
        <v>163</v>
      </c>
      <c r="D987" s="4" t="s">
        <v>162</v>
      </c>
      <c r="E987" s="4" t="s">
        <v>17</v>
      </c>
      <c r="F987" s="4" t="s">
        <v>18</v>
      </c>
      <c r="G987" s="5">
        <v>0.9</v>
      </c>
      <c r="H987" s="5">
        <v>0.8</v>
      </c>
      <c r="I987" s="5">
        <v>0.25</v>
      </c>
      <c r="J987" s="6">
        <v>0.2807017543859649</v>
      </c>
      <c r="K987" s="6">
        <v>0.9787499999999999</v>
      </c>
      <c r="L987" s="6">
        <v>0.34955752212389379</v>
      </c>
      <c r="M987" s="4" t="s">
        <v>54</v>
      </c>
      <c r="N987" s="4">
        <v>0.13793508726275511</v>
      </c>
      <c r="O987" s="4">
        <v>0</v>
      </c>
    </row>
    <row r="988" spans="1:15" x14ac:dyDescent="0.3">
      <c r="A988" s="4">
        <v>37</v>
      </c>
      <c r="B988" s="4">
        <v>37000</v>
      </c>
      <c r="C988" s="4" t="s">
        <v>163</v>
      </c>
      <c r="D988" s="4" t="s">
        <v>162</v>
      </c>
      <c r="E988" s="4" t="s">
        <v>17</v>
      </c>
      <c r="F988" s="4" t="s">
        <v>18</v>
      </c>
      <c r="G988" s="5">
        <v>0.9</v>
      </c>
      <c r="H988" s="5">
        <v>0.8</v>
      </c>
      <c r="I988" s="5">
        <v>0.25</v>
      </c>
      <c r="J988" s="6">
        <v>0.2807017543859649</v>
      </c>
      <c r="K988" s="6">
        <v>0.97812500000000002</v>
      </c>
      <c r="L988" s="6">
        <v>0.35682819383259912</v>
      </c>
      <c r="M988" s="4" t="s">
        <v>34</v>
      </c>
      <c r="N988" s="4">
        <v>0.14311757416519361</v>
      </c>
      <c r="O988" s="4">
        <v>0</v>
      </c>
    </row>
    <row r="989" spans="1:15" x14ac:dyDescent="0.3">
      <c r="A989" s="4">
        <v>38</v>
      </c>
      <c r="B989" s="4">
        <v>38000</v>
      </c>
      <c r="C989" s="4" t="s">
        <v>163</v>
      </c>
      <c r="D989" s="4" t="s">
        <v>162</v>
      </c>
      <c r="E989" s="4" t="s">
        <v>17</v>
      </c>
      <c r="F989" s="4" t="s">
        <v>18</v>
      </c>
      <c r="G989" s="5">
        <v>0.9</v>
      </c>
      <c r="H989" s="5">
        <v>0.8</v>
      </c>
      <c r="I989" s="5">
        <v>0.25</v>
      </c>
      <c r="J989" s="6">
        <v>0.2857142857142857</v>
      </c>
      <c r="K989" s="6">
        <v>0.98562500000000008</v>
      </c>
      <c r="L989" s="6">
        <v>0.68398268398268391</v>
      </c>
      <c r="M989" s="4" t="s">
        <v>80</v>
      </c>
      <c r="N989" s="4">
        <v>0.14984152028656941</v>
      </c>
      <c r="O989" s="4">
        <v>0</v>
      </c>
    </row>
    <row r="990" spans="1:15" x14ac:dyDescent="0.3">
      <c r="A990" s="4">
        <v>39</v>
      </c>
      <c r="B990" s="4">
        <v>39000</v>
      </c>
      <c r="C990" s="4" t="s">
        <v>163</v>
      </c>
      <c r="D990" s="4" t="s">
        <v>162</v>
      </c>
      <c r="E990" s="4" t="s">
        <v>17</v>
      </c>
      <c r="F990" s="4" t="s">
        <v>18</v>
      </c>
      <c r="G990" s="5">
        <v>0.9</v>
      </c>
      <c r="H990" s="5">
        <v>0.8</v>
      </c>
      <c r="I990" s="5">
        <v>0.25</v>
      </c>
      <c r="J990" s="6">
        <v>0.2857142857142857</v>
      </c>
      <c r="K990" s="6">
        <v>0.98062500000000008</v>
      </c>
      <c r="L990" s="6">
        <v>0.37446808510638302</v>
      </c>
      <c r="M990" s="4" t="s">
        <v>34</v>
      </c>
      <c r="N990" s="4">
        <v>0.14252493129254451</v>
      </c>
      <c r="O990" s="4">
        <v>0</v>
      </c>
    </row>
    <row r="991" spans="1:15" x14ac:dyDescent="0.3">
      <c r="A991" s="4">
        <v>40</v>
      </c>
      <c r="B991" s="4">
        <v>40000</v>
      </c>
      <c r="C991" s="4" t="s">
        <v>163</v>
      </c>
      <c r="D991" s="4" t="s">
        <v>162</v>
      </c>
      <c r="E991" s="4" t="s">
        <v>17</v>
      </c>
      <c r="F991" s="4" t="s">
        <v>18</v>
      </c>
      <c r="G991" s="5">
        <v>0.9</v>
      </c>
      <c r="H991" s="5">
        <v>0.60000000000000009</v>
      </c>
      <c r="I991" s="5">
        <v>0.05</v>
      </c>
      <c r="J991" s="6">
        <v>0.36842105263157893</v>
      </c>
      <c r="K991" s="6">
        <v>0.92952380952380931</v>
      </c>
      <c r="L991" s="6">
        <v>0.79714300096359902</v>
      </c>
      <c r="M991" s="4" t="s">
        <v>96</v>
      </c>
      <c r="N991" s="4">
        <v>0.1504594106374276</v>
      </c>
      <c r="O991" s="4">
        <v>1</v>
      </c>
    </row>
    <row r="992" spans="1:15" x14ac:dyDescent="0.3">
      <c r="A992" s="4">
        <v>41</v>
      </c>
      <c r="B992" s="4">
        <v>41000</v>
      </c>
      <c r="C992" s="4" t="s">
        <v>163</v>
      </c>
      <c r="D992" s="4" t="s">
        <v>162</v>
      </c>
      <c r="E992" s="4" t="s">
        <v>17</v>
      </c>
      <c r="F992" s="4" t="s">
        <v>18</v>
      </c>
      <c r="G992" s="5">
        <v>0.9</v>
      </c>
      <c r="H992" s="5">
        <v>0.60000000000000009</v>
      </c>
      <c r="I992" s="5">
        <v>0.05</v>
      </c>
      <c r="J992" s="6">
        <v>0.36842105263157893</v>
      </c>
      <c r="K992" s="6">
        <v>0.93095238095238086</v>
      </c>
      <c r="L992" s="6">
        <v>0.79582979458613301</v>
      </c>
      <c r="M992" s="4" t="s">
        <v>171</v>
      </c>
      <c r="N992" s="4">
        <v>2.073230731598107E-2</v>
      </c>
      <c r="O992" s="4">
        <v>0</v>
      </c>
    </row>
    <row r="993" spans="1:15" x14ac:dyDescent="0.3">
      <c r="A993" s="4">
        <v>42</v>
      </c>
      <c r="B993" s="4">
        <v>42000</v>
      </c>
      <c r="C993" s="4" t="s">
        <v>163</v>
      </c>
      <c r="D993" s="4" t="s">
        <v>162</v>
      </c>
      <c r="E993" s="4" t="s">
        <v>17</v>
      </c>
      <c r="F993" s="4" t="s">
        <v>18</v>
      </c>
      <c r="G993" s="5">
        <v>0.9</v>
      </c>
      <c r="H993" s="5">
        <v>0.60000000000000009</v>
      </c>
      <c r="I993" s="5">
        <v>0.05</v>
      </c>
      <c r="J993" s="6">
        <v>0.36842105263157893</v>
      </c>
      <c r="K993" s="6">
        <v>0.93095238095238098</v>
      </c>
      <c r="L993" s="6">
        <v>0.79456953071083503</v>
      </c>
      <c r="M993" s="4" t="s">
        <v>172</v>
      </c>
      <c r="N993" s="4">
        <v>2.4677556845728161E-2</v>
      </c>
      <c r="O993" s="4">
        <v>0</v>
      </c>
    </row>
    <row r="994" spans="1:15" x14ac:dyDescent="0.3">
      <c r="A994" s="4">
        <v>43</v>
      </c>
      <c r="B994" s="4">
        <v>43000</v>
      </c>
      <c r="C994" s="4" t="s">
        <v>163</v>
      </c>
      <c r="D994" s="4" t="s">
        <v>162</v>
      </c>
      <c r="E994" s="4" t="s">
        <v>17</v>
      </c>
      <c r="F994" s="4" t="s">
        <v>18</v>
      </c>
      <c r="G994" s="5">
        <v>0.9</v>
      </c>
      <c r="H994" s="5">
        <v>0.60000000000000009</v>
      </c>
      <c r="I994" s="5">
        <v>0.05</v>
      </c>
      <c r="J994" s="6">
        <v>0.40350877192982448</v>
      </c>
      <c r="K994" s="6">
        <v>0.88913043478260856</v>
      </c>
      <c r="L994" s="6">
        <v>0.77230055072059822</v>
      </c>
      <c r="M994" s="4" t="s">
        <v>173</v>
      </c>
      <c r="N994" s="4">
        <v>2.7478489874993382E-2</v>
      </c>
      <c r="O994" s="4">
        <v>0</v>
      </c>
    </row>
    <row r="995" spans="1:15" x14ac:dyDescent="0.3">
      <c r="A995" s="4">
        <v>44</v>
      </c>
      <c r="B995" s="4">
        <v>44000</v>
      </c>
      <c r="C995" s="4" t="s">
        <v>163</v>
      </c>
      <c r="D995" s="4" t="s">
        <v>162</v>
      </c>
      <c r="E995" s="4" t="s">
        <v>17</v>
      </c>
      <c r="F995" s="4" t="s">
        <v>18</v>
      </c>
      <c r="G995" s="5">
        <v>0.9</v>
      </c>
      <c r="H995" s="5">
        <v>0.60000000000000009</v>
      </c>
      <c r="I995" s="5">
        <v>0.05</v>
      </c>
      <c r="J995" s="6">
        <v>0.39655172413793099</v>
      </c>
      <c r="K995" s="6">
        <v>0.88913043478260856</v>
      </c>
      <c r="L995" s="6">
        <v>0.77021054075602258</v>
      </c>
      <c r="M995" s="4" t="s">
        <v>174</v>
      </c>
      <c r="N995" s="4">
        <v>4.0178189410054722E-2</v>
      </c>
      <c r="O995" s="4">
        <v>0</v>
      </c>
    </row>
    <row r="996" spans="1:15" x14ac:dyDescent="0.3">
      <c r="A996" s="4">
        <v>45</v>
      </c>
      <c r="B996" s="4">
        <v>45000</v>
      </c>
      <c r="C996" s="4" t="s">
        <v>163</v>
      </c>
      <c r="D996" s="4" t="s">
        <v>162</v>
      </c>
      <c r="E996" s="4" t="s">
        <v>17</v>
      </c>
      <c r="F996" s="4" t="s">
        <v>18</v>
      </c>
      <c r="G996" s="5">
        <v>0.9</v>
      </c>
      <c r="H996" s="5">
        <v>0.60000000000000009</v>
      </c>
      <c r="I996" s="5">
        <v>0.05</v>
      </c>
      <c r="J996" s="6">
        <v>0.41935483870967738</v>
      </c>
      <c r="K996" s="6">
        <v>0.88884615384615373</v>
      </c>
      <c r="L996" s="6">
        <v>0.83178480377682684</v>
      </c>
      <c r="M996" s="4" t="s">
        <v>164</v>
      </c>
      <c r="N996" s="4">
        <v>5.2665393625959983E-2</v>
      </c>
      <c r="O996" s="4">
        <v>0</v>
      </c>
    </row>
    <row r="997" spans="1:15" x14ac:dyDescent="0.3">
      <c r="A997" s="4">
        <v>46</v>
      </c>
      <c r="B997" s="4">
        <v>46000</v>
      </c>
      <c r="C997" s="4" t="s">
        <v>163</v>
      </c>
      <c r="D997" s="4" t="s">
        <v>162</v>
      </c>
      <c r="E997" s="4" t="s">
        <v>17</v>
      </c>
      <c r="F997" s="4" t="s">
        <v>18</v>
      </c>
      <c r="G997" s="5">
        <v>0.9</v>
      </c>
      <c r="H997" s="5">
        <v>0.60000000000000009</v>
      </c>
      <c r="I997" s="5">
        <v>0.05</v>
      </c>
      <c r="J997" s="6">
        <v>0.44444444444444442</v>
      </c>
      <c r="K997" s="6">
        <v>0.8921428571428569</v>
      </c>
      <c r="L997" s="6">
        <v>0.86673000714074044</v>
      </c>
      <c r="M997" s="4" t="s">
        <v>175</v>
      </c>
      <c r="N997" s="4">
        <v>5.8345146083284137E-2</v>
      </c>
      <c r="O997" s="4">
        <v>0</v>
      </c>
    </row>
    <row r="998" spans="1:15" x14ac:dyDescent="0.3">
      <c r="A998" s="4">
        <v>47</v>
      </c>
      <c r="B998" s="4">
        <v>47000</v>
      </c>
      <c r="C998" s="4" t="s">
        <v>163</v>
      </c>
      <c r="D998" s="4" t="s">
        <v>162</v>
      </c>
      <c r="E998" s="4" t="s">
        <v>17</v>
      </c>
      <c r="F998" s="4" t="s">
        <v>18</v>
      </c>
      <c r="G998" s="5">
        <v>0.9</v>
      </c>
      <c r="H998" s="5">
        <v>0.60000000000000009</v>
      </c>
      <c r="I998" s="5">
        <v>0.05</v>
      </c>
      <c r="J998" s="6">
        <v>0.41538461538461541</v>
      </c>
      <c r="K998" s="6">
        <v>0.89222222222222192</v>
      </c>
      <c r="L998" s="6">
        <v>0.84778422562437261</v>
      </c>
      <c r="M998" s="4" t="s">
        <v>67</v>
      </c>
      <c r="N998" s="4">
        <v>7.2115233419588656E-2</v>
      </c>
      <c r="O998" s="4">
        <v>0</v>
      </c>
    </row>
    <row r="999" spans="1:15" x14ac:dyDescent="0.3">
      <c r="A999" s="4">
        <v>48</v>
      </c>
      <c r="B999" s="4">
        <v>48000</v>
      </c>
      <c r="C999" s="4" t="s">
        <v>163</v>
      </c>
      <c r="D999" s="4" t="s">
        <v>162</v>
      </c>
      <c r="E999" s="4" t="s">
        <v>17</v>
      </c>
      <c r="F999" s="4" t="s">
        <v>18</v>
      </c>
      <c r="G999" s="5">
        <v>0.9</v>
      </c>
      <c r="H999" s="5">
        <v>0.60000000000000009</v>
      </c>
      <c r="I999" s="5">
        <v>0.05</v>
      </c>
      <c r="J999" s="6">
        <v>0.41538461538461541</v>
      </c>
      <c r="K999" s="6">
        <v>0.89222222222222192</v>
      </c>
      <c r="L999" s="6">
        <v>0.84897747908164778</v>
      </c>
      <c r="M999" s="4" t="s">
        <v>24</v>
      </c>
      <c r="N999" s="4">
        <v>7.2833770730686739E-2</v>
      </c>
      <c r="O999" s="4">
        <v>0</v>
      </c>
    </row>
    <row r="1000" spans="1:15" x14ac:dyDescent="0.3">
      <c r="A1000" s="4">
        <v>49</v>
      </c>
      <c r="B1000" s="4">
        <v>49000</v>
      </c>
      <c r="C1000" s="4" t="s">
        <v>163</v>
      </c>
      <c r="D1000" s="4" t="s">
        <v>162</v>
      </c>
      <c r="E1000" s="4" t="s">
        <v>17</v>
      </c>
      <c r="F1000" s="4" t="s">
        <v>18</v>
      </c>
      <c r="G1000" s="5">
        <v>0.9</v>
      </c>
      <c r="H1000" s="5">
        <v>0.60000000000000009</v>
      </c>
      <c r="I1000" s="5">
        <v>0.05</v>
      </c>
      <c r="J1000" s="6">
        <v>0.4</v>
      </c>
      <c r="K1000" s="6">
        <v>0.92653846153846131</v>
      </c>
      <c r="L1000" s="6">
        <v>0.87699240581254068</v>
      </c>
      <c r="M1000" s="4" t="s">
        <v>24</v>
      </c>
      <c r="N1000" s="4">
        <v>7.3233892799309114E-2</v>
      </c>
      <c r="O1000" s="4">
        <v>0</v>
      </c>
    </row>
    <row r="1001" spans="1:15" x14ac:dyDescent="0.3">
      <c r="A1001" s="4">
        <v>50</v>
      </c>
      <c r="B1001" s="4">
        <v>50000</v>
      </c>
      <c r="C1001" s="4" t="s">
        <v>163</v>
      </c>
      <c r="D1001" s="4" t="s">
        <v>162</v>
      </c>
      <c r="E1001" s="4" t="s">
        <v>17</v>
      </c>
      <c r="F1001" s="4" t="s">
        <v>18</v>
      </c>
      <c r="G1001" s="5">
        <v>0.9</v>
      </c>
      <c r="H1001" s="5">
        <v>0.60000000000000009</v>
      </c>
      <c r="I1001" s="5">
        <v>0.05</v>
      </c>
      <c r="J1001" s="6">
        <v>0.4</v>
      </c>
      <c r="K1001" s="6">
        <v>0.92615384615384577</v>
      </c>
      <c r="L1001" s="6">
        <v>0.87821514264620582</v>
      </c>
      <c r="M1001" s="4" t="s">
        <v>176</v>
      </c>
      <c r="N1001" s="4">
        <v>7.381217389934544E-2</v>
      </c>
      <c r="O1001" s="4">
        <v>0</v>
      </c>
    </row>
    <row r="1002" spans="1:15" x14ac:dyDescent="0.3">
      <c r="A1002" s="4">
        <v>51</v>
      </c>
      <c r="B1002" s="4">
        <v>51000</v>
      </c>
      <c r="C1002" s="4" t="s">
        <v>163</v>
      </c>
      <c r="D1002" s="4" t="s">
        <v>162</v>
      </c>
      <c r="E1002" s="4" t="s">
        <v>17</v>
      </c>
      <c r="F1002" s="4" t="s">
        <v>18</v>
      </c>
      <c r="G1002" s="5">
        <v>0.9</v>
      </c>
      <c r="H1002" s="5">
        <v>0.60000000000000009</v>
      </c>
      <c r="I1002" s="5">
        <v>0.05</v>
      </c>
      <c r="J1002" s="6">
        <v>0.38461538461538458</v>
      </c>
      <c r="K1002" s="6">
        <v>0.8887999999999997</v>
      </c>
      <c r="L1002" s="6">
        <v>0.7902651338615444</v>
      </c>
      <c r="M1002" s="4" t="s">
        <v>67</v>
      </c>
      <c r="N1002" s="4">
        <v>7.2324588355994132E-2</v>
      </c>
      <c r="O1002" s="4">
        <v>0</v>
      </c>
    </row>
    <row r="1003" spans="1:15" x14ac:dyDescent="0.3">
      <c r="A1003" s="4">
        <v>52</v>
      </c>
      <c r="B1003" s="4">
        <v>52000</v>
      </c>
      <c r="C1003" s="4" t="s">
        <v>163</v>
      </c>
      <c r="D1003" s="4" t="s">
        <v>162</v>
      </c>
      <c r="E1003" s="4" t="s">
        <v>17</v>
      </c>
      <c r="F1003" s="4" t="s">
        <v>18</v>
      </c>
      <c r="G1003" s="5">
        <v>0.9</v>
      </c>
      <c r="H1003" s="5">
        <v>0.60000000000000009</v>
      </c>
      <c r="I1003" s="5">
        <v>0.05</v>
      </c>
      <c r="J1003" s="6">
        <v>0.35384615384615392</v>
      </c>
      <c r="K1003" s="6">
        <v>0.88695652173913009</v>
      </c>
      <c r="L1003" s="6">
        <v>0.76610851629777943</v>
      </c>
      <c r="M1003" s="4" t="s">
        <v>128</v>
      </c>
      <c r="N1003" s="4">
        <v>7.1249425808108183E-2</v>
      </c>
      <c r="O1003" s="4">
        <v>0</v>
      </c>
    </row>
    <row r="1004" spans="1:15" x14ac:dyDescent="0.3">
      <c r="A1004" s="4">
        <v>53</v>
      </c>
      <c r="B1004" s="4">
        <v>53000</v>
      </c>
      <c r="C1004" s="4" t="s">
        <v>163</v>
      </c>
      <c r="D1004" s="4" t="s">
        <v>162</v>
      </c>
      <c r="E1004" s="4" t="s">
        <v>17</v>
      </c>
      <c r="F1004" s="4" t="s">
        <v>18</v>
      </c>
      <c r="G1004" s="5">
        <v>0.9</v>
      </c>
      <c r="H1004" s="5">
        <v>0.60000000000000009</v>
      </c>
      <c r="I1004" s="5">
        <v>0.05</v>
      </c>
      <c r="J1004" s="6">
        <v>0.35384615384615392</v>
      </c>
      <c r="K1004" s="6">
        <v>0.88739130434782576</v>
      </c>
      <c r="L1004" s="6">
        <v>0.765687166675596</v>
      </c>
      <c r="M1004" s="4" t="s">
        <v>152</v>
      </c>
      <c r="N1004" s="4">
        <v>7.5482436257884561E-2</v>
      </c>
      <c r="O1004" s="4">
        <v>0</v>
      </c>
    </row>
    <row r="1005" spans="1:15" x14ac:dyDescent="0.3">
      <c r="A1005" s="4">
        <v>54</v>
      </c>
      <c r="B1005" s="4">
        <v>54000</v>
      </c>
      <c r="C1005" s="4" t="s">
        <v>163</v>
      </c>
      <c r="D1005" s="4" t="s">
        <v>162</v>
      </c>
      <c r="E1005" s="4" t="s">
        <v>17</v>
      </c>
      <c r="F1005" s="4" t="s">
        <v>18</v>
      </c>
      <c r="G1005" s="5">
        <v>0.9</v>
      </c>
      <c r="H1005" s="5">
        <v>0.60000000000000009</v>
      </c>
      <c r="I1005" s="5">
        <v>0.05</v>
      </c>
      <c r="J1005" s="6">
        <v>0.35384615384615392</v>
      </c>
      <c r="K1005" s="6">
        <v>0.88782608695652132</v>
      </c>
      <c r="L1005" s="6">
        <v>0.76571370595829391</v>
      </c>
      <c r="M1005" s="4" t="s">
        <v>140</v>
      </c>
      <c r="N1005" s="4">
        <v>7.8129358858470915E-2</v>
      </c>
      <c r="O1005" s="4">
        <v>0</v>
      </c>
    </row>
    <row r="1006" spans="1:15" x14ac:dyDescent="0.3">
      <c r="A1006" s="4">
        <v>55</v>
      </c>
      <c r="B1006" s="4">
        <v>55000</v>
      </c>
      <c r="C1006" s="4" t="s">
        <v>163</v>
      </c>
      <c r="D1006" s="4" t="s">
        <v>162</v>
      </c>
      <c r="E1006" s="4" t="s">
        <v>17</v>
      </c>
      <c r="F1006" s="4" t="s">
        <v>18</v>
      </c>
      <c r="G1006" s="5">
        <v>0.9</v>
      </c>
      <c r="H1006" s="5">
        <v>0.60000000000000009</v>
      </c>
      <c r="I1006" s="5">
        <v>0.05</v>
      </c>
      <c r="J1006" s="6">
        <v>0.38461538461538458</v>
      </c>
      <c r="K1006" s="6">
        <v>0.88959999999999961</v>
      </c>
      <c r="L1006" s="6">
        <v>0.76689650927304387</v>
      </c>
      <c r="M1006" s="4" t="s">
        <v>101</v>
      </c>
      <c r="N1006" s="4">
        <v>7.748480871382174E-2</v>
      </c>
      <c r="O1006" s="4">
        <v>0</v>
      </c>
    </row>
    <row r="1007" spans="1:15" x14ac:dyDescent="0.3">
      <c r="A1007" s="4">
        <v>56</v>
      </c>
      <c r="B1007" s="4">
        <v>56000</v>
      </c>
      <c r="C1007" s="4" t="s">
        <v>163</v>
      </c>
      <c r="D1007" s="4" t="s">
        <v>162</v>
      </c>
      <c r="E1007" s="4" t="s">
        <v>17</v>
      </c>
      <c r="F1007" s="4" t="s">
        <v>18</v>
      </c>
      <c r="G1007" s="5">
        <v>0.9</v>
      </c>
      <c r="H1007" s="5">
        <v>0.60000000000000009</v>
      </c>
      <c r="I1007" s="5">
        <v>0.05</v>
      </c>
      <c r="J1007" s="6">
        <v>0.3968253968253968</v>
      </c>
      <c r="K1007" s="6">
        <v>0.8907999999999997</v>
      </c>
      <c r="L1007" s="6">
        <v>0.76645892803915072</v>
      </c>
      <c r="M1007" s="4" t="s">
        <v>97</v>
      </c>
      <c r="N1007" s="4">
        <v>8.6256822304721079E-2</v>
      </c>
      <c r="O1007" s="4">
        <v>0</v>
      </c>
    </row>
    <row r="1008" spans="1:15" x14ac:dyDescent="0.3">
      <c r="A1008" s="4">
        <v>57</v>
      </c>
      <c r="B1008" s="4">
        <v>57000</v>
      </c>
      <c r="C1008" s="4" t="s">
        <v>163</v>
      </c>
      <c r="D1008" s="4" t="s">
        <v>162</v>
      </c>
      <c r="E1008" s="4" t="s">
        <v>17</v>
      </c>
      <c r="F1008" s="4" t="s">
        <v>18</v>
      </c>
      <c r="G1008" s="5">
        <v>0.9</v>
      </c>
      <c r="H1008" s="5">
        <v>0.60000000000000009</v>
      </c>
      <c r="I1008" s="5">
        <v>0.05</v>
      </c>
      <c r="J1008" s="6">
        <v>0.3968253968253968</v>
      </c>
      <c r="K1008" s="6">
        <v>0.8907999999999997</v>
      </c>
      <c r="L1008" s="6">
        <v>0.76826536718316796</v>
      </c>
      <c r="M1008" s="4" t="s">
        <v>52</v>
      </c>
      <c r="N1008" s="4">
        <v>8.8264428637118517E-2</v>
      </c>
      <c r="O1008" s="4">
        <v>0</v>
      </c>
    </row>
    <row r="1009" spans="1:15" x14ac:dyDescent="0.3">
      <c r="A1009" s="4">
        <v>58</v>
      </c>
      <c r="B1009" s="4">
        <v>58000</v>
      </c>
      <c r="C1009" s="4" t="s">
        <v>163</v>
      </c>
      <c r="D1009" s="4" t="s">
        <v>162</v>
      </c>
      <c r="E1009" s="4" t="s">
        <v>17</v>
      </c>
      <c r="F1009" s="4" t="s">
        <v>18</v>
      </c>
      <c r="G1009" s="5">
        <v>0.9</v>
      </c>
      <c r="H1009" s="5">
        <v>0.60000000000000009</v>
      </c>
      <c r="I1009" s="5">
        <v>0.05</v>
      </c>
      <c r="J1009" s="6">
        <v>0.390625</v>
      </c>
      <c r="K1009" s="6">
        <v>0.89079999999999959</v>
      </c>
      <c r="L1009" s="6">
        <v>0.76595373409914069</v>
      </c>
      <c r="M1009" s="4" t="s">
        <v>59</v>
      </c>
      <c r="N1009" s="4">
        <v>9.0608236949357046E-2</v>
      </c>
      <c r="O1009" s="4">
        <v>0</v>
      </c>
    </row>
    <row r="1010" spans="1:15" x14ac:dyDescent="0.3">
      <c r="A1010" s="4">
        <v>59</v>
      </c>
      <c r="B1010" s="4">
        <v>59000</v>
      </c>
      <c r="C1010" s="4" t="s">
        <v>163</v>
      </c>
      <c r="D1010" s="4" t="s">
        <v>162</v>
      </c>
      <c r="E1010" s="4" t="s">
        <v>17</v>
      </c>
      <c r="F1010" s="4" t="s">
        <v>18</v>
      </c>
      <c r="G1010" s="5">
        <v>0.9</v>
      </c>
      <c r="H1010" s="5">
        <v>0.60000000000000009</v>
      </c>
      <c r="I1010" s="5">
        <v>0.05</v>
      </c>
      <c r="J1010" s="6">
        <v>0.390625</v>
      </c>
      <c r="K1010" s="6">
        <v>0.89159999999999973</v>
      </c>
      <c r="L1010" s="6">
        <v>0.76734392571538335</v>
      </c>
      <c r="M1010" s="4" t="s">
        <v>22</v>
      </c>
      <c r="N1010" s="4">
        <v>9.3637029560730153E-2</v>
      </c>
      <c r="O1010" s="4">
        <v>0</v>
      </c>
    </row>
    <row r="1011" spans="1:15" x14ac:dyDescent="0.3">
      <c r="A1011" s="4">
        <v>60</v>
      </c>
      <c r="B1011" s="4">
        <v>60000</v>
      </c>
      <c r="C1011" s="4" t="s">
        <v>163</v>
      </c>
      <c r="D1011" s="4" t="s">
        <v>162</v>
      </c>
      <c r="E1011" s="4" t="s">
        <v>17</v>
      </c>
      <c r="F1011" s="4" t="s">
        <v>18</v>
      </c>
      <c r="G1011" s="5">
        <v>0.9</v>
      </c>
      <c r="H1011" s="5">
        <v>0.60000000000000009</v>
      </c>
      <c r="I1011" s="5">
        <v>0.05</v>
      </c>
      <c r="J1011" s="6">
        <v>0.40625</v>
      </c>
      <c r="K1011" s="6">
        <v>0.89230769230769214</v>
      </c>
      <c r="L1011" s="6">
        <v>0.79802799681950753</v>
      </c>
      <c r="M1011" s="4" t="s">
        <v>59</v>
      </c>
      <c r="N1011" s="4">
        <v>9.1169684700867754E-2</v>
      </c>
      <c r="O1011" s="4">
        <v>0</v>
      </c>
    </row>
    <row r="1012" spans="1:15" x14ac:dyDescent="0.3">
      <c r="A1012" s="4">
        <v>61</v>
      </c>
      <c r="B1012" s="4">
        <v>61000</v>
      </c>
      <c r="C1012" s="4" t="s">
        <v>163</v>
      </c>
      <c r="D1012" s="4" t="s">
        <v>162</v>
      </c>
      <c r="E1012" s="4" t="s">
        <v>17</v>
      </c>
      <c r="F1012" s="4" t="s">
        <v>18</v>
      </c>
      <c r="G1012" s="5">
        <v>0.9</v>
      </c>
      <c r="H1012" s="5">
        <v>0.60000000000000009</v>
      </c>
      <c r="I1012" s="5">
        <v>0.05</v>
      </c>
      <c r="J1012" s="6">
        <v>0.421875</v>
      </c>
      <c r="K1012" s="6">
        <v>0.8914814814814811</v>
      </c>
      <c r="L1012" s="6">
        <v>0.76494394332593096</v>
      </c>
      <c r="M1012" s="4" t="s">
        <v>59</v>
      </c>
      <c r="N1012" s="4">
        <v>9.1141126764502589E-2</v>
      </c>
      <c r="O1012" s="4">
        <v>0</v>
      </c>
    </row>
    <row r="1013" spans="1:15" x14ac:dyDescent="0.3">
      <c r="A1013" s="4">
        <v>62</v>
      </c>
      <c r="B1013" s="4">
        <v>62000</v>
      </c>
      <c r="C1013" s="4" t="s">
        <v>163</v>
      </c>
      <c r="D1013" s="4" t="s">
        <v>162</v>
      </c>
      <c r="E1013" s="4" t="s">
        <v>17</v>
      </c>
      <c r="F1013" s="4" t="s">
        <v>18</v>
      </c>
      <c r="G1013" s="5">
        <v>0.9</v>
      </c>
      <c r="H1013" s="5">
        <v>0.60000000000000009</v>
      </c>
      <c r="I1013" s="5">
        <v>0.05</v>
      </c>
      <c r="J1013" s="6">
        <v>0.3968253968253968</v>
      </c>
      <c r="K1013" s="6">
        <v>0.89039999999999975</v>
      </c>
      <c r="L1013" s="6">
        <v>0.76429607399003685</v>
      </c>
      <c r="M1013" s="4" t="s">
        <v>59</v>
      </c>
      <c r="N1013" s="4">
        <v>9.0696995720942905E-2</v>
      </c>
      <c r="O1013" s="4">
        <v>0</v>
      </c>
    </row>
    <row r="1014" spans="1:15" x14ac:dyDescent="0.3">
      <c r="A1014" s="4">
        <v>63</v>
      </c>
      <c r="B1014" s="4">
        <v>63000</v>
      </c>
      <c r="C1014" s="4" t="s">
        <v>163</v>
      </c>
      <c r="D1014" s="4" t="s">
        <v>162</v>
      </c>
      <c r="E1014" s="4" t="s">
        <v>17</v>
      </c>
      <c r="F1014" s="4" t="s">
        <v>18</v>
      </c>
      <c r="G1014" s="5">
        <v>0.9</v>
      </c>
      <c r="H1014" s="5">
        <v>0.60000000000000009</v>
      </c>
      <c r="I1014" s="5">
        <v>0.05</v>
      </c>
      <c r="J1014" s="6">
        <v>0.38095238095238088</v>
      </c>
      <c r="K1014" s="6">
        <v>0.88958333333333306</v>
      </c>
      <c r="L1014" s="6">
        <v>0.76367172573752051</v>
      </c>
      <c r="M1014" s="4" t="s">
        <v>22</v>
      </c>
      <c r="N1014" s="4">
        <v>9.3898509422412207E-2</v>
      </c>
      <c r="O1014" s="4">
        <v>0</v>
      </c>
    </row>
    <row r="1015" spans="1:15" x14ac:dyDescent="0.3">
      <c r="A1015" s="4">
        <v>64</v>
      </c>
      <c r="B1015" s="4">
        <v>64000</v>
      </c>
      <c r="C1015" s="4" t="s">
        <v>163</v>
      </c>
      <c r="D1015" s="4" t="s">
        <v>162</v>
      </c>
      <c r="E1015" s="4" t="s">
        <v>17</v>
      </c>
      <c r="F1015" s="4" t="s">
        <v>18</v>
      </c>
      <c r="G1015" s="5">
        <v>0.9</v>
      </c>
      <c r="H1015" s="5">
        <v>0.60000000000000009</v>
      </c>
      <c r="I1015" s="5">
        <v>0.05</v>
      </c>
      <c r="J1015" s="6">
        <v>0.38709677419354838</v>
      </c>
      <c r="K1015" s="6">
        <v>0.88916666666666655</v>
      </c>
      <c r="L1015" s="6">
        <v>0.76721557398762452</v>
      </c>
      <c r="M1015" s="4" t="s">
        <v>39</v>
      </c>
      <c r="N1015" s="4">
        <v>9.3145447674661486E-2</v>
      </c>
      <c r="O1015" s="4">
        <v>0</v>
      </c>
    </row>
    <row r="1016" spans="1:15" x14ac:dyDescent="0.3">
      <c r="A1016" s="4">
        <v>65</v>
      </c>
      <c r="B1016" s="4">
        <v>65000</v>
      </c>
      <c r="C1016" s="4" t="s">
        <v>163</v>
      </c>
      <c r="D1016" s="4" t="s">
        <v>162</v>
      </c>
      <c r="E1016" s="4" t="s">
        <v>17</v>
      </c>
      <c r="F1016" s="4" t="s">
        <v>18</v>
      </c>
      <c r="G1016" s="5">
        <v>0.9</v>
      </c>
      <c r="H1016" s="5">
        <v>0.60000000000000009</v>
      </c>
      <c r="I1016" s="5">
        <v>0.05</v>
      </c>
      <c r="J1016" s="6">
        <v>0.39344262295081972</v>
      </c>
      <c r="K1016" s="6">
        <v>0.88999999999999968</v>
      </c>
      <c r="L1016" s="6">
        <v>0.76772517603449875</v>
      </c>
      <c r="M1016" s="4" t="s">
        <v>154</v>
      </c>
      <c r="N1016" s="4">
        <v>9.805464851572071E-2</v>
      </c>
      <c r="O1016" s="4">
        <v>0</v>
      </c>
    </row>
    <row r="1017" spans="1:15" x14ac:dyDescent="0.3">
      <c r="A1017" s="4">
        <v>66</v>
      </c>
      <c r="B1017" s="4">
        <v>66000</v>
      </c>
      <c r="C1017" s="4" t="s">
        <v>163</v>
      </c>
      <c r="D1017" s="4" t="s">
        <v>162</v>
      </c>
      <c r="E1017" s="4" t="s">
        <v>17</v>
      </c>
      <c r="F1017" s="4" t="s">
        <v>18</v>
      </c>
      <c r="G1017" s="5">
        <v>0.9</v>
      </c>
      <c r="H1017" s="5">
        <v>0.60000000000000009</v>
      </c>
      <c r="I1017" s="5">
        <v>0.05</v>
      </c>
      <c r="J1017" s="6">
        <v>0.39344262295081972</v>
      </c>
      <c r="K1017" s="6">
        <v>0.89041666666666641</v>
      </c>
      <c r="L1017" s="6">
        <v>0.76626497960463413</v>
      </c>
      <c r="M1017" s="4" t="s">
        <v>160</v>
      </c>
      <c r="N1017" s="4">
        <v>0.1000415189796045</v>
      </c>
      <c r="O1017" s="4">
        <v>0</v>
      </c>
    </row>
    <row r="1018" spans="1:15" x14ac:dyDescent="0.3">
      <c r="A1018" s="4">
        <v>67</v>
      </c>
      <c r="B1018" s="4">
        <v>67000</v>
      </c>
      <c r="C1018" s="4" t="s">
        <v>163</v>
      </c>
      <c r="D1018" s="4" t="s">
        <v>162</v>
      </c>
      <c r="E1018" s="4" t="s">
        <v>17</v>
      </c>
      <c r="F1018" s="4" t="s">
        <v>18</v>
      </c>
      <c r="G1018" s="5">
        <v>0.9</v>
      </c>
      <c r="H1018" s="5">
        <v>0.60000000000000009</v>
      </c>
      <c r="I1018" s="5">
        <v>0.05</v>
      </c>
      <c r="J1018" s="6">
        <v>0.4098360655737705</v>
      </c>
      <c r="K1018" s="6">
        <v>0.8907999999999997</v>
      </c>
      <c r="L1018" s="6">
        <v>0.76523133266387044</v>
      </c>
      <c r="M1018" s="4" t="s">
        <v>156</v>
      </c>
      <c r="N1018" s="4">
        <v>9.8734496340869018E-2</v>
      </c>
      <c r="O1018" s="4">
        <v>0</v>
      </c>
    </row>
    <row r="1019" spans="1:15" x14ac:dyDescent="0.3">
      <c r="A1019" s="4">
        <v>68</v>
      </c>
      <c r="B1019" s="4">
        <v>68000</v>
      </c>
      <c r="C1019" s="4" t="s">
        <v>163</v>
      </c>
      <c r="D1019" s="4" t="s">
        <v>162</v>
      </c>
      <c r="E1019" s="4" t="s">
        <v>17</v>
      </c>
      <c r="F1019" s="4" t="s">
        <v>18</v>
      </c>
      <c r="G1019" s="5">
        <v>0.9</v>
      </c>
      <c r="H1019" s="5">
        <v>0.60000000000000009</v>
      </c>
      <c r="I1019" s="5">
        <v>0.05</v>
      </c>
      <c r="J1019" s="6">
        <v>0.41666666666666669</v>
      </c>
      <c r="K1019" s="6">
        <v>0.89119999999999977</v>
      </c>
      <c r="L1019" s="6">
        <v>0.76295847221351998</v>
      </c>
      <c r="M1019" s="4" t="s">
        <v>99</v>
      </c>
      <c r="N1019" s="4">
        <v>0.1029167690923139</v>
      </c>
      <c r="O1019" s="4">
        <v>0</v>
      </c>
    </row>
    <row r="1020" spans="1:15" x14ac:dyDescent="0.3">
      <c r="A1020" s="4">
        <v>69</v>
      </c>
      <c r="B1020" s="4">
        <v>69000</v>
      </c>
      <c r="C1020" s="4" t="s">
        <v>163</v>
      </c>
      <c r="D1020" s="4" t="s">
        <v>162</v>
      </c>
      <c r="E1020" s="4" t="s">
        <v>17</v>
      </c>
      <c r="F1020" s="4" t="s">
        <v>18</v>
      </c>
      <c r="G1020" s="5">
        <v>0.9</v>
      </c>
      <c r="H1020" s="5">
        <v>0.60000000000000009</v>
      </c>
      <c r="I1020" s="5">
        <v>0.05</v>
      </c>
      <c r="J1020" s="6">
        <v>0.42622950819672129</v>
      </c>
      <c r="K1020" s="6">
        <v>0.89153846153846128</v>
      </c>
      <c r="L1020" s="6">
        <v>0.76357006888735168</v>
      </c>
      <c r="M1020" s="4" t="s">
        <v>82</v>
      </c>
      <c r="N1020" s="4">
        <v>0.1021365650131873</v>
      </c>
      <c r="O1020" s="4">
        <v>0</v>
      </c>
    </row>
    <row r="1021" spans="1:15" x14ac:dyDescent="0.3">
      <c r="A1021" s="4">
        <v>70</v>
      </c>
      <c r="B1021" s="4">
        <v>70000</v>
      </c>
      <c r="C1021" s="4" t="s">
        <v>163</v>
      </c>
      <c r="D1021" s="4" t="s">
        <v>162</v>
      </c>
      <c r="E1021" s="4" t="s">
        <v>17</v>
      </c>
      <c r="F1021" s="4" t="s">
        <v>18</v>
      </c>
      <c r="G1021" s="5">
        <v>0.9</v>
      </c>
      <c r="H1021" s="5">
        <v>0.60000000000000009</v>
      </c>
      <c r="I1021" s="5">
        <v>0.05</v>
      </c>
      <c r="J1021" s="6">
        <v>0.43333333333333329</v>
      </c>
      <c r="K1021" s="6">
        <v>0.89115384615384585</v>
      </c>
      <c r="L1021" s="6">
        <v>0.76153822092990286</v>
      </c>
      <c r="M1021" s="4" t="s">
        <v>28</v>
      </c>
      <c r="N1021" s="4">
        <v>0.1010587620626523</v>
      </c>
      <c r="O1021" s="4">
        <v>0</v>
      </c>
    </row>
    <row r="1022" spans="1:15" x14ac:dyDescent="0.3">
      <c r="A1022" s="4">
        <v>71</v>
      </c>
      <c r="B1022" s="4">
        <v>71000</v>
      </c>
      <c r="C1022" s="4" t="s">
        <v>163</v>
      </c>
      <c r="D1022" s="4" t="s">
        <v>162</v>
      </c>
      <c r="E1022" s="4" t="s">
        <v>17</v>
      </c>
      <c r="F1022" s="4" t="s">
        <v>18</v>
      </c>
      <c r="G1022" s="5">
        <v>0.9</v>
      </c>
      <c r="H1022" s="5">
        <v>0.60000000000000009</v>
      </c>
      <c r="I1022" s="5">
        <v>0.05</v>
      </c>
      <c r="J1022" s="6">
        <v>0.43333333333333329</v>
      </c>
      <c r="K1022" s="6">
        <v>0.89192307692307671</v>
      </c>
      <c r="L1022" s="6">
        <v>0.76875016135304131</v>
      </c>
      <c r="M1022" s="4" t="s">
        <v>28</v>
      </c>
      <c r="N1022" s="4">
        <v>0.1012207068837407</v>
      </c>
      <c r="O1022" s="4">
        <v>0</v>
      </c>
    </row>
    <row r="1023" spans="1:15" x14ac:dyDescent="0.3">
      <c r="A1023" s="4">
        <v>72</v>
      </c>
      <c r="B1023" s="4">
        <v>72000</v>
      </c>
      <c r="C1023" s="4" t="s">
        <v>163</v>
      </c>
      <c r="D1023" s="4" t="s">
        <v>162</v>
      </c>
      <c r="E1023" s="4" t="s">
        <v>17</v>
      </c>
      <c r="F1023" s="4" t="s">
        <v>18</v>
      </c>
      <c r="G1023" s="5">
        <v>0.9</v>
      </c>
      <c r="H1023" s="5">
        <v>0.60000000000000009</v>
      </c>
      <c r="I1023" s="5">
        <v>0.05</v>
      </c>
      <c r="J1023" s="6">
        <v>0.43333333333333329</v>
      </c>
      <c r="K1023" s="6">
        <v>0.89192307692307671</v>
      </c>
      <c r="L1023" s="6">
        <v>0.76699628121124819</v>
      </c>
      <c r="M1023" s="4" t="s">
        <v>78</v>
      </c>
      <c r="N1023" s="4">
        <v>9.6075074416086564E-2</v>
      </c>
      <c r="O1023" s="4">
        <v>0</v>
      </c>
    </row>
    <row r="1024" spans="1:15" x14ac:dyDescent="0.3">
      <c r="A1024" s="4">
        <v>73</v>
      </c>
      <c r="B1024" s="4">
        <v>73000</v>
      </c>
      <c r="C1024" s="4" t="s">
        <v>163</v>
      </c>
      <c r="D1024" s="4" t="s">
        <v>162</v>
      </c>
      <c r="E1024" s="4" t="s">
        <v>17</v>
      </c>
      <c r="F1024" s="4" t="s">
        <v>18</v>
      </c>
      <c r="G1024" s="5">
        <v>0.9</v>
      </c>
      <c r="H1024" s="5">
        <v>0.60000000000000009</v>
      </c>
      <c r="I1024" s="5">
        <v>0.05</v>
      </c>
      <c r="J1024" s="6">
        <v>0.45</v>
      </c>
      <c r="K1024" s="6">
        <v>0.89407407407407391</v>
      </c>
      <c r="L1024" s="6">
        <v>0.79365217210169026</v>
      </c>
      <c r="M1024" s="4" t="s">
        <v>22</v>
      </c>
      <c r="N1024" s="4">
        <v>9.4248552870295557E-2</v>
      </c>
      <c r="O1024" s="4">
        <v>0</v>
      </c>
    </row>
    <row r="1025" spans="1:15" x14ac:dyDescent="0.3">
      <c r="A1025" s="4">
        <v>74</v>
      </c>
      <c r="B1025" s="4">
        <v>74000</v>
      </c>
      <c r="C1025" s="4" t="s">
        <v>163</v>
      </c>
      <c r="D1025" s="4" t="s">
        <v>162</v>
      </c>
      <c r="E1025" s="4" t="s">
        <v>17</v>
      </c>
      <c r="F1025" s="4" t="s">
        <v>18</v>
      </c>
      <c r="G1025" s="5">
        <v>0.9</v>
      </c>
      <c r="H1025" s="5">
        <v>0.60000000000000009</v>
      </c>
      <c r="I1025" s="5">
        <v>0.05</v>
      </c>
      <c r="J1025" s="6">
        <v>0.4576271186440678</v>
      </c>
      <c r="K1025" s="6">
        <v>0.89481481481481473</v>
      </c>
      <c r="L1025" s="6">
        <v>0.7941696466163064</v>
      </c>
      <c r="M1025" s="4" t="s">
        <v>73</v>
      </c>
      <c r="N1025" s="4">
        <v>9.2272098900126998E-2</v>
      </c>
      <c r="O1025" s="4">
        <v>0</v>
      </c>
    </row>
    <row r="1026" spans="1:15" x14ac:dyDescent="0.3">
      <c r="A1026" s="4">
        <v>75</v>
      </c>
      <c r="B1026" s="4">
        <v>75000</v>
      </c>
      <c r="C1026" s="4" t="s">
        <v>163</v>
      </c>
      <c r="D1026" s="4" t="s">
        <v>162</v>
      </c>
      <c r="E1026" s="4" t="s">
        <v>17</v>
      </c>
      <c r="F1026" s="4" t="s">
        <v>18</v>
      </c>
      <c r="G1026" s="5">
        <v>0.9</v>
      </c>
      <c r="H1026" s="5">
        <v>0.60000000000000009</v>
      </c>
      <c r="I1026" s="5">
        <v>0.05</v>
      </c>
      <c r="J1026" s="6">
        <v>0.47368421052631582</v>
      </c>
      <c r="K1026" s="6">
        <v>0.89592592592592579</v>
      </c>
      <c r="L1026" s="6">
        <v>0.79148525335596909</v>
      </c>
      <c r="M1026" s="4" t="s">
        <v>73</v>
      </c>
      <c r="N1026" s="4">
        <v>9.2126462699924208E-2</v>
      </c>
      <c r="O1026" s="4">
        <v>0</v>
      </c>
    </row>
    <row r="1027" spans="1:15" x14ac:dyDescent="0.3">
      <c r="A1027" s="4">
        <v>76</v>
      </c>
      <c r="B1027" s="4">
        <v>76000</v>
      </c>
      <c r="C1027" s="4" t="s">
        <v>163</v>
      </c>
      <c r="D1027" s="4" t="s">
        <v>162</v>
      </c>
      <c r="E1027" s="4" t="s">
        <v>17</v>
      </c>
      <c r="F1027" s="4" t="s">
        <v>18</v>
      </c>
      <c r="G1027" s="5">
        <v>0.9</v>
      </c>
      <c r="H1027" s="5">
        <v>0.60000000000000009</v>
      </c>
      <c r="I1027" s="5">
        <v>0.05</v>
      </c>
      <c r="J1027" s="6">
        <v>0.46551724137931028</v>
      </c>
      <c r="K1027" s="6">
        <v>0.89481481481481473</v>
      </c>
      <c r="L1027" s="6">
        <v>0.6996729276900886</v>
      </c>
      <c r="M1027" s="4" t="s">
        <v>78</v>
      </c>
      <c r="N1027" s="4">
        <v>9.6285785449277628E-2</v>
      </c>
      <c r="O1027" s="4">
        <v>0</v>
      </c>
    </row>
    <row r="1028" spans="1:15" x14ac:dyDescent="0.3">
      <c r="A1028" s="4">
        <v>77</v>
      </c>
      <c r="B1028" s="4">
        <v>77000</v>
      </c>
      <c r="C1028" s="4" t="s">
        <v>163</v>
      </c>
      <c r="D1028" s="4" t="s">
        <v>162</v>
      </c>
      <c r="E1028" s="4" t="s">
        <v>17</v>
      </c>
      <c r="F1028" s="4" t="s">
        <v>18</v>
      </c>
      <c r="G1028" s="5">
        <v>0.9</v>
      </c>
      <c r="H1028" s="5">
        <v>0.60000000000000009</v>
      </c>
      <c r="I1028" s="5">
        <v>0.05</v>
      </c>
      <c r="J1028" s="6">
        <v>0.47368421052631582</v>
      </c>
      <c r="K1028" s="6">
        <v>0.89481481481481473</v>
      </c>
      <c r="L1028" s="6">
        <v>0.79270160653420463</v>
      </c>
      <c r="M1028" s="4" t="s">
        <v>154</v>
      </c>
      <c r="N1028" s="4">
        <v>9.8038501687038829E-2</v>
      </c>
      <c r="O1028" s="4">
        <v>0</v>
      </c>
    </row>
    <row r="1029" spans="1:15" x14ac:dyDescent="0.3">
      <c r="A1029" s="4">
        <v>78</v>
      </c>
      <c r="B1029" s="4">
        <v>78000</v>
      </c>
      <c r="C1029" s="4" t="s">
        <v>163</v>
      </c>
      <c r="D1029" s="4" t="s">
        <v>162</v>
      </c>
      <c r="E1029" s="4" t="s">
        <v>17</v>
      </c>
      <c r="F1029" s="4" t="s">
        <v>18</v>
      </c>
      <c r="G1029" s="5">
        <v>0.9</v>
      </c>
      <c r="H1029" s="5">
        <v>0.60000000000000009</v>
      </c>
      <c r="I1029" s="5">
        <v>0.05</v>
      </c>
      <c r="J1029" s="6">
        <v>0.5</v>
      </c>
      <c r="K1029" s="6">
        <v>0.89785714285714291</v>
      </c>
      <c r="L1029" s="6">
        <v>0.76045947155293958</v>
      </c>
      <c r="M1029" s="4" t="s">
        <v>160</v>
      </c>
      <c r="N1029" s="4">
        <v>9.9685377435356479E-2</v>
      </c>
      <c r="O1029" s="4">
        <v>0</v>
      </c>
    </row>
    <row r="1030" spans="1:15" x14ac:dyDescent="0.3">
      <c r="A1030" s="4">
        <v>79</v>
      </c>
      <c r="B1030" s="4">
        <v>79000</v>
      </c>
      <c r="C1030" s="4" t="s">
        <v>163</v>
      </c>
      <c r="D1030" s="4" t="s">
        <v>162</v>
      </c>
      <c r="E1030" s="4" t="s">
        <v>17</v>
      </c>
      <c r="F1030" s="4" t="s">
        <v>18</v>
      </c>
      <c r="G1030" s="5">
        <v>0.9</v>
      </c>
      <c r="H1030" s="5">
        <v>0.60000000000000009</v>
      </c>
      <c r="I1030" s="5">
        <v>0.05</v>
      </c>
      <c r="J1030" s="6">
        <v>0.47368421052631582</v>
      </c>
      <c r="K1030" s="6">
        <v>0.89777777777777756</v>
      </c>
      <c r="L1030" s="6">
        <v>0.70024267530236861</v>
      </c>
      <c r="M1030" s="4" t="s">
        <v>156</v>
      </c>
      <c r="N1030" s="4">
        <v>9.9227466373369239E-2</v>
      </c>
      <c r="O1030" s="4">
        <v>0</v>
      </c>
    </row>
    <row r="1031" spans="1:15" x14ac:dyDescent="0.3">
      <c r="A1031" s="4">
        <v>80</v>
      </c>
      <c r="B1031" s="4">
        <v>80000</v>
      </c>
      <c r="C1031" s="4" t="s">
        <v>163</v>
      </c>
      <c r="D1031" s="4" t="s">
        <v>162</v>
      </c>
      <c r="E1031" s="4" t="s">
        <v>17</v>
      </c>
      <c r="F1031" s="4" t="s">
        <v>18</v>
      </c>
      <c r="G1031" s="5">
        <v>0.9</v>
      </c>
      <c r="H1031" s="5">
        <v>0.60000000000000009</v>
      </c>
      <c r="I1031" s="5">
        <v>0.05</v>
      </c>
      <c r="J1031" s="6">
        <v>0.48214285714285721</v>
      </c>
      <c r="K1031" s="6">
        <v>0.89814814814814803</v>
      </c>
      <c r="L1031" s="6">
        <v>0.69553469091691689</v>
      </c>
      <c r="M1031" s="4" t="s">
        <v>79</v>
      </c>
      <c r="N1031" s="4">
        <v>0.1040099908037084</v>
      </c>
      <c r="O1031" s="4">
        <v>0</v>
      </c>
    </row>
    <row r="1032" spans="1:15" x14ac:dyDescent="0.3">
      <c r="A1032" s="4">
        <v>81</v>
      </c>
      <c r="B1032" s="4">
        <v>81000</v>
      </c>
      <c r="C1032" s="4" t="s">
        <v>163</v>
      </c>
      <c r="D1032" s="4" t="s">
        <v>162</v>
      </c>
      <c r="E1032" s="4" t="s">
        <v>17</v>
      </c>
      <c r="F1032" s="4" t="s">
        <v>18</v>
      </c>
      <c r="G1032" s="5">
        <v>0.9</v>
      </c>
      <c r="H1032" s="5">
        <v>0.60000000000000009</v>
      </c>
      <c r="I1032" s="5">
        <v>0.05</v>
      </c>
      <c r="J1032" s="6">
        <v>0.5</v>
      </c>
      <c r="K1032" s="6">
        <v>0.89928571428571413</v>
      </c>
      <c r="L1032" s="6">
        <v>0.75755847278603961</v>
      </c>
      <c r="M1032" s="4" t="s">
        <v>60</v>
      </c>
      <c r="N1032" s="4">
        <v>0.1067894550568154</v>
      </c>
      <c r="O1032" s="4">
        <v>0</v>
      </c>
    </row>
    <row r="1033" spans="1:15" x14ac:dyDescent="0.3">
      <c r="A1033" s="4">
        <v>82</v>
      </c>
      <c r="B1033" s="4">
        <v>82000</v>
      </c>
      <c r="C1033" s="4" t="s">
        <v>163</v>
      </c>
      <c r="D1033" s="4" t="s">
        <v>162</v>
      </c>
      <c r="E1033" s="4" t="s">
        <v>17</v>
      </c>
      <c r="F1033" s="4" t="s">
        <v>18</v>
      </c>
      <c r="G1033" s="5">
        <v>0.9</v>
      </c>
      <c r="H1033" s="5">
        <v>0.60000000000000009</v>
      </c>
      <c r="I1033" s="5">
        <v>0.05</v>
      </c>
      <c r="J1033" s="6">
        <v>0.5</v>
      </c>
      <c r="K1033" s="6">
        <v>0.89928571428571413</v>
      </c>
      <c r="L1033" s="6">
        <v>0.75594469731689384</v>
      </c>
      <c r="M1033" s="4" t="s">
        <v>136</v>
      </c>
      <c r="N1033" s="4">
        <v>0.1060437299754896</v>
      </c>
      <c r="O1033" s="4">
        <v>0</v>
      </c>
    </row>
    <row r="1034" spans="1:15" x14ac:dyDescent="0.3">
      <c r="A1034" s="4">
        <v>83</v>
      </c>
      <c r="B1034" s="4">
        <v>83000</v>
      </c>
      <c r="C1034" s="4" t="s">
        <v>163</v>
      </c>
      <c r="D1034" s="4" t="s">
        <v>162</v>
      </c>
      <c r="E1034" s="4" t="s">
        <v>17</v>
      </c>
      <c r="F1034" s="4" t="s">
        <v>18</v>
      </c>
      <c r="G1034" s="5">
        <v>0.9</v>
      </c>
      <c r="H1034" s="5">
        <v>0.60000000000000009</v>
      </c>
      <c r="I1034" s="5">
        <v>0.05</v>
      </c>
      <c r="J1034" s="6">
        <v>0.49090909090909091</v>
      </c>
      <c r="K1034" s="6">
        <v>0.89888888888888874</v>
      </c>
      <c r="L1034" s="6">
        <v>0.69424846910309213</v>
      </c>
      <c r="M1034" s="4" t="s">
        <v>136</v>
      </c>
      <c r="N1034" s="4">
        <v>0.1058119088629032</v>
      </c>
      <c r="O1034" s="4">
        <v>0</v>
      </c>
    </row>
    <row r="1035" spans="1:15" x14ac:dyDescent="0.3">
      <c r="A1035" s="4">
        <v>84</v>
      </c>
      <c r="B1035" s="4">
        <v>84000</v>
      </c>
      <c r="C1035" s="4" t="s">
        <v>163</v>
      </c>
      <c r="D1035" s="4" t="s">
        <v>162</v>
      </c>
      <c r="E1035" s="4" t="s">
        <v>17</v>
      </c>
      <c r="F1035" s="4" t="s">
        <v>18</v>
      </c>
      <c r="G1035" s="5">
        <v>0.9</v>
      </c>
      <c r="H1035" s="5">
        <v>0.60000000000000009</v>
      </c>
      <c r="I1035" s="5">
        <v>0.05</v>
      </c>
      <c r="J1035" s="6">
        <v>0.5</v>
      </c>
      <c r="K1035" s="6">
        <v>0.89928571428571413</v>
      </c>
      <c r="L1035" s="6">
        <v>0.7582404913719204</v>
      </c>
      <c r="M1035" s="4" t="s">
        <v>160</v>
      </c>
      <c r="N1035" s="4">
        <v>9.9824725500557127E-2</v>
      </c>
      <c r="O1035" s="4">
        <v>0</v>
      </c>
    </row>
    <row r="1036" spans="1:15" x14ac:dyDescent="0.3">
      <c r="A1036" s="4">
        <v>85</v>
      </c>
      <c r="B1036" s="4">
        <v>85000</v>
      </c>
      <c r="C1036" s="4" t="s">
        <v>163</v>
      </c>
      <c r="D1036" s="4" t="s">
        <v>162</v>
      </c>
      <c r="E1036" s="4" t="s">
        <v>17</v>
      </c>
      <c r="F1036" s="4" t="s">
        <v>18</v>
      </c>
      <c r="G1036" s="5">
        <v>0.9</v>
      </c>
      <c r="H1036" s="5">
        <v>0.60000000000000009</v>
      </c>
      <c r="I1036" s="5">
        <v>0.05</v>
      </c>
      <c r="J1036" s="6">
        <v>0.5178571428571429</v>
      </c>
      <c r="K1036" s="6">
        <v>0.89862068965517228</v>
      </c>
      <c r="L1036" s="6">
        <v>0.79766191685351284</v>
      </c>
      <c r="M1036" s="4" t="s">
        <v>154</v>
      </c>
      <c r="N1036" s="4">
        <v>9.7776869871088107E-2</v>
      </c>
      <c r="O1036" s="4">
        <v>0</v>
      </c>
    </row>
    <row r="1037" spans="1:15" x14ac:dyDescent="0.3">
      <c r="A1037" s="4">
        <v>86</v>
      </c>
      <c r="B1037" s="4">
        <v>86000</v>
      </c>
      <c r="C1037" s="4" t="s">
        <v>163</v>
      </c>
      <c r="D1037" s="4" t="s">
        <v>162</v>
      </c>
      <c r="E1037" s="4" t="s">
        <v>17</v>
      </c>
      <c r="F1037" s="4" t="s">
        <v>18</v>
      </c>
      <c r="G1037" s="5">
        <v>0.9</v>
      </c>
      <c r="H1037" s="5">
        <v>0.60000000000000009</v>
      </c>
      <c r="I1037" s="5">
        <v>0.05</v>
      </c>
      <c r="J1037" s="6">
        <v>0.5</v>
      </c>
      <c r="K1037" s="6">
        <v>0.89689655172413785</v>
      </c>
      <c r="L1037" s="6">
        <v>0.79884020670430578</v>
      </c>
      <c r="M1037" s="4" t="s">
        <v>154</v>
      </c>
      <c r="N1037" s="4">
        <v>9.842287037827506E-2</v>
      </c>
      <c r="O1037" s="4">
        <v>0</v>
      </c>
    </row>
    <row r="1038" spans="1:15" x14ac:dyDescent="0.3">
      <c r="A1038" s="4">
        <v>87</v>
      </c>
      <c r="B1038" s="4">
        <v>87000</v>
      </c>
      <c r="C1038" s="4" t="s">
        <v>163</v>
      </c>
      <c r="D1038" s="4" t="s">
        <v>162</v>
      </c>
      <c r="E1038" s="4" t="s">
        <v>17</v>
      </c>
      <c r="F1038" s="4" t="s">
        <v>18</v>
      </c>
      <c r="G1038" s="5">
        <v>0.9</v>
      </c>
      <c r="H1038" s="5">
        <v>0.60000000000000009</v>
      </c>
      <c r="I1038" s="5">
        <v>0.05</v>
      </c>
      <c r="J1038" s="6">
        <v>0.5</v>
      </c>
      <c r="K1038" s="6">
        <v>0.89724137931034487</v>
      </c>
      <c r="L1038" s="6">
        <v>0.79952199255728518</v>
      </c>
      <c r="M1038" s="4" t="s">
        <v>78</v>
      </c>
      <c r="N1038" s="4">
        <v>9.6057204891160139E-2</v>
      </c>
      <c r="O1038" s="4">
        <v>0</v>
      </c>
    </row>
    <row r="1039" spans="1:15" x14ac:dyDescent="0.3">
      <c r="A1039" s="4">
        <v>88</v>
      </c>
      <c r="B1039" s="4">
        <v>88000</v>
      </c>
      <c r="C1039" s="4" t="s">
        <v>163</v>
      </c>
      <c r="D1039" s="4" t="s">
        <v>162</v>
      </c>
      <c r="E1039" s="4" t="s">
        <v>17</v>
      </c>
      <c r="F1039" s="4" t="s">
        <v>18</v>
      </c>
      <c r="G1039" s="5">
        <v>0.9</v>
      </c>
      <c r="H1039" s="5">
        <v>0.60000000000000009</v>
      </c>
      <c r="I1039" s="5">
        <v>0.05</v>
      </c>
      <c r="J1039" s="6">
        <v>0.5</v>
      </c>
      <c r="K1039" s="6">
        <v>0.89724137931034464</v>
      </c>
      <c r="L1039" s="6">
        <v>0.80069007610953546</v>
      </c>
      <c r="M1039" s="4" t="s">
        <v>150</v>
      </c>
      <c r="N1039" s="4">
        <v>9.4993537887319429E-2</v>
      </c>
      <c r="O1039" s="4">
        <v>0</v>
      </c>
    </row>
    <row r="1040" spans="1:15" x14ac:dyDescent="0.3">
      <c r="A1040" s="4">
        <v>89</v>
      </c>
      <c r="B1040" s="4">
        <v>89000</v>
      </c>
      <c r="C1040" s="4" t="s">
        <v>163</v>
      </c>
      <c r="D1040" s="4" t="s">
        <v>162</v>
      </c>
      <c r="E1040" s="4" t="s">
        <v>17</v>
      </c>
      <c r="F1040" s="4" t="s">
        <v>18</v>
      </c>
      <c r="G1040" s="5">
        <v>0.9</v>
      </c>
      <c r="H1040" s="5">
        <v>0.60000000000000009</v>
      </c>
      <c r="I1040" s="5">
        <v>0.05</v>
      </c>
      <c r="J1040" s="6">
        <v>0.5</v>
      </c>
      <c r="K1040" s="6">
        <v>0.89571428571428557</v>
      </c>
      <c r="L1040" s="6">
        <v>0.76331108581266938</v>
      </c>
      <c r="M1040" s="4" t="s">
        <v>154</v>
      </c>
      <c r="N1040" s="4">
        <v>9.8429772594542539E-2</v>
      </c>
      <c r="O1040" s="4">
        <v>0</v>
      </c>
    </row>
    <row r="1041" spans="1:15" x14ac:dyDescent="0.3">
      <c r="A1041" s="4">
        <v>90</v>
      </c>
      <c r="B1041" s="4">
        <v>90000</v>
      </c>
      <c r="C1041" s="4" t="s">
        <v>163</v>
      </c>
      <c r="D1041" s="4" t="s">
        <v>162</v>
      </c>
      <c r="E1041" s="4" t="s">
        <v>17</v>
      </c>
      <c r="F1041" s="4" t="s">
        <v>18</v>
      </c>
      <c r="G1041" s="5">
        <v>0.9</v>
      </c>
      <c r="H1041" s="5">
        <v>0.60000000000000009</v>
      </c>
      <c r="I1041" s="5">
        <v>0.05</v>
      </c>
      <c r="J1041" s="6">
        <v>0.5</v>
      </c>
      <c r="K1041" s="6">
        <v>0.89642857142857135</v>
      </c>
      <c r="L1041" s="6">
        <v>0.77903409714067584</v>
      </c>
      <c r="M1041" s="4" t="s">
        <v>82</v>
      </c>
      <c r="N1041" s="4">
        <v>0.10226997542982</v>
      </c>
      <c r="O1041" s="4">
        <v>0</v>
      </c>
    </row>
    <row r="1042" spans="1:15" x14ac:dyDescent="0.3">
      <c r="A1042" s="4">
        <v>91</v>
      </c>
      <c r="B1042" s="4">
        <v>91000</v>
      </c>
      <c r="C1042" s="4" t="s">
        <v>163</v>
      </c>
      <c r="D1042" s="4" t="s">
        <v>162</v>
      </c>
      <c r="E1042" s="4" t="s">
        <v>17</v>
      </c>
      <c r="F1042" s="4" t="s">
        <v>18</v>
      </c>
      <c r="G1042" s="5">
        <v>0.9</v>
      </c>
      <c r="H1042" s="5">
        <v>0.60000000000000009</v>
      </c>
      <c r="I1042" s="5">
        <v>0.05</v>
      </c>
      <c r="J1042" s="6">
        <v>0.5</v>
      </c>
      <c r="K1042" s="6">
        <v>0.8978571428571428</v>
      </c>
      <c r="L1042" s="6">
        <v>0.77962368890468703</v>
      </c>
      <c r="M1042" s="4" t="s">
        <v>142</v>
      </c>
      <c r="N1042" s="4">
        <v>0.1096287163132067</v>
      </c>
      <c r="O1042" s="4">
        <v>0</v>
      </c>
    </row>
    <row r="1043" spans="1:15" x14ac:dyDescent="0.3">
      <c r="A1043" s="4">
        <v>92</v>
      </c>
      <c r="B1043" s="4">
        <v>92000</v>
      </c>
      <c r="C1043" s="4" t="s">
        <v>163</v>
      </c>
      <c r="D1043" s="4" t="s">
        <v>162</v>
      </c>
      <c r="E1043" s="4" t="s">
        <v>17</v>
      </c>
      <c r="F1043" s="4" t="s">
        <v>18</v>
      </c>
      <c r="G1043" s="5">
        <v>0.9</v>
      </c>
      <c r="H1043" s="5">
        <v>0.60000000000000009</v>
      </c>
      <c r="I1043" s="5">
        <v>0.05</v>
      </c>
      <c r="J1043" s="6">
        <v>0.5</v>
      </c>
      <c r="K1043" s="6">
        <v>0.89821428571428552</v>
      </c>
      <c r="L1043" s="6">
        <v>0.77846822858440345</v>
      </c>
      <c r="M1043" s="4" t="s">
        <v>142</v>
      </c>
      <c r="N1043" s="4">
        <v>0.11019760839596331</v>
      </c>
      <c r="O1043" s="4">
        <v>0</v>
      </c>
    </row>
    <row r="1044" spans="1:15" x14ac:dyDescent="0.3">
      <c r="A1044" s="4">
        <v>93</v>
      </c>
      <c r="B1044" s="4">
        <v>93000</v>
      </c>
      <c r="C1044" s="4" t="s">
        <v>163</v>
      </c>
      <c r="D1044" s="4" t="s">
        <v>162</v>
      </c>
      <c r="E1044" s="4" t="s">
        <v>17</v>
      </c>
      <c r="F1044" s="4" t="s">
        <v>18</v>
      </c>
      <c r="G1044" s="5">
        <v>0.9</v>
      </c>
      <c r="H1044" s="5">
        <v>0.60000000000000009</v>
      </c>
      <c r="I1044" s="5">
        <v>0.05</v>
      </c>
      <c r="J1044" s="6">
        <v>0.5</v>
      </c>
      <c r="K1044" s="6">
        <v>0.89857142857142847</v>
      </c>
      <c r="L1044" s="6">
        <v>0.77790023201403258</v>
      </c>
      <c r="M1044" s="4" t="s">
        <v>103</v>
      </c>
      <c r="N1044" s="4">
        <v>0.1088604438797037</v>
      </c>
      <c r="O1044" s="4">
        <v>0</v>
      </c>
    </row>
    <row r="1045" spans="1:15" x14ac:dyDescent="0.3">
      <c r="A1045" s="4">
        <v>94</v>
      </c>
      <c r="B1045" s="4">
        <v>94000</v>
      </c>
      <c r="C1045" s="4" t="s">
        <v>163</v>
      </c>
      <c r="D1045" s="4" t="s">
        <v>162</v>
      </c>
      <c r="E1045" s="4" t="s">
        <v>17</v>
      </c>
      <c r="F1045" s="4" t="s">
        <v>18</v>
      </c>
      <c r="G1045" s="5">
        <v>0.9</v>
      </c>
      <c r="H1045" s="5">
        <v>0.60000000000000009</v>
      </c>
      <c r="I1045" s="5">
        <v>0.05</v>
      </c>
      <c r="J1045" s="6">
        <v>0.4576271186440678</v>
      </c>
      <c r="K1045" s="6">
        <v>0.89629629629629615</v>
      </c>
      <c r="L1045" s="6">
        <v>0.72819601668879597</v>
      </c>
      <c r="M1045" s="4" t="s">
        <v>142</v>
      </c>
      <c r="N1045" s="4">
        <v>0.1097910681172871</v>
      </c>
      <c r="O1045" s="4">
        <v>0</v>
      </c>
    </row>
    <row r="1046" spans="1:15" x14ac:dyDescent="0.3">
      <c r="A1046" s="4">
        <v>95</v>
      </c>
      <c r="B1046" s="4">
        <v>95000</v>
      </c>
      <c r="C1046" s="4" t="s">
        <v>163</v>
      </c>
      <c r="D1046" s="4" t="s">
        <v>162</v>
      </c>
      <c r="E1046" s="4" t="s">
        <v>17</v>
      </c>
      <c r="F1046" s="4" t="s">
        <v>18</v>
      </c>
      <c r="G1046" s="5">
        <v>0.9</v>
      </c>
      <c r="H1046" s="5">
        <v>0.60000000000000009</v>
      </c>
      <c r="I1046" s="5">
        <v>0.05</v>
      </c>
      <c r="J1046" s="6">
        <v>0.43548387096774188</v>
      </c>
      <c r="K1046" s="6">
        <v>0.89296296296296263</v>
      </c>
      <c r="L1046" s="6">
        <v>0.73074768974652948</v>
      </c>
      <c r="M1046" s="4" t="s">
        <v>60</v>
      </c>
      <c r="N1046" s="4">
        <v>0.10699599353617791</v>
      </c>
      <c r="O1046" s="4">
        <v>0</v>
      </c>
    </row>
    <row r="1047" spans="1:15" x14ac:dyDescent="0.3">
      <c r="A1047" s="4">
        <v>96</v>
      </c>
      <c r="B1047" s="4">
        <v>96000</v>
      </c>
      <c r="C1047" s="4" t="s">
        <v>163</v>
      </c>
      <c r="D1047" s="4" t="s">
        <v>162</v>
      </c>
      <c r="E1047" s="4" t="s">
        <v>17</v>
      </c>
      <c r="F1047" s="4" t="s">
        <v>18</v>
      </c>
      <c r="G1047" s="5">
        <v>0.9</v>
      </c>
      <c r="H1047" s="5">
        <v>0.60000000000000009</v>
      </c>
      <c r="I1047" s="5">
        <v>0.05</v>
      </c>
      <c r="J1047" s="6">
        <v>0.44262295081967212</v>
      </c>
      <c r="K1047" s="6">
        <v>0.8914814814814811</v>
      </c>
      <c r="L1047" s="6">
        <v>0.73273653409463846</v>
      </c>
      <c r="M1047" s="4" t="s">
        <v>99</v>
      </c>
      <c r="N1047" s="4">
        <v>0.1026087861689246</v>
      </c>
      <c r="O1047" s="4">
        <v>0</v>
      </c>
    </row>
    <row r="1048" spans="1:15" x14ac:dyDescent="0.3">
      <c r="A1048" s="4">
        <v>97</v>
      </c>
      <c r="B1048" s="4">
        <v>97000</v>
      </c>
      <c r="C1048" s="4" t="s">
        <v>163</v>
      </c>
      <c r="D1048" s="4" t="s">
        <v>162</v>
      </c>
      <c r="E1048" s="4" t="s">
        <v>17</v>
      </c>
      <c r="F1048" s="4" t="s">
        <v>18</v>
      </c>
      <c r="G1048" s="5">
        <v>0.9</v>
      </c>
      <c r="H1048" s="5">
        <v>0.60000000000000009</v>
      </c>
      <c r="I1048" s="5">
        <v>0.05</v>
      </c>
      <c r="J1048" s="6">
        <v>0.45</v>
      </c>
      <c r="K1048" s="6">
        <v>0.89074074074074039</v>
      </c>
      <c r="L1048" s="6">
        <v>0.73278387868864781</v>
      </c>
      <c r="M1048" s="4" t="s">
        <v>79</v>
      </c>
      <c r="N1048" s="4">
        <v>0.10376415019364819</v>
      </c>
      <c r="O1048" s="4">
        <v>0</v>
      </c>
    </row>
    <row r="1049" spans="1:15" x14ac:dyDescent="0.3">
      <c r="A1049" s="4">
        <v>98</v>
      </c>
      <c r="B1049" s="4">
        <v>98000</v>
      </c>
      <c r="C1049" s="4" t="s">
        <v>163</v>
      </c>
      <c r="D1049" s="4" t="s">
        <v>162</v>
      </c>
      <c r="E1049" s="4" t="s">
        <v>17</v>
      </c>
      <c r="F1049" s="4" t="s">
        <v>18</v>
      </c>
      <c r="G1049" s="5">
        <v>0.9</v>
      </c>
      <c r="H1049" s="5">
        <v>0.60000000000000009</v>
      </c>
      <c r="I1049" s="5">
        <v>0.05</v>
      </c>
      <c r="J1049" s="6">
        <v>0.45</v>
      </c>
      <c r="K1049" s="6">
        <v>0.89074074074074039</v>
      </c>
      <c r="L1049" s="6">
        <v>0.73233050936136601</v>
      </c>
      <c r="M1049" s="4" t="s">
        <v>93</v>
      </c>
      <c r="N1049" s="4">
        <v>0.1048279638679646</v>
      </c>
      <c r="O1049" s="4">
        <v>0</v>
      </c>
    </row>
    <row r="1050" spans="1:15" x14ac:dyDescent="0.3">
      <c r="A1050" s="4">
        <v>99</v>
      </c>
      <c r="B1050" s="4">
        <v>99000</v>
      </c>
      <c r="C1050" s="4" t="s">
        <v>163</v>
      </c>
      <c r="D1050" s="4" t="s">
        <v>162</v>
      </c>
      <c r="E1050" s="4" t="s">
        <v>17</v>
      </c>
      <c r="F1050" s="4" t="s">
        <v>18</v>
      </c>
      <c r="G1050" s="5">
        <v>0.9</v>
      </c>
      <c r="H1050" s="5">
        <v>0.60000000000000009</v>
      </c>
      <c r="I1050" s="5">
        <v>0.05</v>
      </c>
      <c r="J1050" s="6">
        <v>0.37096774193548387</v>
      </c>
      <c r="K1050" s="6">
        <v>0.88652173913043453</v>
      </c>
      <c r="L1050" s="6">
        <v>0.66789542198813934</v>
      </c>
      <c r="M1050" s="4" t="s">
        <v>79</v>
      </c>
      <c r="N1050" s="4">
        <v>0.1043719103840049</v>
      </c>
      <c r="O1050" s="4">
        <v>0</v>
      </c>
    </row>
    <row r="1051" spans="1:15" x14ac:dyDescent="0.3">
      <c r="A1051" s="4">
        <v>100</v>
      </c>
      <c r="B1051" s="4">
        <v>100000</v>
      </c>
      <c r="C1051" s="4" t="s">
        <v>163</v>
      </c>
      <c r="D1051" s="4" t="s">
        <v>162</v>
      </c>
      <c r="E1051" s="4" t="s">
        <v>17</v>
      </c>
      <c r="F1051" s="4" t="s">
        <v>18</v>
      </c>
      <c r="G1051" s="5">
        <v>0.9</v>
      </c>
      <c r="H1051" s="5">
        <v>0.60000000000000009</v>
      </c>
      <c r="I1051" s="5">
        <v>0.05</v>
      </c>
      <c r="J1051" s="6">
        <v>0.36507936507936511</v>
      </c>
      <c r="K1051" s="6">
        <v>0.88652173913043453</v>
      </c>
      <c r="L1051" s="6">
        <v>0.66518275012033656</v>
      </c>
      <c r="M1051" s="4" t="s">
        <v>82</v>
      </c>
      <c r="N1051" s="4">
        <v>0.1018952740625268</v>
      </c>
      <c r="O1051" s="4">
        <v>0</v>
      </c>
    </row>
    <row r="1052" spans="1:15" x14ac:dyDescent="0.3">
      <c r="A1052" s="4">
        <v>101</v>
      </c>
      <c r="B1052" s="4">
        <v>101000</v>
      </c>
      <c r="C1052" s="4" t="s">
        <v>163</v>
      </c>
      <c r="D1052" s="4" t="s">
        <v>162</v>
      </c>
      <c r="E1052" s="4" t="s">
        <v>17</v>
      </c>
      <c r="F1052" s="4" t="s">
        <v>18</v>
      </c>
      <c r="G1052" s="5">
        <v>0.9</v>
      </c>
      <c r="H1052" s="5">
        <v>0.60000000000000009</v>
      </c>
      <c r="I1052" s="5">
        <v>0.05</v>
      </c>
      <c r="J1052" s="6">
        <v>0.37704918032786883</v>
      </c>
      <c r="K1052" s="6">
        <v>0.88652173913043464</v>
      </c>
      <c r="L1052" s="6">
        <v>0.66544106825148064</v>
      </c>
      <c r="M1052" s="4" t="s">
        <v>82</v>
      </c>
      <c r="N1052" s="4">
        <v>0.1019345131973773</v>
      </c>
      <c r="O1052" s="4">
        <v>0</v>
      </c>
    </row>
    <row r="1053" spans="1:15" x14ac:dyDescent="0.3">
      <c r="A1053" s="4">
        <v>102</v>
      </c>
      <c r="B1053" s="4">
        <v>102000</v>
      </c>
      <c r="C1053" s="4" t="s">
        <v>163</v>
      </c>
      <c r="D1053" s="4" t="s">
        <v>162</v>
      </c>
      <c r="E1053" s="4" t="s">
        <v>17</v>
      </c>
      <c r="F1053" s="4" t="s">
        <v>18</v>
      </c>
      <c r="G1053" s="5">
        <v>0.9</v>
      </c>
      <c r="H1053" s="5">
        <v>0.60000000000000009</v>
      </c>
      <c r="I1053" s="5">
        <v>0.05</v>
      </c>
      <c r="J1053" s="6">
        <v>0.37704918032786883</v>
      </c>
      <c r="K1053" s="6">
        <v>0.88913043478260856</v>
      </c>
      <c r="L1053" s="6">
        <v>0.66569648811292259</v>
      </c>
      <c r="M1053" s="4" t="s">
        <v>156</v>
      </c>
      <c r="N1053" s="4">
        <v>9.9292049993025502E-2</v>
      </c>
      <c r="O1053" s="4">
        <v>0</v>
      </c>
    </row>
    <row r="1054" spans="1:15" x14ac:dyDescent="0.3">
      <c r="A1054" s="4">
        <v>103</v>
      </c>
      <c r="B1054" s="4">
        <v>103000</v>
      </c>
      <c r="C1054" s="4" t="s">
        <v>163</v>
      </c>
      <c r="D1054" s="4" t="s">
        <v>162</v>
      </c>
      <c r="E1054" s="4" t="s">
        <v>17</v>
      </c>
      <c r="F1054" s="4" t="s">
        <v>18</v>
      </c>
      <c r="G1054" s="5">
        <v>0.9</v>
      </c>
      <c r="H1054" s="5">
        <v>0.8</v>
      </c>
      <c r="I1054" s="5">
        <v>0.1166666666666667</v>
      </c>
      <c r="J1054" s="6">
        <v>0.31746031746031739</v>
      </c>
      <c r="K1054" s="6">
        <v>0.92849999999999988</v>
      </c>
      <c r="L1054" s="6">
        <v>0.57253925118430626</v>
      </c>
      <c r="M1054" s="4" t="s">
        <v>19</v>
      </c>
      <c r="N1054" s="4">
        <v>1</v>
      </c>
      <c r="O1054" s="4">
        <v>1</v>
      </c>
    </row>
    <row r="1055" spans="1:15" x14ac:dyDescent="0.3">
      <c r="A1055" s="4">
        <v>104</v>
      </c>
      <c r="B1055" s="4">
        <v>104000</v>
      </c>
      <c r="C1055" s="4" t="s">
        <v>163</v>
      </c>
      <c r="D1055" s="4" t="s">
        <v>162</v>
      </c>
      <c r="E1055" s="4" t="s">
        <v>17</v>
      </c>
      <c r="F1055" s="4" t="s">
        <v>18</v>
      </c>
      <c r="G1055" s="5">
        <v>0.9</v>
      </c>
      <c r="H1055" s="5">
        <v>0.8</v>
      </c>
      <c r="I1055" s="5">
        <v>0.1166666666666667</v>
      </c>
      <c r="J1055" s="6">
        <v>0.31746031746031739</v>
      </c>
      <c r="K1055" s="6">
        <v>0.92799999999999994</v>
      </c>
      <c r="L1055" s="6">
        <v>0.58108509124958363</v>
      </c>
      <c r="M1055" s="4" t="s">
        <v>177</v>
      </c>
      <c r="N1055" s="4">
        <v>1.7443944065613878E-2</v>
      </c>
      <c r="O1055" s="4">
        <v>0</v>
      </c>
    </row>
    <row r="1056" spans="1:15" x14ac:dyDescent="0.3">
      <c r="A1056" s="4">
        <v>105</v>
      </c>
      <c r="B1056" s="4">
        <v>105000</v>
      </c>
      <c r="C1056" s="4" t="s">
        <v>163</v>
      </c>
      <c r="D1056" s="4" t="s">
        <v>162</v>
      </c>
      <c r="E1056" s="4" t="s">
        <v>17</v>
      </c>
      <c r="F1056" s="4" t="s">
        <v>18</v>
      </c>
      <c r="G1056" s="5">
        <v>0.9</v>
      </c>
      <c r="H1056" s="5">
        <v>0.8</v>
      </c>
      <c r="I1056" s="5">
        <v>0.1166666666666667</v>
      </c>
      <c r="J1056" s="6">
        <v>0.31746031746031739</v>
      </c>
      <c r="K1056" s="6">
        <v>0.92749999999999999</v>
      </c>
      <c r="L1056" s="6">
        <v>0.58009298144967369</v>
      </c>
      <c r="M1056" s="4" t="s">
        <v>171</v>
      </c>
      <c r="N1056" s="4">
        <v>2.109085668297753E-2</v>
      </c>
      <c r="O1056" s="4">
        <v>0</v>
      </c>
    </row>
    <row r="1057" spans="1:15" x14ac:dyDescent="0.3">
      <c r="A1057" s="4">
        <v>106</v>
      </c>
      <c r="B1057" s="4">
        <v>106000</v>
      </c>
      <c r="C1057" s="4" t="s">
        <v>163</v>
      </c>
      <c r="D1057" s="4" t="s">
        <v>162</v>
      </c>
      <c r="E1057" s="4" t="s">
        <v>17</v>
      </c>
      <c r="F1057" s="4" t="s">
        <v>18</v>
      </c>
      <c r="G1057" s="5">
        <v>0.9</v>
      </c>
      <c r="H1057" s="5">
        <v>0.8</v>
      </c>
      <c r="I1057" s="5">
        <v>0.1166666666666667</v>
      </c>
      <c r="J1057" s="6">
        <v>0.3125</v>
      </c>
      <c r="K1057" s="6">
        <v>0.92749999999999999</v>
      </c>
      <c r="L1057" s="6">
        <v>0.58060992097734898</v>
      </c>
      <c r="M1057" s="4" t="s">
        <v>178</v>
      </c>
      <c r="N1057" s="4">
        <v>3.2460589086845848E-2</v>
      </c>
      <c r="O1057" s="4">
        <v>0</v>
      </c>
    </row>
    <row r="1058" spans="1:15" x14ac:dyDescent="0.3">
      <c r="A1058" s="4">
        <v>107</v>
      </c>
      <c r="B1058" s="4">
        <v>107000</v>
      </c>
      <c r="C1058" s="4" t="s">
        <v>163</v>
      </c>
      <c r="D1058" s="4" t="s">
        <v>162</v>
      </c>
      <c r="E1058" s="4" t="s">
        <v>17</v>
      </c>
      <c r="F1058" s="4" t="s">
        <v>18</v>
      </c>
      <c r="G1058" s="5">
        <v>0.9</v>
      </c>
      <c r="H1058" s="5">
        <v>0.8</v>
      </c>
      <c r="I1058" s="5">
        <v>0.1166666666666667</v>
      </c>
      <c r="J1058" s="6">
        <v>0.3125</v>
      </c>
      <c r="K1058" s="6">
        <v>0.92849999999999999</v>
      </c>
      <c r="L1058" s="6">
        <v>0.57546801896647093</v>
      </c>
      <c r="M1058" s="4" t="s">
        <v>179</v>
      </c>
      <c r="N1058" s="4">
        <v>3.7037765803252971E-2</v>
      </c>
      <c r="O1058" s="4">
        <v>0</v>
      </c>
    </row>
    <row r="1059" spans="1:15" x14ac:dyDescent="0.3">
      <c r="A1059" s="4">
        <v>108</v>
      </c>
      <c r="B1059" s="4">
        <v>108000</v>
      </c>
      <c r="C1059" s="4" t="s">
        <v>163</v>
      </c>
      <c r="D1059" s="4" t="s">
        <v>162</v>
      </c>
      <c r="E1059" s="4" t="s">
        <v>17</v>
      </c>
      <c r="F1059" s="4" t="s">
        <v>18</v>
      </c>
      <c r="G1059" s="5">
        <v>0.9</v>
      </c>
      <c r="H1059" s="5">
        <v>0.8</v>
      </c>
      <c r="I1059" s="5">
        <v>0.1166666666666667</v>
      </c>
      <c r="J1059" s="6">
        <v>0.3125</v>
      </c>
      <c r="K1059" s="6">
        <v>0.92849999999999999</v>
      </c>
      <c r="L1059" s="6">
        <v>0.57522148376817162</v>
      </c>
      <c r="M1059" s="4" t="s">
        <v>180</v>
      </c>
      <c r="N1059" s="4">
        <v>3.7804117236357911E-2</v>
      </c>
      <c r="O1059" s="4">
        <v>0</v>
      </c>
    </row>
    <row r="1060" spans="1:15" x14ac:dyDescent="0.3">
      <c r="A1060" s="4">
        <v>109</v>
      </c>
      <c r="B1060" s="4">
        <v>109000</v>
      </c>
      <c r="C1060" s="4" t="s">
        <v>163</v>
      </c>
      <c r="D1060" s="4" t="s">
        <v>162</v>
      </c>
      <c r="E1060" s="4" t="s">
        <v>17</v>
      </c>
      <c r="F1060" s="4" t="s">
        <v>18</v>
      </c>
      <c r="G1060" s="5">
        <v>0.9</v>
      </c>
      <c r="H1060" s="5">
        <v>0.8</v>
      </c>
      <c r="I1060" s="5">
        <v>0.1166666666666667</v>
      </c>
      <c r="J1060" s="6">
        <v>0.31746031746031739</v>
      </c>
      <c r="K1060" s="6">
        <v>0.92749999999999988</v>
      </c>
      <c r="L1060" s="6">
        <v>0.58800124930052966</v>
      </c>
      <c r="M1060" s="4" t="s">
        <v>168</v>
      </c>
      <c r="N1060" s="4">
        <v>4.3752387804804713E-2</v>
      </c>
      <c r="O1060" s="4">
        <v>0</v>
      </c>
    </row>
    <row r="1061" spans="1:15" x14ac:dyDescent="0.3">
      <c r="A1061" s="4">
        <v>110</v>
      </c>
      <c r="B1061" s="4">
        <v>110000</v>
      </c>
      <c r="C1061" s="4" t="s">
        <v>163</v>
      </c>
      <c r="D1061" s="4" t="s">
        <v>162</v>
      </c>
      <c r="E1061" s="4" t="s">
        <v>17</v>
      </c>
      <c r="F1061" s="4" t="s">
        <v>18</v>
      </c>
      <c r="G1061" s="5">
        <v>0.9</v>
      </c>
      <c r="H1061" s="5">
        <v>0.8</v>
      </c>
      <c r="I1061" s="5">
        <v>0.1166666666666667</v>
      </c>
      <c r="J1061" s="6">
        <v>0.32258064516129031</v>
      </c>
      <c r="K1061" s="6">
        <v>0.92749999999999988</v>
      </c>
      <c r="L1061" s="6">
        <v>0.59030624145019905</v>
      </c>
      <c r="M1061" s="4" t="s">
        <v>181</v>
      </c>
      <c r="N1061" s="4">
        <v>4.568828836000903E-2</v>
      </c>
      <c r="O1061" s="4">
        <v>0</v>
      </c>
    </row>
    <row r="1062" spans="1:15" x14ac:dyDescent="0.3">
      <c r="A1062" s="4">
        <v>111</v>
      </c>
      <c r="B1062" s="4">
        <v>111000</v>
      </c>
      <c r="C1062" s="4" t="s">
        <v>163</v>
      </c>
      <c r="D1062" s="4" t="s">
        <v>162</v>
      </c>
      <c r="E1062" s="4" t="s">
        <v>17</v>
      </c>
      <c r="F1062" s="4" t="s">
        <v>18</v>
      </c>
      <c r="G1062" s="5">
        <v>0.9</v>
      </c>
      <c r="H1062" s="5">
        <v>0.8</v>
      </c>
      <c r="I1062" s="5">
        <v>0.1166666666666667</v>
      </c>
      <c r="J1062" s="6">
        <v>0.32786885245901642</v>
      </c>
      <c r="K1062" s="6">
        <v>0.92799999999999994</v>
      </c>
      <c r="L1062" s="6">
        <v>0.58316213232734793</v>
      </c>
      <c r="M1062" s="4" t="s">
        <v>182</v>
      </c>
      <c r="N1062" s="4">
        <v>5.2493996901601801E-2</v>
      </c>
      <c r="O1062" s="4">
        <v>0</v>
      </c>
    </row>
    <row r="1063" spans="1:15" x14ac:dyDescent="0.3">
      <c r="A1063" s="4">
        <v>112</v>
      </c>
      <c r="B1063" s="4">
        <v>112000</v>
      </c>
      <c r="C1063" s="4" t="s">
        <v>163</v>
      </c>
      <c r="D1063" s="4" t="s">
        <v>162</v>
      </c>
      <c r="E1063" s="4" t="s">
        <v>17</v>
      </c>
      <c r="F1063" s="4" t="s">
        <v>18</v>
      </c>
      <c r="G1063" s="5">
        <v>0.9</v>
      </c>
      <c r="H1063" s="5">
        <v>0.8</v>
      </c>
      <c r="I1063" s="5">
        <v>0.1166666666666667</v>
      </c>
      <c r="J1063" s="6">
        <v>0.32258064516129031</v>
      </c>
      <c r="K1063" s="6">
        <v>0.92749999999999999</v>
      </c>
      <c r="L1063" s="6">
        <v>0.6658231097907612</v>
      </c>
      <c r="M1063" s="4" t="s">
        <v>183</v>
      </c>
      <c r="N1063" s="4">
        <v>5.5157564846599949E-2</v>
      </c>
      <c r="O1063" s="4">
        <v>0</v>
      </c>
    </row>
    <row r="1064" spans="1:15" x14ac:dyDescent="0.3">
      <c r="A1064" s="4">
        <v>113</v>
      </c>
      <c r="B1064" s="4">
        <v>113000</v>
      </c>
      <c r="C1064" s="4" t="s">
        <v>163</v>
      </c>
      <c r="D1064" s="4" t="s">
        <v>162</v>
      </c>
      <c r="E1064" s="4" t="s">
        <v>17</v>
      </c>
      <c r="F1064" s="4" t="s">
        <v>18</v>
      </c>
      <c r="G1064" s="5">
        <v>0.9</v>
      </c>
      <c r="H1064" s="5">
        <v>0.8</v>
      </c>
      <c r="I1064" s="5">
        <v>0.1166666666666667</v>
      </c>
      <c r="J1064" s="6">
        <v>0.32258064516129031</v>
      </c>
      <c r="K1064" s="6">
        <v>0.92749999999999999</v>
      </c>
      <c r="L1064" s="6">
        <v>0.66647032925189498</v>
      </c>
      <c r="M1064" s="4" t="s">
        <v>175</v>
      </c>
      <c r="N1064" s="4">
        <v>5.7602305760636643E-2</v>
      </c>
      <c r="O1064" s="4">
        <v>0</v>
      </c>
    </row>
    <row r="1065" spans="1:15" x14ac:dyDescent="0.3">
      <c r="A1065" s="4">
        <v>114</v>
      </c>
      <c r="B1065" s="4">
        <v>114000</v>
      </c>
      <c r="C1065" s="4" t="s">
        <v>163</v>
      </c>
      <c r="D1065" s="4" t="s">
        <v>162</v>
      </c>
      <c r="E1065" s="4" t="s">
        <v>17</v>
      </c>
      <c r="F1065" s="4" t="s">
        <v>18</v>
      </c>
      <c r="G1065" s="5">
        <v>0.9</v>
      </c>
      <c r="H1065" s="5">
        <v>0.8</v>
      </c>
      <c r="I1065" s="5">
        <v>0.1166666666666667</v>
      </c>
      <c r="J1065" s="6">
        <v>0.32258064516129031</v>
      </c>
      <c r="K1065" s="6">
        <v>0.92849999999999999</v>
      </c>
      <c r="L1065" s="6">
        <v>0.66706940051881602</v>
      </c>
      <c r="M1065" s="4" t="s">
        <v>184</v>
      </c>
      <c r="N1065" s="4">
        <v>5.9326326624321017E-2</v>
      </c>
      <c r="O1065" s="4">
        <v>0</v>
      </c>
    </row>
    <row r="1066" spans="1:15" x14ac:dyDescent="0.3">
      <c r="A1066" s="4">
        <v>115</v>
      </c>
      <c r="B1066" s="4">
        <v>115000</v>
      </c>
      <c r="C1066" s="4" t="s">
        <v>163</v>
      </c>
      <c r="D1066" s="4" t="s">
        <v>162</v>
      </c>
      <c r="E1066" s="4" t="s">
        <v>17</v>
      </c>
      <c r="F1066" s="4" t="s">
        <v>18</v>
      </c>
      <c r="G1066" s="5">
        <v>0.9</v>
      </c>
      <c r="H1066" s="5">
        <v>0.8</v>
      </c>
      <c r="I1066" s="5">
        <v>0.1166666666666667</v>
      </c>
      <c r="J1066" s="6">
        <v>0.32786885245901642</v>
      </c>
      <c r="K1066" s="6">
        <v>0.92749999999999999</v>
      </c>
      <c r="L1066" s="6">
        <v>0.66104651162790695</v>
      </c>
      <c r="M1066" s="4" t="s">
        <v>185</v>
      </c>
      <c r="N1066" s="4">
        <v>5.9646716851600577E-2</v>
      </c>
      <c r="O1066" s="4">
        <v>0</v>
      </c>
    </row>
    <row r="1067" spans="1:15" x14ac:dyDescent="0.3">
      <c r="A1067" s="4">
        <v>116</v>
      </c>
      <c r="B1067" s="4">
        <v>116000</v>
      </c>
      <c r="C1067" s="4" t="s">
        <v>163</v>
      </c>
      <c r="D1067" s="4" t="s">
        <v>162</v>
      </c>
      <c r="E1067" s="4" t="s">
        <v>17</v>
      </c>
      <c r="F1067" s="4" t="s">
        <v>18</v>
      </c>
      <c r="G1067" s="5">
        <v>0.9</v>
      </c>
      <c r="H1067" s="5">
        <v>0.8</v>
      </c>
      <c r="I1067" s="5">
        <v>0.1166666666666667</v>
      </c>
      <c r="J1067" s="6">
        <v>0.33333333333333331</v>
      </c>
      <c r="K1067" s="6">
        <v>0.92749999999999999</v>
      </c>
      <c r="L1067" s="6">
        <v>0.66675356435705024</v>
      </c>
      <c r="M1067" s="4" t="s">
        <v>186</v>
      </c>
      <c r="N1067" s="4">
        <v>6.4760299330279922E-2</v>
      </c>
      <c r="O1067" s="4">
        <v>0</v>
      </c>
    </row>
    <row r="1068" spans="1:15" x14ac:dyDescent="0.3">
      <c r="A1068" s="4">
        <v>117</v>
      </c>
      <c r="B1068" s="4">
        <v>117000</v>
      </c>
      <c r="C1068" s="4" t="s">
        <v>163</v>
      </c>
      <c r="D1068" s="4" t="s">
        <v>162</v>
      </c>
      <c r="E1068" s="4" t="s">
        <v>17</v>
      </c>
      <c r="F1068" s="4" t="s">
        <v>18</v>
      </c>
      <c r="G1068" s="5">
        <v>0.9</v>
      </c>
      <c r="H1068" s="5">
        <v>0.8</v>
      </c>
      <c r="I1068" s="5">
        <v>0.1166666666666667</v>
      </c>
      <c r="J1068" s="6">
        <v>0.33333333333333331</v>
      </c>
      <c r="K1068" s="6">
        <v>0.92699999999999994</v>
      </c>
      <c r="L1068" s="6">
        <v>0.66122073041070151</v>
      </c>
      <c r="M1068" s="4" t="s">
        <v>104</v>
      </c>
      <c r="N1068" s="4">
        <v>7.0025753394860529E-2</v>
      </c>
      <c r="O1068" s="4">
        <v>0</v>
      </c>
    </row>
    <row r="1069" spans="1:15" x14ac:dyDescent="0.3">
      <c r="A1069" s="4">
        <v>118</v>
      </c>
      <c r="B1069" s="4">
        <v>118000</v>
      </c>
      <c r="C1069" s="4" t="s">
        <v>163</v>
      </c>
      <c r="D1069" s="4" t="s">
        <v>162</v>
      </c>
      <c r="E1069" s="4" t="s">
        <v>17</v>
      </c>
      <c r="F1069" s="4" t="s">
        <v>18</v>
      </c>
      <c r="G1069" s="5">
        <v>0.9</v>
      </c>
      <c r="H1069" s="5">
        <v>0.8</v>
      </c>
      <c r="I1069" s="5">
        <v>0.1166666666666667</v>
      </c>
      <c r="J1069" s="6">
        <v>0.32786885245901642</v>
      </c>
      <c r="K1069" s="6">
        <v>0.9265000000000001</v>
      </c>
      <c r="L1069" s="6">
        <v>0.65523571130579894</v>
      </c>
      <c r="M1069" s="4" t="s">
        <v>186</v>
      </c>
      <c r="N1069" s="4">
        <v>6.5423438781988058E-2</v>
      </c>
      <c r="O1069" s="4">
        <v>0</v>
      </c>
    </row>
    <row r="1070" spans="1:15" x14ac:dyDescent="0.3">
      <c r="A1070" s="4">
        <v>119</v>
      </c>
      <c r="B1070" s="4">
        <v>119000</v>
      </c>
      <c r="C1070" s="4" t="s">
        <v>163</v>
      </c>
      <c r="D1070" s="4" t="s">
        <v>162</v>
      </c>
      <c r="E1070" s="4" t="s">
        <v>17</v>
      </c>
      <c r="F1070" s="4" t="s">
        <v>18</v>
      </c>
      <c r="G1070" s="5">
        <v>0.9</v>
      </c>
      <c r="H1070" s="5">
        <v>0.8</v>
      </c>
      <c r="I1070" s="5">
        <v>0.1166666666666667</v>
      </c>
      <c r="J1070" s="6">
        <v>0.33333333333333331</v>
      </c>
      <c r="K1070" s="6">
        <v>0.92599999999999993</v>
      </c>
      <c r="L1070" s="6">
        <v>0.66934307000596727</v>
      </c>
      <c r="M1070" s="4" t="s">
        <v>155</v>
      </c>
      <c r="N1070" s="4">
        <v>6.7229489028879055E-2</v>
      </c>
      <c r="O1070" s="4">
        <v>0</v>
      </c>
    </row>
    <row r="1071" spans="1:15" x14ac:dyDescent="0.3">
      <c r="A1071" s="4">
        <v>120</v>
      </c>
      <c r="B1071" s="4">
        <v>120000</v>
      </c>
      <c r="C1071" s="4" t="s">
        <v>163</v>
      </c>
      <c r="D1071" s="4" t="s">
        <v>162</v>
      </c>
      <c r="E1071" s="4" t="s">
        <v>17</v>
      </c>
      <c r="F1071" s="4" t="s">
        <v>18</v>
      </c>
      <c r="G1071" s="5">
        <v>0.9</v>
      </c>
      <c r="H1071" s="5">
        <v>0.8</v>
      </c>
      <c r="I1071" s="5">
        <v>0.1166666666666667</v>
      </c>
      <c r="J1071" s="6">
        <v>0.35</v>
      </c>
      <c r="K1071" s="6">
        <v>0.9257142857142856</v>
      </c>
      <c r="L1071" s="6">
        <v>0.58849907208540986</v>
      </c>
      <c r="M1071" s="4" t="s">
        <v>187</v>
      </c>
      <c r="N1071" s="4">
        <v>6.7576008902523022E-2</v>
      </c>
      <c r="O1071" s="4">
        <v>0</v>
      </c>
    </row>
    <row r="1072" spans="1:15" x14ac:dyDescent="0.3">
      <c r="A1072" s="4">
        <v>121</v>
      </c>
      <c r="B1072" s="4">
        <v>121000</v>
      </c>
      <c r="C1072" s="4" t="s">
        <v>163</v>
      </c>
      <c r="D1072" s="4" t="s">
        <v>162</v>
      </c>
      <c r="E1072" s="4" t="s">
        <v>17</v>
      </c>
      <c r="F1072" s="4" t="s">
        <v>18</v>
      </c>
      <c r="G1072" s="5">
        <v>0.9</v>
      </c>
      <c r="H1072" s="5">
        <v>0.8</v>
      </c>
      <c r="I1072" s="5">
        <v>0.1166666666666667</v>
      </c>
      <c r="J1072" s="6">
        <v>0.33870967741935482</v>
      </c>
      <c r="K1072" s="6">
        <v>0.92666666666666653</v>
      </c>
      <c r="L1072" s="6">
        <v>0.58013247469012896</v>
      </c>
      <c r="M1072" s="4" t="s">
        <v>155</v>
      </c>
      <c r="N1072" s="4">
        <v>6.6857916092296202E-2</v>
      </c>
      <c r="O1072" s="4">
        <v>0</v>
      </c>
    </row>
    <row r="1073" spans="1:15" x14ac:dyDescent="0.3">
      <c r="A1073" s="4">
        <v>122</v>
      </c>
      <c r="B1073" s="4">
        <v>122000</v>
      </c>
      <c r="C1073" s="4" t="s">
        <v>163</v>
      </c>
      <c r="D1073" s="4" t="s">
        <v>162</v>
      </c>
      <c r="E1073" s="4" t="s">
        <v>17</v>
      </c>
      <c r="F1073" s="4" t="s">
        <v>18</v>
      </c>
      <c r="G1073" s="5">
        <v>0.9</v>
      </c>
      <c r="H1073" s="5">
        <v>0.8</v>
      </c>
      <c r="I1073" s="5">
        <v>0.1166666666666667</v>
      </c>
      <c r="J1073" s="6">
        <v>0.33870967741935482</v>
      </c>
      <c r="K1073" s="6">
        <v>0.92666666666666653</v>
      </c>
      <c r="L1073" s="6">
        <v>0.58736016669389313</v>
      </c>
      <c r="M1073" s="4" t="s">
        <v>187</v>
      </c>
      <c r="N1073" s="4">
        <v>6.8087160135268221E-2</v>
      </c>
      <c r="O1073" s="4">
        <v>0</v>
      </c>
    </row>
    <row r="1074" spans="1:15" x14ac:dyDescent="0.3">
      <c r="A1074" s="4">
        <v>123</v>
      </c>
      <c r="B1074" s="4">
        <v>123000</v>
      </c>
      <c r="C1074" s="4" t="s">
        <v>163</v>
      </c>
      <c r="D1074" s="4" t="s">
        <v>162</v>
      </c>
      <c r="E1074" s="4" t="s">
        <v>17</v>
      </c>
      <c r="F1074" s="4" t="s">
        <v>18</v>
      </c>
      <c r="G1074" s="5">
        <v>0.9</v>
      </c>
      <c r="H1074" s="5">
        <v>0.8</v>
      </c>
      <c r="I1074" s="5">
        <v>0.1166666666666667</v>
      </c>
      <c r="J1074" s="6">
        <v>0.33870967741935482</v>
      </c>
      <c r="K1074" s="6">
        <v>0.92809523809523797</v>
      </c>
      <c r="L1074" s="6">
        <v>0.58390889027181248</v>
      </c>
      <c r="M1074" s="4" t="s">
        <v>24</v>
      </c>
      <c r="N1074" s="4">
        <v>7.2554972729347675E-2</v>
      </c>
      <c r="O1074" s="4">
        <v>0</v>
      </c>
    </row>
    <row r="1075" spans="1:15" x14ac:dyDescent="0.3">
      <c r="A1075" s="4">
        <v>124</v>
      </c>
      <c r="B1075" s="4">
        <v>124000</v>
      </c>
      <c r="C1075" s="4" t="s">
        <v>163</v>
      </c>
      <c r="D1075" s="4" t="s">
        <v>162</v>
      </c>
      <c r="E1075" s="4" t="s">
        <v>17</v>
      </c>
      <c r="F1075" s="4" t="s">
        <v>18</v>
      </c>
      <c r="G1075" s="5">
        <v>0.9</v>
      </c>
      <c r="H1075" s="5">
        <v>0.8</v>
      </c>
      <c r="I1075" s="5">
        <v>0.1166666666666667</v>
      </c>
      <c r="J1075" s="6">
        <v>0.32258064516129031</v>
      </c>
      <c r="K1075" s="6">
        <v>0.92899999999999994</v>
      </c>
      <c r="L1075" s="6">
        <v>0.57928072368004624</v>
      </c>
      <c r="M1075" s="4" t="s">
        <v>24</v>
      </c>
      <c r="N1075" s="4">
        <v>7.2554873263382613E-2</v>
      </c>
      <c r="O1075" s="4">
        <v>0</v>
      </c>
    </row>
    <row r="1076" spans="1:15" x14ac:dyDescent="0.3">
      <c r="A1076" s="4">
        <v>125</v>
      </c>
      <c r="B1076" s="4">
        <v>125000</v>
      </c>
      <c r="C1076" s="4" t="s">
        <v>163</v>
      </c>
      <c r="D1076" s="4" t="s">
        <v>162</v>
      </c>
      <c r="E1076" s="4" t="s">
        <v>17</v>
      </c>
      <c r="F1076" s="4" t="s">
        <v>18</v>
      </c>
      <c r="G1076" s="5">
        <v>0.9</v>
      </c>
      <c r="H1076" s="5">
        <v>0.8</v>
      </c>
      <c r="I1076" s="5">
        <v>0.1166666666666667</v>
      </c>
      <c r="J1076" s="6">
        <v>0.34426229508196721</v>
      </c>
      <c r="K1076" s="6">
        <v>0.92809523809523797</v>
      </c>
      <c r="L1076" s="6">
        <v>0.57964133902653181</v>
      </c>
      <c r="M1076" s="4" t="s">
        <v>24</v>
      </c>
      <c r="N1076" s="4">
        <v>7.3353197595371941E-2</v>
      </c>
      <c r="O1076" s="4">
        <v>0</v>
      </c>
    </row>
    <row r="1077" spans="1:15" x14ac:dyDescent="0.3">
      <c r="A1077" s="4">
        <v>126</v>
      </c>
      <c r="B1077" s="4">
        <v>126000</v>
      </c>
      <c r="C1077" s="4" t="s">
        <v>163</v>
      </c>
      <c r="D1077" s="4" t="s">
        <v>162</v>
      </c>
      <c r="E1077" s="4" t="s">
        <v>17</v>
      </c>
      <c r="F1077" s="4" t="s">
        <v>18</v>
      </c>
      <c r="G1077" s="5">
        <v>0.9</v>
      </c>
      <c r="H1077" s="5">
        <v>0.8</v>
      </c>
      <c r="I1077" s="5">
        <v>0.1166666666666667</v>
      </c>
      <c r="J1077" s="6">
        <v>0.35</v>
      </c>
      <c r="K1077" s="6">
        <v>0.9290476190476189</v>
      </c>
      <c r="L1077" s="6">
        <v>0.57453876458512543</v>
      </c>
      <c r="M1077" s="4" t="s">
        <v>170</v>
      </c>
      <c r="N1077" s="4">
        <v>8.0816511095576624E-2</v>
      </c>
      <c r="O1077" s="4">
        <v>0</v>
      </c>
    </row>
    <row r="1078" spans="1:15" x14ac:dyDescent="0.3">
      <c r="A1078" s="4">
        <v>127</v>
      </c>
      <c r="B1078" s="4">
        <v>127000</v>
      </c>
      <c r="C1078" s="4" t="s">
        <v>163</v>
      </c>
      <c r="D1078" s="4" t="s">
        <v>162</v>
      </c>
      <c r="E1078" s="4" t="s">
        <v>17</v>
      </c>
      <c r="F1078" s="4" t="s">
        <v>18</v>
      </c>
      <c r="G1078" s="5">
        <v>0.9</v>
      </c>
      <c r="H1078" s="5">
        <v>0.8</v>
      </c>
      <c r="I1078" s="5">
        <v>0.1166666666666667</v>
      </c>
      <c r="J1078" s="6">
        <v>0.35</v>
      </c>
      <c r="K1078" s="6">
        <v>0.9285714285714286</v>
      </c>
      <c r="L1078" s="6">
        <v>0.57913994026920756</v>
      </c>
      <c r="M1078" s="4" t="s">
        <v>188</v>
      </c>
      <c r="N1078" s="4">
        <v>8.0141815015089005E-2</v>
      </c>
      <c r="O1078" s="4">
        <v>0</v>
      </c>
    </row>
    <row r="1079" spans="1:15" x14ac:dyDescent="0.3">
      <c r="A1079" s="4">
        <v>128</v>
      </c>
      <c r="B1079" s="4">
        <v>128000</v>
      </c>
      <c r="C1079" s="4" t="s">
        <v>163</v>
      </c>
      <c r="D1079" s="4" t="s">
        <v>162</v>
      </c>
      <c r="E1079" s="4" t="s">
        <v>17</v>
      </c>
      <c r="F1079" s="4" t="s">
        <v>18</v>
      </c>
      <c r="G1079" s="5">
        <v>0.9</v>
      </c>
      <c r="H1079" s="5">
        <v>0.8</v>
      </c>
      <c r="I1079" s="5">
        <v>0.1166666666666667</v>
      </c>
      <c r="J1079" s="6">
        <v>0.38333333333333341</v>
      </c>
      <c r="K1079" s="6">
        <v>0.92608695652173911</v>
      </c>
      <c r="L1079" s="6">
        <v>0.68458894718065333</v>
      </c>
      <c r="M1079" s="4" t="s">
        <v>106</v>
      </c>
      <c r="N1079" s="4">
        <v>8.1987653488290069E-2</v>
      </c>
      <c r="O1079" s="4">
        <v>0</v>
      </c>
    </row>
    <row r="1080" spans="1:15" x14ac:dyDescent="0.3">
      <c r="A1080" s="4">
        <v>129</v>
      </c>
      <c r="B1080" s="4">
        <v>129000</v>
      </c>
      <c r="C1080" s="4" t="s">
        <v>163</v>
      </c>
      <c r="D1080" s="4" t="s">
        <v>162</v>
      </c>
      <c r="E1080" s="4" t="s">
        <v>17</v>
      </c>
      <c r="F1080" s="4" t="s">
        <v>18</v>
      </c>
      <c r="G1080" s="5">
        <v>0.9</v>
      </c>
      <c r="H1080" s="5">
        <v>0.8</v>
      </c>
      <c r="I1080" s="5">
        <v>0.1166666666666667</v>
      </c>
      <c r="J1080" s="6">
        <v>0.36666666666666659</v>
      </c>
      <c r="K1080" s="6">
        <v>0.9263636363636365</v>
      </c>
      <c r="L1080" s="6">
        <v>0.68118151243088954</v>
      </c>
      <c r="M1080" s="4" t="s">
        <v>27</v>
      </c>
      <c r="N1080" s="4">
        <v>8.2576079277345699E-2</v>
      </c>
      <c r="O1080" s="4">
        <v>0</v>
      </c>
    </row>
    <row r="1081" spans="1:15" x14ac:dyDescent="0.3">
      <c r="A1081" s="4">
        <v>130</v>
      </c>
      <c r="B1081" s="4">
        <v>130000</v>
      </c>
      <c r="C1081" s="4" t="s">
        <v>163</v>
      </c>
      <c r="D1081" s="4" t="s">
        <v>162</v>
      </c>
      <c r="E1081" s="4" t="s">
        <v>17</v>
      </c>
      <c r="F1081" s="4" t="s">
        <v>18</v>
      </c>
      <c r="G1081" s="5">
        <v>0.9</v>
      </c>
      <c r="H1081" s="5">
        <v>0.8</v>
      </c>
      <c r="I1081" s="5">
        <v>0.1166666666666667</v>
      </c>
      <c r="J1081" s="6">
        <v>0.3559322033898305</v>
      </c>
      <c r="K1081" s="6">
        <v>0.92666666666666675</v>
      </c>
      <c r="L1081" s="6">
        <v>0.67895971045577341</v>
      </c>
      <c r="M1081" s="4" t="s">
        <v>50</v>
      </c>
      <c r="N1081" s="4">
        <v>8.4531064932100719E-2</v>
      </c>
      <c r="O1081" s="4">
        <v>0</v>
      </c>
    </row>
    <row r="1082" spans="1:15" x14ac:dyDescent="0.3">
      <c r="A1082" s="4">
        <v>131</v>
      </c>
      <c r="B1082" s="4">
        <v>131000</v>
      </c>
      <c r="C1082" s="4" t="s">
        <v>163</v>
      </c>
      <c r="D1082" s="4" t="s">
        <v>162</v>
      </c>
      <c r="E1082" s="4" t="s">
        <v>17</v>
      </c>
      <c r="F1082" s="4" t="s">
        <v>18</v>
      </c>
      <c r="G1082" s="5">
        <v>0.9</v>
      </c>
      <c r="H1082" s="5">
        <v>0.8</v>
      </c>
      <c r="I1082" s="5">
        <v>0.1166666666666667</v>
      </c>
      <c r="J1082" s="6">
        <v>0.3728813559322034</v>
      </c>
      <c r="K1082" s="6">
        <v>0.9263636363636365</v>
      </c>
      <c r="L1082" s="6">
        <v>0.67803234977048266</v>
      </c>
      <c r="M1082" s="4" t="s">
        <v>21</v>
      </c>
      <c r="N1082" s="4">
        <v>8.4085657641697023E-2</v>
      </c>
      <c r="O1082" s="4">
        <v>0</v>
      </c>
    </row>
    <row r="1083" spans="1:15" x14ac:dyDescent="0.3">
      <c r="A1083" s="4">
        <v>132</v>
      </c>
      <c r="B1083" s="4">
        <v>132000</v>
      </c>
      <c r="C1083" s="4" t="s">
        <v>163</v>
      </c>
      <c r="D1083" s="4" t="s">
        <v>162</v>
      </c>
      <c r="E1083" s="4" t="s">
        <v>17</v>
      </c>
      <c r="F1083" s="4" t="s">
        <v>18</v>
      </c>
      <c r="G1083" s="5">
        <v>0.9</v>
      </c>
      <c r="H1083" s="5">
        <v>0.8</v>
      </c>
      <c r="I1083" s="5">
        <v>0.1166666666666667</v>
      </c>
      <c r="J1083" s="6">
        <v>0.3559322033898305</v>
      </c>
      <c r="K1083" s="6">
        <v>0.92666666666666675</v>
      </c>
      <c r="L1083" s="6">
        <v>0.67963177191631607</v>
      </c>
      <c r="M1083" s="4" t="s">
        <v>46</v>
      </c>
      <c r="N1083" s="4">
        <v>7.8845648104426527E-2</v>
      </c>
      <c r="O1083" s="4">
        <v>0</v>
      </c>
    </row>
    <row r="1084" spans="1:15" x14ac:dyDescent="0.3">
      <c r="A1084" s="4">
        <v>133</v>
      </c>
      <c r="B1084" s="4">
        <v>133000</v>
      </c>
      <c r="C1084" s="4" t="s">
        <v>163</v>
      </c>
      <c r="D1084" s="4" t="s">
        <v>162</v>
      </c>
      <c r="E1084" s="4" t="s">
        <v>17</v>
      </c>
      <c r="F1084" s="4" t="s">
        <v>18</v>
      </c>
      <c r="G1084" s="5">
        <v>0.9</v>
      </c>
      <c r="H1084" s="5">
        <v>0.8</v>
      </c>
      <c r="I1084" s="5">
        <v>0.1166666666666667</v>
      </c>
      <c r="J1084" s="6">
        <v>0.36206896551724138</v>
      </c>
      <c r="K1084" s="6">
        <v>0.92619047619047612</v>
      </c>
      <c r="L1084" s="6">
        <v>0.6814089535126121</v>
      </c>
      <c r="M1084" s="4" t="s">
        <v>140</v>
      </c>
      <c r="N1084" s="4">
        <v>7.7710649834858828E-2</v>
      </c>
      <c r="O1084" s="4">
        <v>0</v>
      </c>
    </row>
    <row r="1085" spans="1:15" x14ac:dyDescent="0.3">
      <c r="A1085" s="4">
        <v>134</v>
      </c>
      <c r="B1085" s="4">
        <v>134000</v>
      </c>
      <c r="C1085" s="4" t="s">
        <v>163</v>
      </c>
      <c r="D1085" s="4" t="s">
        <v>162</v>
      </c>
      <c r="E1085" s="4" t="s">
        <v>17</v>
      </c>
      <c r="F1085" s="4" t="s">
        <v>18</v>
      </c>
      <c r="G1085" s="5">
        <v>0.9</v>
      </c>
      <c r="H1085" s="5">
        <v>0.8</v>
      </c>
      <c r="I1085" s="5">
        <v>0.1166666666666667</v>
      </c>
      <c r="J1085" s="6">
        <v>0.36842105263157893</v>
      </c>
      <c r="K1085" s="6">
        <v>0.92619047619047612</v>
      </c>
      <c r="L1085" s="6">
        <v>0.67842312489112322</v>
      </c>
      <c r="M1085" s="4" t="s">
        <v>106</v>
      </c>
      <c r="N1085" s="4">
        <v>8.1853964004279675E-2</v>
      </c>
      <c r="O1085" s="4">
        <v>0</v>
      </c>
    </row>
    <row r="1086" spans="1:15" x14ac:dyDescent="0.3">
      <c r="A1086" s="4">
        <v>135</v>
      </c>
      <c r="B1086" s="4">
        <v>135000</v>
      </c>
      <c r="C1086" s="4" t="s">
        <v>163</v>
      </c>
      <c r="D1086" s="4" t="s">
        <v>162</v>
      </c>
      <c r="E1086" s="4" t="s">
        <v>17</v>
      </c>
      <c r="F1086" s="4" t="s">
        <v>18</v>
      </c>
      <c r="G1086" s="5">
        <v>0.9</v>
      </c>
      <c r="H1086" s="5">
        <v>0.8</v>
      </c>
      <c r="I1086" s="5">
        <v>0.1166666666666667</v>
      </c>
      <c r="J1086" s="6">
        <v>0.36842105263157893</v>
      </c>
      <c r="K1086" s="6">
        <v>0.92714285714285694</v>
      </c>
      <c r="L1086" s="6">
        <v>0.67500222549848121</v>
      </c>
      <c r="M1086" s="4" t="s">
        <v>188</v>
      </c>
      <c r="N1086" s="4">
        <v>7.9958567879297712E-2</v>
      </c>
      <c r="O1086" s="4">
        <v>0</v>
      </c>
    </row>
    <row r="1087" spans="1:15" x14ac:dyDescent="0.3">
      <c r="A1087" s="4">
        <v>136</v>
      </c>
      <c r="B1087" s="4">
        <v>136000</v>
      </c>
      <c r="C1087" s="4" t="s">
        <v>163</v>
      </c>
      <c r="D1087" s="4" t="s">
        <v>162</v>
      </c>
      <c r="E1087" s="4" t="s">
        <v>17</v>
      </c>
      <c r="F1087" s="4" t="s">
        <v>18</v>
      </c>
      <c r="G1087" s="5">
        <v>0.9</v>
      </c>
      <c r="H1087" s="5">
        <v>0.8</v>
      </c>
      <c r="I1087" s="5">
        <v>0.1166666666666667</v>
      </c>
      <c r="J1087" s="6">
        <v>0.36842105263157893</v>
      </c>
      <c r="K1087" s="6">
        <v>0.92619047619047612</v>
      </c>
      <c r="L1087" s="6">
        <v>0.66616253511185564</v>
      </c>
      <c r="M1087" s="4" t="s">
        <v>46</v>
      </c>
      <c r="N1087" s="4">
        <v>7.863954230956717E-2</v>
      </c>
      <c r="O1087" s="4">
        <v>0</v>
      </c>
    </row>
    <row r="1088" spans="1:15" x14ac:dyDescent="0.3">
      <c r="A1088" s="4">
        <v>137</v>
      </c>
      <c r="B1088" s="4">
        <v>137000</v>
      </c>
      <c r="C1088" s="4" t="s">
        <v>163</v>
      </c>
      <c r="D1088" s="4" t="s">
        <v>162</v>
      </c>
      <c r="E1088" s="4" t="s">
        <v>17</v>
      </c>
      <c r="F1088" s="4" t="s">
        <v>18</v>
      </c>
      <c r="G1088" s="5">
        <v>0.9</v>
      </c>
      <c r="H1088" s="5">
        <v>0.8</v>
      </c>
      <c r="I1088" s="5">
        <v>0.1166666666666667</v>
      </c>
      <c r="J1088" s="6">
        <v>0.35</v>
      </c>
      <c r="K1088" s="6">
        <v>0.92714285714285705</v>
      </c>
      <c r="L1088" s="6">
        <v>0.65860984425415736</v>
      </c>
      <c r="M1088" s="4" t="s">
        <v>97</v>
      </c>
      <c r="N1088" s="4">
        <v>8.5825519791288232E-2</v>
      </c>
      <c r="O1088" s="4">
        <v>0</v>
      </c>
    </row>
    <row r="1089" spans="1:15" x14ac:dyDescent="0.3">
      <c r="A1089" s="4">
        <v>138</v>
      </c>
      <c r="B1089" s="4">
        <v>138000</v>
      </c>
      <c r="C1089" s="4" t="s">
        <v>163</v>
      </c>
      <c r="D1089" s="4" t="s">
        <v>162</v>
      </c>
      <c r="E1089" s="4" t="s">
        <v>17</v>
      </c>
      <c r="F1089" s="4" t="s">
        <v>18</v>
      </c>
      <c r="G1089" s="5">
        <v>0.9</v>
      </c>
      <c r="H1089" s="5">
        <v>0.8</v>
      </c>
      <c r="I1089" s="5">
        <v>0.1166666666666667</v>
      </c>
      <c r="J1089" s="6">
        <v>0.35</v>
      </c>
      <c r="K1089" s="6">
        <v>0.9285714285714286</v>
      </c>
      <c r="L1089" s="6">
        <v>0.66193568789261359</v>
      </c>
      <c r="M1089" s="4" t="s">
        <v>50</v>
      </c>
      <c r="N1089" s="4">
        <v>8.5410168960750835E-2</v>
      </c>
      <c r="O1089" s="4">
        <v>0</v>
      </c>
    </row>
    <row r="1090" spans="1:15" x14ac:dyDescent="0.3">
      <c r="A1090" s="4">
        <v>139</v>
      </c>
      <c r="B1090" s="4">
        <v>139000</v>
      </c>
      <c r="C1090" s="4" t="s">
        <v>163</v>
      </c>
      <c r="D1090" s="4" t="s">
        <v>162</v>
      </c>
      <c r="E1090" s="4" t="s">
        <v>17</v>
      </c>
      <c r="F1090" s="4" t="s">
        <v>18</v>
      </c>
      <c r="G1090" s="5">
        <v>0.9</v>
      </c>
      <c r="H1090" s="5">
        <v>0.8</v>
      </c>
      <c r="I1090" s="5">
        <v>0.1166666666666667</v>
      </c>
      <c r="J1090" s="6">
        <v>0.31666666666666671</v>
      </c>
      <c r="K1090" s="6">
        <v>0.93105263157894746</v>
      </c>
      <c r="L1090" s="6">
        <v>0.55392105253774437</v>
      </c>
      <c r="M1090" s="4" t="s">
        <v>50</v>
      </c>
      <c r="N1090" s="4">
        <v>8.4604655949373206E-2</v>
      </c>
      <c r="O1090" s="4">
        <v>0</v>
      </c>
    </row>
    <row r="1091" spans="1:15" x14ac:dyDescent="0.3">
      <c r="A1091" s="4">
        <v>140</v>
      </c>
      <c r="B1091" s="4">
        <v>140000</v>
      </c>
      <c r="C1091" s="4" t="s">
        <v>163</v>
      </c>
      <c r="D1091" s="4" t="s">
        <v>162</v>
      </c>
      <c r="E1091" s="4" t="s">
        <v>17</v>
      </c>
      <c r="F1091" s="4" t="s">
        <v>18</v>
      </c>
      <c r="G1091" s="5">
        <v>0.9</v>
      </c>
      <c r="H1091" s="5">
        <v>0.8</v>
      </c>
      <c r="I1091" s="5">
        <v>0.1166666666666667</v>
      </c>
      <c r="J1091" s="6">
        <v>0.33333333333333331</v>
      </c>
      <c r="K1091" s="6">
        <v>0.93</v>
      </c>
      <c r="L1091" s="6">
        <v>0.55680539548826136</v>
      </c>
      <c r="M1091" s="4" t="s">
        <v>97</v>
      </c>
      <c r="N1091" s="4">
        <v>8.6122621260891041E-2</v>
      </c>
      <c r="O1091" s="4">
        <v>0</v>
      </c>
    </row>
    <row r="1092" spans="1:15" x14ac:dyDescent="0.3">
      <c r="A1092" s="4">
        <v>141</v>
      </c>
      <c r="B1092" s="4">
        <v>141000</v>
      </c>
      <c r="C1092" s="4" t="s">
        <v>163</v>
      </c>
      <c r="D1092" s="4" t="s">
        <v>162</v>
      </c>
      <c r="E1092" s="4" t="s">
        <v>17</v>
      </c>
      <c r="F1092" s="4" t="s">
        <v>18</v>
      </c>
      <c r="G1092" s="5">
        <v>0.9</v>
      </c>
      <c r="H1092" s="5">
        <v>0.8</v>
      </c>
      <c r="I1092" s="5">
        <v>0.1166666666666667</v>
      </c>
      <c r="J1092" s="6">
        <v>0.33333333333333331</v>
      </c>
      <c r="K1092" s="6">
        <v>0.93</v>
      </c>
      <c r="L1092" s="6">
        <v>0.55824144565523881</v>
      </c>
      <c r="M1092" s="4" t="s">
        <v>118</v>
      </c>
      <c r="N1092" s="4">
        <v>8.6873513196618998E-2</v>
      </c>
      <c r="O1092" s="4">
        <v>0</v>
      </c>
    </row>
    <row r="1093" spans="1:15" x14ac:dyDescent="0.3">
      <c r="A1093" s="4">
        <v>142</v>
      </c>
      <c r="B1093" s="4">
        <v>142000</v>
      </c>
      <c r="C1093" s="4" t="s">
        <v>163</v>
      </c>
      <c r="D1093" s="4" t="s">
        <v>162</v>
      </c>
      <c r="E1093" s="4" t="s">
        <v>17</v>
      </c>
      <c r="F1093" s="4" t="s">
        <v>18</v>
      </c>
      <c r="G1093" s="5">
        <v>0.9</v>
      </c>
      <c r="H1093" s="5">
        <v>0.8</v>
      </c>
      <c r="I1093" s="5">
        <v>0.1166666666666667</v>
      </c>
      <c r="J1093" s="6">
        <v>0.32786885245901642</v>
      </c>
      <c r="K1093" s="6">
        <v>0.92950000000000021</v>
      </c>
      <c r="L1093" s="6">
        <v>0.56027282856595151</v>
      </c>
      <c r="M1093" s="4" t="s">
        <v>52</v>
      </c>
      <c r="N1093" s="4">
        <v>8.8004582989886074E-2</v>
      </c>
      <c r="O1093" s="4">
        <v>0</v>
      </c>
    </row>
    <row r="1094" spans="1:15" x14ac:dyDescent="0.3">
      <c r="A1094" s="4">
        <v>143</v>
      </c>
      <c r="B1094" s="4">
        <v>143000</v>
      </c>
      <c r="C1094" s="4" t="s">
        <v>163</v>
      </c>
      <c r="D1094" s="4" t="s">
        <v>162</v>
      </c>
      <c r="E1094" s="4" t="s">
        <v>17</v>
      </c>
      <c r="F1094" s="4" t="s">
        <v>18</v>
      </c>
      <c r="G1094" s="5">
        <v>0.9</v>
      </c>
      <c r="H1094" s="5">
        <v>0.8</v>
      </c>
      <c r="I1094" s="5">
        <v>0.1166666666666667</v>
      </c>
      <c r="J1094" s="6">
        <v>0.32786885245901642</v>
      </c>
      <c r="K1094" s="6">
        <v>0.93</v>
      </c>
      <c r="L1094" s="6">
        <v>0.54658188164066279</v>
      </c>
      <c r="M1094" s="4" t="s">
        <v>21</v>
      </c>
      <c r="N1094" s="4">
        <v>8.3773979592476053E-2</v>
      </c>
      <c r="O1094" s="4">
        <v>0</v>
      </c>
    </row>
    <row r="1095" spans="1:15" x14ac:dyDescent="0.3">
      <c r="A1095" s="4">
        <v>144</v>
      </c>
      <c r="B1095" s="4">
        <v>144000</v>
      </c>
      <c r="C1095" s="4" t="s">
        <v>163</v>
      </c>
      <c r="D1095" s="4" t="s">
        <v>162</v>
      </c>
      <c r="E1095" s="4" t="s">
        <v>17</v>
      </c>
      <c r="F1095" s="4" t="s">
        <v>18</v>
      </c>
      <c r="G1095" s="5">
        <v>0.9</v>
      </c>
      <c r="H1095" s="5">
        <v>0.8</v>
      </c>
      <c r="I1095" s="5">
        <v>0.1166666666666667</v>
      </c>
      <c r="J1095" s="6">
        <v>0.32786885245901642</v>
      </c>
      <c r="K1095" s="6">
        <v>0.93</v>
      </c>
      <c r="L1095" s="6">
        <v>0.55132892540899325</v>
      </c>
      <c r="M1095" s="4" t="s">
        <v>27</v>
      </c>
      <c r="N1095" s="4">
        <v>8.3390593606256558E-2</v>
      </c>
      <c r="O1095" s="4">
        <v>0</v>
      </c>
    </row>
    <row r="1096" spans="1:15" x14ac:dyDescent="0.3">
      <c r="A1096" s="4">
        <v>145</v>
      </c>
      <c r="B1096" s="4">
        <v>145000</v>
      </c>
      <c r="C1096" s="4" t="s">
        <v>163</v>
      </c>
      <c r="D1096" s="4" t="s">
        <v>162</v>
      </c>
      <c r="E1096" s="4" t="s">
        <v>17</v>
      </c>
      <c r="F1096" s="4" t="s">
        <v>18</v>
      </c>
      <c r="G1096" s="5">
        <v>0.9</v>
      </c>
      <c r="H1096" s="5">
        <v>0.8</v>
      </c>
      <c r="I1096" s="5">
        <v>0.1166666666666667</v>
      </c>
      <c r="J1096" s="6">
        <v>0.32786885245901642</v>
      </c>
      <c r="K1096" s="6">
        <v>0.93099999999999983</v>
      </c>
      <c r="L1096" s="6">
        <v>0.55177292496663444</v>
      </c>
      <c r="M1096" s="4" t="s">
        <v>106</v>
      </c>
      <c r="N1096" s="4">
        <v>8.1996489889006582E-2</v>
      </c>
      <c r="O1096" s="4">
        <v>0</v>
      </c>
    </row>
    <row r="1097" spans="1:15" x14ac:dyDescent="0.3">
      <c r="A1097" s="4">
        <v>146</v>
      </c>
      <c r="B1097" s="4">
        <v>146000</v>
      </c>
      <c r="C1097" s="4" t="s">
        <v>163</v>
      </c>
      <c r="D1097" s="4" t="s">
        <v>162</v>
      </c>
      <c r="E1097" s="4" t="s">
        <v>17</v>
      </c>
      <c r="F1097" s="4" t="s">
        <v>18</v>
      </c>
      <c r="G1097" s="5">
        <v>0.9</v>
      </c>
      <c r="H1097" s="5">
        <v>0.8</v>
      </c>
      <c r="I1097" s="5">
        <v>0.1166666666666667</v>
      </c>
      <c r="J1097" s="6">
        <v>0.32786885245901642</v>
      </c>
      <c r="K1097" s="6">
        <v>0.93099999999999983</v>
      </c>
      <c r="L1097" s="6">
        <v>0.55306223607056249</v>
      </c>
      <c r="M1097" s="4" t="s">
        <v>50</v>
      </c>
      <c r="N1097" s="4">
        <v>8.496828531530834E-2</v>
      </c>
      <c r="O1097" s="4">
        <v>0</v>
      </c>
    </row>
    <row r="1098" spans="1:15" x14ac:dyDescent="0.3">
      <c r="A1098" s="4">
        <v>147</v>
      </c>
      <c r="B1098" s="4">
        <v>147000</v>
      </c>
      <c r="C1098" s="4" t="s">
        <v>163</v>
      </c>
      <c r="D1098" s="4" t="s">
        <v>162</v>
      </c>
      <c r="E1098" s="4" t="s">
        <v>17</v>
      </c>
      <c r="F1098" s="4" t="s">
        <v>18</v>
      </c>
      <c r="G1098" s="5">
        <v>0.9</v>
      </c>
      <c r="H1098" s="5">
        <v>0.8</v>
      </c>
      <c r="I1098" s="5">
        <v>0.1166666666666667</v>
      </c>
      <c r="J1098" s="6">
        <v>0.32786885245901642</v>
      </c>
      <c r="K1098" s="6">
        <v>0.93099999999999983</v>
      </c>
      <c r="L1098" s="6">
        <v>0.55984137360001707</v>
      </c>
      <c r="M1098" s="4" t="s">
        <v>97</v>
      </c>
      <c r="N1098" s="4">
        <v>8.5694187904422819E-2</v>
      </c>
      <c r="O1098" s="4">
        <v>0</v>
      </c>
    </row>
    <row r="1099" spans="1:15" x14ac:dyDescent="0.3">
      <c r="A1099" s="4">
        <v>148</v>
      </c>
      <c r="B1099" s="4">
        <v>148000</v>
      </c>
      <c r="C1099" s="4" t="s">
        <v>163</v>
      </c>
      <c r="D1099" s="4" t="s">
        <v>162</v>
      </c>
      <c r="E1099" s="4" t="s">
        <v>17</v>
      </c>
      <c r="F1099" s="4" t="s">
        <v>18</v>
      </c>
      <c r="G1099" s="5">
        <v>0.9</v>
      </c>
      <c r="H1099" s="5">
        <v>0.8</v>
      </c>
      <c r="I1099" s="5">
        <v>0.1166666666666667</v>
      </c>
      <c r="J1099" s="6">
        <v>0.3728813559322034</v>
      </c>
      <c r="K1099" s="6">
        <v>0.8872727272727271</v>
      </c>
      <c r="L1099" s="6">
        <v>0.49008752734088062</v>
      </c>
      <c r="M1099" s="4" t="s">
        <v>52</v>
      </c>
      <c r="N1099" s="4">
        <v>8.753092066543583E-2</v>
      </c>
      <c r="O1099" s="4">
        <v>0</v>
      </c>
    </row>
    <row r="1100" spans="1:15" x14ac:dyDescent="0.3">
      <c r="A1100" s="4">
        <v>149</v>
      </c>
      <c r="B1100" s="4">
        <v>149000</v>
      </c>
      <c r="C1100" s="4" t="s">
        <v>163</v>
      </c>
      <c r="D1100" s="4" t="s">
        <v>162</v>
      </c>
      <c r="E1100" s="4" t="s">
        <v>17</v>
      </c>
      <c r="F1100" s="4" t="s">
        <v>18</v>
      </c>
      <c r="G1100" s="5">
        <v>0.9</v>
      </c>
      <c r="H1100" s="5">
        <v>0.8</v>
      </c>
      <c r="I1100" s="5">
        <v>0.1166666666666667</v>
      </c>
      <c r="J1100" s="6">
        <v>0.4</v>
      </c>
      <c r="K1100" s="6">
        <v>0.92954545454545434</v>
      </c>
      <c r="L1100" s="6">
        <v>0.48278742675887498</v>
      </c>
      <c r="M1100" s="4" t="s">
        <v>52</v>
      </c>
      <c r="N1100" s="4">
        <v>8.8275912937589185E-2</v>
      </c>
      <c r="O1100" s="4">
        <v>0</v>
      </c>
    </row>
    <row r="1101" spans="1:15" x14ac:dyDescent="0.3">
      <c r="A1101" s="4">
        <v>150</v>
      </c>
      <c r="B1101" s="4">
        <v>150000</v>
      </c>
      <c r="C1101" s="4" t="s">
        <v>163</v>
      </c>
      <c r="D1101" s="4" t="s">
        <v>162</v>
      </c>
      <c r="E1101" s="4" t="s">
        <v>17</v>
      </c>
      <c r="F1101" s="4" t="s">
        <v>18</v>
      </c>
      <c r="G1101" s="5">
        <v>0.9</v>
      </c>
      <c r="H1101" s="5">
        <v>0.8</v>
      </c>
      <c r="I1101" s="5">
        <v>0.1166666666666667</v>
      </c>
      <c r="J1101" s="6">
        <v>0.4</v>
      </c>
      <c r="K1101" s="6">
        <v>0.92863636363636348</v>
      </c>
      <c r="L1101" s="6">
        <v>0.49278509531479658</v>
      </c>
      <c r="M1101" s="4" t="s">
        <v>19</v>
      </c>
      <c r="N1101" s="4">
        <v>1</v>
      </c>
      <c r="O1101" s="4">
        <v>1</v>
      </c>
    </row>
    <row r="1102" spans="1:15" x14ac:dyDescent="0.3">
      <c r="A1102" s="4">
        <v>151</v>
      </c>
      <c r="B1102" s="4">
        <v>151000</v>
      </c>
      <c r="C1102" s="4" t="s">
        <v>163</v>
      </c>
      <c r="D1102" s="4" t="s">
        <v>162</v>
      </c>
      <c r="E1102" s="4" t="s">
        <v>17</v>
      </c>
      <c r="F1102" s="4" t="s">
        <v>18</v>
      </c>
      <c r="G1102" s="5">
        <v>0.9</v>
      </c>
      <c r="H1102" s="5">
        <v>0.8</v>
      </c>
      <c r="I1102" s="5">
        <v>0.1166666666666667</v>
      </c>
      <c r="J1102" s="6">
        <v>0.38181818181818178</v>
      </c>
      <c r="K1102" s="6">
        <v>0.92999999999999994</v>
      </c>
      <c r="L1102" s="6">
        <v>0.49961132144782749</v>
      </c>
      <c r="M1102" s="4" t="s">
        <v>189</v>
      </c>
      <c r="N1102" s="4">
        <v>1.8021611510471991E-2</v>
      </c>
      <c r="O1102" s="4">
        <v>0</v>
      </c>
    </row>
    <row r="1103" spans="1:15" x14ac:dyDescent="0.3">
      <c r="A1103" s="4">
        <v>152</v>
      </c>
      <c r="B1103" s="4">
        <v>152000</v>
      </c>
      <c r="C1103" s="4" t="s">
        <v>163</v>
      </c>
      <c r="D1103" s="4" t="s">
        <v>162</v>
      </c>
      <c r="E1103" s="4" t="s">
        <v>17</v>
      </c>
      <c r="F1103" s="4" t="s">
        <v>18</v>
      </c>
      <c r="G1103" s="5">
        <v>0.9</v>
      </c>
      <c r="H1103" s="5">
        <v>0.8</v>
      </c>
      <c r="I1103" s="5">
        <v>0.1166666666666667</v>
      </c>
      <c r="J1103" s="6">
        <v>0.38596491228070168</v>
      </c>
      <c r="K1103" s="6">
        <v>0.92909090909090897</v>
      </c>
      <c r="L1103" s="6">
        <v>0.50115474383756131</v>
      </c>
      <c r="M1103" s="4" t="s">
        <v>167</v>
      </c>
      <c r="N1103" s="4">
        <v>2.9755480432446552E-2</v>
      </c>
      <c r="O1103" s="4">
        <v>0</v>
      </c>
    </row>
    <row r="1104" spans="1:15" x14ac:dyDescent="0.3">
      <c r="A1104" s="4">
        <v>153</v>
      </c>
      <c r="B1104" s="4">
        <v>153000</v>
      </c>
      <c r="C1104" s="4" t="s">
        <v>163</v>
      </c>
      <c r="D1104" s="4" t="s">
        <v>162</v>
      </c>
      <c r="E1104" s="4" t="s">
        <v>17</v>
      </c>
      <c r="F1104" s="4" t="s">
        <v>18</v>
      </c>
      <c r="G1104" s="5">
        <v>0.9</v>
      </c>
      <c r="H1104" s="5">
        <v>0.8</v>
      </c>
      <c r="I1104" s="5">
        <v>0.1166666666666667</v>
      </c>
      <c r="J1104" s="6">
        <v>0.38596491228070168</v>
      </c>
      <c r="K1104" s="6">
        <v>0.92909090909090897</v>
      </c>
      <c r="L1104" s="6">
        <v>0.49774375394313319</v>
      </c>
      <c r="M1104" s="4" t="s">
        <v>165</v>
      </c>
      <c r="N1104" s="4">
        <v>3.3749986039905658E-2</v>
      </c>
      <c r="O1104" s="4">
        <v>0</v>
      </c>
    </row>
    <row r="1105" spans="1:15" x14ac:dyDescent="0.3">
      <c r="A1105" s="4">
        <v>154</v>
      </c>
      <c r="B1105" s="4">
        <v>154000</v>
      </c>
      <c r="C1105" s="4" t="s">
        <v>163</v>
      </c>
      <c r="D1105" s="4" t="s">
        <v>162</v>
      </c>
      <c r="E1105" s="4" t="s">
        <v>17</v>
      </c>
      <c r="F1105" s="4" t="s">
        <v>18</v>
      </c>
      <c r="G1105" s="5">
        <v>0.9</v>
      </c>
      <c r="H1105" s="5">
        <v>0.8</v>
      </c>
      <c r="I1105" s="5">
        <v>0.1166666666666667</v>
      </c>
      <c r="J1105" s="6">
        <v>0.40350877192982448</v>
      </c>
      <c r="K1105" s="6">
        <v>0.92869565217391303</v>
      </c>
      <c r="L1105" s="6">
        <v>0.49962541896162338</v>
      </c>
      <c r="M1105" s="4" t="s">
        <v>190</v>
      </c>
      <c r="N1105" s="4">
        <v>3.5776614024227951E-2</v>
      </c>
      <c r="O1105" s="4">
        <v>0</v>
      </c>
    </row>
    <row r="1106" spans="1:15" x14ac:dyDescent="0.3">
      <c r="A1106" s="4">
        <v>155</v>
      </c>
      <c r="B1106" s="4">
        <v>155000</v>
      </c>
      <c r="C1106" s="4" t="s">
        <v>163</v>
      </c>
      <c r="D1106" s="4" t="s">
        <v>162</v>
      </c>
      <c r="E1106" s="4" t="s">
        <v>17</v>
      </c>
      <c r="F1106" s="4" t="s">
        <v>18</v>
      </c>
      <c r="G1106" s="5">
        <v>0.9</v>
      </c>
      <c r="H1106" s="5">
        <v>0.8</v>
      </c>
      <c r="I1106" s="5">
        <v>0.1166666666666667</v>
      </c>
      <c r="J1106" s="6">
        <v>0.37931034482758619</v>
      </c>
      <c r="K1106" s="6">
        <v>0.92999999999999983</v>
      </c>
      <c r="L1106" s="6">
        <v>0.50632938155451701</v>
      </c>
      <c r="M1106" s="4" t="s">
        <v>191</v>
      </c>
      <c r="N1106" s="4">
        <v>4.069470174837627E-2</v>
      </c>
      <c r="O1106" s="4">
        <v>0</v>
      </c>
    </row>
    <row r="1107" spans="1:15" x14ac:dyDescent="0.3">
      <c r="A1107" s="4">
        <v>156</v>
      </c>
      <c r="B1107" s="4">
        <v>156000</v>
      </c>
      <c r="C1107" s="4" t="s">
        <v>163</v>
      </c>
      <c r="D1107" s="4" t="s">
        <v>162</v>
      </c>
      <c r="E1107" s="4" t="s">
        <v>17</v>
      </c>
      <c r="F1107" s="4" t="s">
        <v>18</v>
      </c>
      <c r="G1107" s="5">
        <v>0.9</v>
      </c>
      <c r="H1107" s="5">
        <v>0.8</v>
      </c>
      <c r="I1107" s="5">
        <v>0.1166666666666667</v>
      </c>
      <c r="J1107" s="6">
        <v>0.38983050847457629</v>
      </c>
      <c r="K1107" s="6">
        <v>0.92913043478260859</v>
      </c>
      <c r="L1107" s="6">
        <v>0.50632839475963787</v>
      </c>
      <c r="M1107" s="4" t="s">
        <v>19</v>
      </c>
      <c r="N1107" s="4">
        <v>1</v>
      </c>
      <c r="O1107" s="4">
        <v>1</v>
      </c>
    </row>
    <row r="1108" spans="1:15" x14ac:dyDescent="0.3">
      <c r="A1108" s="4">
        <v>157</v>
      </c>
      <c r="B1108" s="4">
        <v>157000</v>
      </c>
      <c r="C1108" s="4" t="s">
        <v>163</v>
      </c>
      <c r="D1108" s="4" t="s">
        <v>162</v>
      </c>
      <c r="E1108" s="4" t="s">
        <v>17</v>
      </c>
      <c r="F1108" s="4" t="s">
        <v>18</v>
      </c>
      <c r="G1108" s="5">
        <v>0.9</v>
      </c>
      <c r="H1108" s="5">
        <v>0.8</v>
      </c>
      <c r="I1108" s="5">
        <v>0.1166666666666667</v>
      </c>
      <c r="J1108" s="6">
        <v>0.40677966101694918</v>
      </c>
      <c r="K1108" s="6">
        <v>0.92874999999999996</v>
      </c>
      <c r="L1108" s="6">
        <v>0.49286825094574871</v>
      </c>
      <c r="M1108" s="4" t="s">
        <v>177</v>
      </c>
      <c r="N1108" s="4">
        <v>1.6857122904947439E-2</v>
      </c>
      <c r="O1108" s="4">
        <v>0</v>
      </c>
    </row>
    <row r="1109" spans="1:15" x14ac:dyDescent="0.3">
      <c r="A1109" s="4">
        <v>158</v>
      </c>
      <c r="B1109" s="4">
        <v>158000</v>
      </c>
      <c r="C1109" s="4" t="s">
        <v>163</v>
      </c>
      <c r="D1109" s="4" t="s">
        <v>162</v>
      </c>
      <c r="E1109" s="4" t="s">
        <v>17</v>
      </c>
      <c r="F1109" s="4" t="s">
        <v>18</v>
      </c>
      <c r="G1109" s="5">
        <v>0.9</v>
      </c>
      <c r="H1109" s="5">
        <v>0.8</v>
      </c>
      <c r="I1109" s="5">
        <v>0.1166666666666667</v>
      </c>
      <c r="J1109" s="6">
        <v>0.4098360655737705</v>
      </c>
      <c r="K1109" s="6">
        <v>0.93159999999999987</v>
      </c>
      <c r="L1109" s="6">
        <v>0.4872008514154636</v>
      </c>
      <c r="M1109" s="4" t="s">
        <v>191</v>
      </c>
      <c r="N1109" s="4">
        <v>4.0812155594955997E-2</v>
      </c>
      <c r="O1109" s="4">
        <v>0</v>
      </c>
    </row>
    <row r="1110" spans="1:15" x14ac:dyDescent="0.3">
      <c r="A1110" s="4">
        <v>159</v>
      </c>
      <c r="B1110" s="4">
        <v>159000</v>
      </c>
      <c r="C1110" s="4" t="s">
        <v>163</v>
      </c>
      <c r="D1110" s="4" t="s">
        <v>162</v>
      </c>
      <c r="E1110" s="4" t="s">
        <v>17</v>
      </c>
      <c r="F1110" s="4" t="s">
        <v>18</v>
      </c>
      <c r="G1110" s="5">
        <v>0.9</v>
      </c>
      <c r="H1110" s="5">
        <v>0.8</v>
      </c>
      <c r="I1110" s="5">
        <v>0.1166666666666667</v>
      </c>
      <c r="J1110" s="6">
        <v>0.41935483870967738</v>
      </c>
      <c r="K1110" s="6">
        <v>0.89538461538461511</v>
      </c>
      <c r="L1110" s="6">
        <v>0.4893853460220135</v>
      </c>
      <c r="M1110" s="4" t="s">
        <v>192</v>
      </c>
      <c r="N1110" s="4">
        <v>4.6906532083887911E-2</v>
      </c>
      <c r="O1110" s="4">
        <v>0</v>
      </c>
    </row>
    <row r="1111" spans="1:15" x14ac:dyDescent="0.3">
      <c r="A1111" s="4">
        <v>160</v>
      </c>
      <c r="B1111" s="4">
        <v>160000</v>
      </c>
      <c r="C1111" s="4" t="s">
        <v>163</v>
      </c>
      <c r="D1111" s="4" t="s">
        <v>162</v>
      </c>
      <c r="E1111" s="4" t="s">
        <v>17</v>
      </c>
      <c r="F1111" s="4" t="s">
        <v>18</v>
      </c>
      <c r="G1111" s="5">
        <v>0.9</v>
      </c>
      <c r="H1111" s="5">
        <v>0.8</v>
      </c>
      <c r="I1111" s="5">
        <v>0.1166666666666667</v>
      </c>
      <c r="J1111" s="6">
        <v>0.41935483870967738</v>
      </c>
      <c r="K1111" s="6">
        <v>0.89538461538461511</v>
      </c>
      <c r="L1111" s="6">
        <v>0.49012513181537559</v>
      </c>
      <c r="M1111" s="4" t="s">
        <v>193</v>
      </c>
      <c r="N1111" s="4">
        <v>4.8137617007043852E-2</v>
      </c>
      <c r="O1111" s="4">
        <v>0</v>
      </c>
    </row>
    <row r="1112" spans="1:15" x14ac:dyDescent="0.3">
      <c r="A1112" s="4">
        <v>161</v>
      </c>
      <c r="B1112" s="4">
        <v>161000</v>
      </c>
      <c r="C1112" s="4" t="s">
        <v>163</v>
      </c>
      <c r="D1112" s="4" t="s">
        <v>162</v>
      </c>
      <c r="E1112" s="4" t="s">
        <v>17</v>
      </c>
      <c r="F1112" s="4" t="s">
        <v>18</v>
      </c>
      <c r="G1112" s="5">
        <v>0.9</v>
      </c>
      <c r="H1112" s="5">
        <v>0.8</v>
      </c>
      <c r="I1112" s="5">
        <v>0.1166666666666667</v>
      </c>
      <c r="J1112" s="6">
        <v>0.41935483870967738</v>
      </c>
      <c r="K1112" s="6">
        <v>0.8949999999999998</v>
      </c>
      <c r="L1112" s="6">
        <v>0.49065967269417071</v>
      </c>
      <c r="M1112" s="4" t="s">
        <v>182</v>
      </c>
      <c r="N1112" s="4">
        <v>5.2451037954199857E-2</v>
      </c>
      <c r="O1112" s="4">
        <v>0</v>
      </c>
    </row>
    <row r="1113" spans="1:15" x14ac:dyDescent="0.3">
      <c r="A1113" s="4">
        <v>162</v>
      </c>
      <c r="B1113" s="4">
        <v>162000</v>
      </c>
      <c r="C1113" s="4" t="s">
        <v>163</v>
      </c>
      <c r="D1113" s="4" t="s">
        <v>162</v>
      </c>
      <c r="E1113" s="4" t="s">
        <v>17</v>
      </c>
      <c r="F1113" s="4" t="s">
        <v>18</v>
      </c>
      <c r="G1113" s="5">
        <v>0.9</v>
      </c>
      <c r="H1113" s="5">
        <v>0.8</v>
      </c>
      <c r="I1113" s="5">
        <v>0.1166666666666667</v>
      </c>
      <c r="J1113" s="6">
        <v>0.41935483870967738</v>
      </c>
      <c r="K1113" s="6">
        <v>0.89576923076923065</v>
      </c>
      <c r="L1113" s="6">
        <v>0.49287567627922158</v>
      </c>
      <c r="M1113" s="4" t="s">
        <v>164</v>
      </c>
      <c r="N1113" s="4">
        <v>5.2803924413353562E-2</v>
      </c>
      <c r="O1113" s="4">
        <v>0</v>
      </c>
    </row>
    <row r="1114" spans="1:15" x14ac:dyDescent="0.3">
      <c r="A1114" s="4">
        <v>163</v>
      </c>
      <c r="B1114" s="4">
        <v>163000</v>
      </c>
      <c r="C1114" s="4" t="s">
        <v>163</v>
      </c>
      <c r="D1114" s="4" t="s">
        <v>162</v>
      </c>
      <c r="E1114" s="4" t="s">
        <v>17</v>
      </c>
      <c r="F1114" s="4" t="s">
        <v>18</v>
      </c>
      <c r="G1114" s="5">
        <v>0.9</v>
      </c>
      <c r="H1114" s="5">
        <v>0.8</v>
      </c>
      <c r="I1114" s="5">
        <v>0.1166666666666667</v>
      </c>
      <c r="J1114" s="6">
        <v>0.43333333333333329</v>
      </c>
      <c r="K1114" s="6">
        <v>0.8965384615384614</v>
      </c>
      <c r="L1114" s="6">
        <v>0.48213324405515823</v>
      </c>
      <c r="M1114" s="4" t="s">
        <v>185</v>
      </c>
      <c r="N1114" s="4">
        <v>6.0257482320620073E-2</v>
      </c>
      <c r="O1114" s="4">
        <v>0</v>
      </c>
    </row>
    <row r="1115" spans="1:15" x14ac:dyDescent="0.3">
      <c r="A1115" s="4">
        <v>164</v>
      </c>
      <c r="B1115" s="4">
        <v>164000</v>
      </c>
      <c r="C1115" s="4" t="s">
        <v>163</v>
      </c>
      <c r="D1115" s="4" t="s">
        <v>162</v>
      </c>
      <c r="E1115" s="4" t="s">
        <v>17</v>
      </c>
      <c r="F1115" s="4" t="s">
        <v>18</v>
      </c>
      <c r="G1115" s="5">
        <v>0.9</v>
      </c>
      <c r="H1115" s="5">
        <v>0.8</v>
      </c>
      <c r="I1115" s="5">
        <v>0.1166666666666667</v>
      </c>
      <c r="J1115" s="6">
        <v>0.42622950819672129</v>
      </c>
      <c r="K1115" s="6">
        <v>0.89730769230769214</v>
      </c>
      <c r="L1115" s="6">
        <v>0.47791021983261378</v>
      </c>
      <c r="M1115" s="4" t="s">
        <v>194</v>
      </c>
      <c r="N1115" s="4">
        <v>6.2499391843739489E-2</v>
      </c>
      <c r="O1115" s="4">
        <v>0</v>
      </c>
    </row>
    <row r="1116" spans="1:15" x14ac:dyDescent="0.3">
      <c r="A1116" s="4">
        <v>165</v>
      </c>
      <c r="B1116" s="4">
        <v>165000</v>
      </c>
      <c r="C1116" s="4" t="s">
        <v>163</v>
      </c>
      <c r="D1116" s="4" t="s">
        <v>162</v>
      </c>
      <c r="E1116" s="4" t="s">
        <v>17</v>
      </c>
      <c r="F1116" s="4" t="s">
        <v>18</v>
      </c>
      <c r="G1116" s="5">
        <v>0.9</v>
      </c>
      <c r="H1116" s="5">
        <v>0.8</v>
      </c>
      <c r="I1116" s="5">
        <v>0.1166666666666667</v>
      </c>
      <c r="J1116" s="6">
        <v>0.42622950819672129</v>
      </c>
      <c r="K1116" s="6">
        <v>0.89615384615384608</v>
      </c>
      <c r="L1116" s="6">
        <v>0.47795861827144059</v>
      </c>
      <c r="M1116" s="4" t="s">
        <v>186</v>
      </c>
      <c r="N1116" s="4">
        <v>6.5206182173382671E-2</v>
      </c>
      <c r="O1116" s="4">
        <v>0</v>
      </c>
    </row>
    <row r="1117" spans="1:15" x14ac:dyDescent="0.3">
      <c r="A1117" s="4">
        <v>166</v>
      </c>
      <c r="B1117" s="4">
        <v>166000</v>
      </c>
      <c r="C1117" s="4" t="s">
        <v>163</v>
      </c>
      <c r="D1117" s="4" t="s">
        <v>162</v>
      </c>
      <c r="E1117" s="4" t="s">
        <v>17</v>
      </c>
      <c r="F1117" s="4" t="s">
        <v>18</v>
      </c>
      <c r="G1117" s="5">
        <v>0.9</v>
      </c>
      <c r="H1117" s="5">
        <v>0.8</v>
      </c>
      <c r="I1117" s="5">
        <v>0.1166666666666667</v>
      </c>
      <c r="J1117" s="6">
        <v>0.43333333333333329</v>
      </c>
      <c r="K1117" s="6">
        <v>0.89576923076923065</v>
      </c>
      <c r="L1117" s="6">
        <v>0.48033172785777728</v>
      </c>
      <c r="M1117" s="4" t="s">
        <v>195</v>
      </c>
      <c r="N1117" s="4">
        <v>6.9050961716564913E-2</v>
      </c>
      <c r="O1117" s="4">
        <v>0</v>
      </c>
    </row>
    <row r="1118" spans="1:15" x14ac:dyDescent="0.3">
      <c r="A1118" s="4">
        <v>167</v>
      </c>
      <c r="B1118" s="4">
        <v>167000</v>
      </c>
      <c r="C1118" s="4" t="s">
        <v>163</v>
      </c>
      <c r="D1118" s="4" t="s">
        <v>162</v>
      </c>
      <c r="E1118" s="4" t="s">
        <v>17</v>
      </c>
      <c r="F1118" s="4" t="s">
        <v>18</v>
      </c>
      <c r="G1118" s="5">
        <v>0.9</v>
      </c>
      <c r="H1118" s="5">
        <v>0.8</v>
      </c>
      <c r="I1118" s="5">
        <v>0.1166666666666667</v>
      </c>
      <c r="J1118" s="6">
        <v>0.40677966101694918</v>
      </c>
      <c r="K1118" s="6">
        <v>0.93374999999999986</v>
      </c>
      <c r="L1118" s="6">
        <v>0.54074072099394688</v>
      </c>
      <c r="M1118" s="4" t="s">
        <v>24</v>
      </c>
      <c r="N1118" s="4">
        <v>7.3411323691829206E-2</v>
      </c>
      <c r="O1118" s="4">
        <v>0</v>
      </c>
    </row>
    <row r="1119" spans="1:15" x14ac:dyDescent="0.3">
      <c r="A1119" s="4">
        <v>168</v>
      </c>
      <c r="B1119" s="4">
        <v>168000</v>
      </c>
      <c r="C1119" s="4" t="s">
        <v>163</v>
      </c>
      <c r="D1119" s="4" t="s">
        <v>162</v>
      </c>
      <c r="E1119" s="4" t="s">
        <v>17</v>
      </c>
      <c r="F1119" s="4" t="s">
        <v>18</v>
      </c>
      <c r="G1119" s="5">
        <v>0.9</v>
      </c>
      <c r="H1119" s="5">
        <v>0.8</v>
      </c>
      <c r="I1119" s="5">
        <v>0.1166666666666667</v>
      </c>
      <c r="J1119" s="6">
        <v>0.40677966101694918</v>
      </c>
      <c r="K1119" s="6">
        <v>0.93458333333333299</v>
      </c>
      <c r="L1119" s="6">
        <v>0.53469865861461396</v>
      </c>
      <c r="M1119" s="4" t="s">
        <v>20</v>
      </c>
      <c r="N1119" s="4">
        <v>7.5606250840690239E-2</v>
      </c>
      <c r="O1119" s="4">
        <v>0</v>
      </c>
    </row>
    <row r="1120" spans="1:15" x14ac:dyDescent="0.3">
      <c r="A1120" s="4">
        <v>169</v>
      </c>
      <c r="B1120" s="4">
        <v>169000</v>
      </c>
      <c r="C1120" s="4" t="s">
        <v>163</v>
      </c>
      <c r="D1120" s="4" t="s">
        <v>162</v>
      </c>
      <c r="E1120" s="4" t="s">
        <v>17</v>
      </c>
      <c r="F1120" s="4" t="s">
        <v>18</v>
      </c>
      <c r="G1120" s="5">
        <v>0.9</v>
      </c>
      <c r="H1120" s="5">
        <v>0.8</v>
      </c>
      <c r="I1120" s="5">
        <v>0.1166666666666667</v>
      </c>
      <c r="J1120" s="6">
        <v>0.41379310344827591</v>
      </c>
      <c r="K1120" s="6">
        <v>0.93374999999999975</v>
      </c>
      <c r="L1120" s="6">
        <v>0.52956324173068137</v>
      </c>
      <c r="M1120" s="4" t="s">
        <v>170</v>
      </c>
      <c r="N1120" s="4">
        <v>8.1083383740369067E-2</v>
      </c>
      <c r="O1120" s="4">
        <v>0</v>
      </c>
    </row>
    <row r="1121" spans="1:15" x14ac:dyDescent="0.3">
      <c r="A1121" s="4">
        <v>170</v>
      </c>
      <c r="B1121" s="4">
        <v>170000</v>
      </c>
      <c r="C1121" s="4" t="s">
        <v>163</v>
      </c>
      <c r="D1121" s="4" t="s">
        <v>162</v>
      </c>
      <c r="E1121" s="4" t="s">
        <v>17</v>
      </c>
      <c r="F1121" s="4" t="s">
        <v>18</v>
      </c>
      <c r="G1121" s="5">
        <v>0.9</v>
      </c>
      <c r="H1121" s="5">
        <v>0.8</v>
      </c>
      <c r="I1121" s="5">
        <v>0.1166666666666667</v>
      </c>
      <c r="J1121" s="6">
        <v>0.40677966101694918</v>
      </c>
      <c r="K1121" s="6">
        <v>0.93374999999999975</v>
      </c>
      <c r="L1121" s="6">
        <v>0.53240833738881932</v>
      </c>
      <c r="M1121" s="4" t="s">
        <v>27</v>
      </c>
      <c r="N1121" s="4">
        <v>8.3335438844810164E-2</v>
      </c>
      <c r="O1121" s="4">
        <v>0</v>
      </c>
    </row>
    <row r="1122" spans="1:15" x14ac:dyDescent="0.3">
      <c r="A1122" s="4">
        <v>171</v>
      </c>
      <c r="B1122" s="4">
        <v>171000</v>
      </c>
      <c r="C1122" s="4" t="s">
        <v>163</v>
      </c>
      <c r="D1122" s="4" t="s">
        <v>162</v>
      </c>
      <c r="E1122" s="4" t="s">
        <v>17</v>
      </c>
      <c r="F1122" s="4" t="s">
        <v>18</v>
      </c>
      <c r="G1122" s="5">
        <v>0.9</v>
      </c>
      <c r="H1122" s="5">
        <v>0.8</v>
      </c>
      <c r="I1122" s="5">
        <v>0.1166666666666667</v>
      </c>
      <c r="J1122" s="6">
        <v>0.38983050847457629</v>
      </c>
      <c r="K1122" s="6">
        <v>0.93478260869565188</v>
      </c>
      <c r="L1122" s="6">
        <v>0.52386535808758372</v>
      </c>
      <c r="M1122" s="4" t="s">
        <v>106</v>
      </c>
      <c r="N1122" s="4">
        <v>8.2251621134379782E-2</v>
      </c>
      <c r="O1122" s="4">
        <v>0</v>
      </c>
    </row>
    <row r="1123" spans="1:15" x14ac:dyDescent="0.3">
      <c r="A1123" s="4">
        <v>172</v>
      </c>
      <c r="B1123" s="4">
        <v>172000</v>
      </c>
      <c r="C1123" s="4" t="s">
        <v>163</v>
      </c>
      <c r="D1123" s="4" t="s">
        <v>162</v>
      </c>
      <c r="E1123" s="4" t="s">
        <v>17</v>
      </c>
      <c r="F1123" s="4" t="s">
        <v>18</v>
      </c>
      <c r="G1123" s="5">
        <v>0.9</v>
      </c>
      <c r="H1123" s="5">
        <v>0.8</v>
      </c>
      <c r="I1123" s="5">
        <v>0.1166666666666667</v>
      </c>
      <c r="J1123" s="6">
        <v>0.38333333333333341</v>
      </c>
      <c r="K1123" s="6">
        <v>0.9360869565217389</v>
      </c>
      <c r="L1123" s="6">
        <v>0.51792887058621151</v>
      </c>
      <c r="M1123" s="4" t="s">
        <v>106</v>
      </c>
      <c r="N1123" s="4">
        <v>8.1749797665465557E-2</v>
      </c>
      <c r="O1123" s="4">
        <v>0</v>
      </c>
    </row>
    <row r="1124" spans="1:15" x14ac:dyDescent="0.3">
      <c r="A1124" s="4">
        <v>173</v>
      </c>
      <c r="B1124" s="4">
        <v>173000</v>
      </c>
      <c r="C1124" s="4" t="s">
        <v>163</v>
      </c>
      <c r="D1124" s="4" t="s">
        <v>162</v>
      </c>
      <c r="E1124" s="4" t="s">
        <v>17</v>
      </c>
      <c r="F1124" s="4" t="s">
        <v>18</v>
      </c>
      <c r="G1124" s="5">
        <v>0.9</v>
      </c>
      <c r="H1124" s="5">
        <v>0.8</v>
      </c>
      <c r="I1124" s="5">
        <v>0.1166666666666667</v>
      </c>
      <c r="J1124" s="6">
        <v>0.38983050847457629</v>
      </c>
      <c r="K1124" s="6">
        <v>0.93565217391304312</v>
      </c>
      <c r="L1124" s="6">
        <v>0.51529366286562095</v>
      </c>
      <c r="M1124" s="4" t="s">
        <v>21</v>
      </c>
      <c r="N1124" s="4">
        <v>8.3966784490423357E-2</v>
      </c>
      <c r="O1124" s="4">
        <v>0</v>
      </c>
    </row>
    <row r="1125" spans="1:15" x14ac:dyDescent="0.3">
      <c r="A1125" s="4">
        <v>174</v>
      </c>
      <c r="B1125" s="4">
        <v>174000</v>
      </c>
      <c r="C1125" s="4" t="s">
        <v>163</v>
      </c>
      <c r="D1125" s="4" t="s">
        <v>162</v>
      </c>
      <c r="E1125" s="4" t="s">
        <v>17</v>
      </c>
      <c r="F1125" s="4" t="s">
        <v>18</v>
      </c>
      <c r="G1125" s="5">
        <v>0.9</v>
      </c>
      <c r="H1125" s="5">
        <v>0.8</v>
      </c>
      <c r="I1125" s="5">
        <v>0.1166666666666667</v>
      </c>
      <c r="J1125" s="6">
        <v>0.40677966101694918</v>
      </c>
      <c r="K1125" s="6">
        <v>0.93708333333333316</v>
      </c>
      <c r="L1125" s="6">
        <v>0.56852991570481048</v>
      </c>
      <c r="M1125" s="4" t="s">
        <v>97</v>
      </c>
      <c r="N1125" s="4">
        <v>8.6218935599776225E-2</v>
      </c>
      <c r="O1125" s="4">
        <v>0</v>
      </c>
    </row>
    <row r="1126" spans="1:15" x14ac:dyDescent="0.3">
      <c r="A1126" s="4">
        <v>175</v>
      </c>
      <c r="B1126" s="4">
        <v>175000</v>
      </c>
      <c r="C1126" s="4" t="s">
        <v>163</v>
      </c>
      <c r="D1126" s="4" t="s">
        <v>162</v>
      </c>
      <c r="E1126" s="4" t="s">
        <v>17</v>
      </c>
      <c r="F1126" s="4" t="s">
        <v>18</v>
      </c>
      <c r="G1126" s="5">
        <v>0.9</v>
      </c>
      <c r="H1126" s="5">
        <v>0.8</v>
      </c>
      <c r="I1126" s="5">
        <v>0.1166666666666667</v>
      </c>
      <c r="J1126" s="6">
        <v>0.42372881355932202</v>
      </c>
      <c r="K1126" s="6">
        <v>0.93599999999999961</v>
      </c>
      <c r="L1126" s="6">
        <v>0.56386144888429923</v>
      </c>
      <c r="M1126" s="4" t="s">
        <v>52</v>
      </c>
      <c r="N1126" s="4">
        <v>8.8130695480413968E-2</v>
      </c>
      <c r="O1126" s="4">
        <v>0</v>
      </c>
    </row>
    <row r="1127" spans="1:15" x14ac:dyDescent="0.3">
      <c r="A1127" s="4">
        <v>176</v>
      </c>
      <c r="B1127" s="4">
        <v>176000</v>
      </c>
      <c r="C1127" s="4" t="s">
        <v>163</v>
      </c>
      <c r="D1127" s="4" t="s">
        <v>162</v>
      </c>
      <c r="E1127" s="4" t="s">
        <v>17</v>
      </c>
      <c r="F1127" s="4" t="s">
        <v>18</v>
      </c>
      <c r="G1127" s="5">
        <v>0.9</v>
      </c>
      <c r="H1127" s="5">
        <v>0.8</v>
      </c>
      <c r="I1127" s="5">
        <v>0.1166666666666667</v>
      </c>
      <c r="J1127" s="6">
        <v>0.40350877192982448</v>
      </c>
      <c r="K1127" s="6">
        <v>0.93652173913043446</v>
      </c>
      <c r="L1127" s="6">
        <v>0.5230512551267269</v>
      </c>
      <c r="M1127" s="4" t="s">
        <v>22</v>
      </c>
      <c r="N1127" s="4">
        <v>9.4462023966602068E-2</v>
      </c>
      <c r="O1127" s="4">
        <v>0</v>
      </c>
    </row>
    <row r="1128" spans="1:15" x14ac:dyDescent="0.3">
      <c r="A1128" s="4">
        <v>177</v>
      </c>
      <c r="B1128" s="4">
        <v>177000</v>
      </c>
      <c r="C1128" s="4" t="s">
        <v>163</v>
      </c>
      <c r="D1128" s="4" t="s">
        <v>162</v>
      </c>
      <c r="E1128" s="4" t="s">
        <v>17</v>
      </c>
      <c r="F1128" s="4" t="s">
        <v>18</v>
      </c>
      <c r="G1128" s="5">
        <v>0.9</v>
      </c>
      <c r="H1128" s="5">
        <v>0.8</v>
      </c>
      <c r="I1128" s="5">
        <v>0.1166666666666667</v>
      </c>
      <c r="J1128" s="6">
        <v>0.38983050847457629</v>
      </c>
      <c r="K1128" s="6">
        <v>0.93695652173913013</v>
      </c>
      <c r="L1128" s="6">
        <v>0.52831448431886008</v>
      </c>
      <c r="M1128" s="4" t="s">
        <v>39</v>
      </c>
      <c r="N1128" s="4">
        <v>9.3231897149552809E-2</v>
      </c>
      <c r="O1128" s="4">
        <v>0</v>
      </c>
    </row>
    <row r="1129" spans="1:15" x14ac:dyDescent="0.3">
      <c r="A1129" s="4">
        <v>178</v>
      </c>
      <c r="B1129" s="4">
        <v>178000</v>
      </c>
      <c r="C1129" s="4" t="s">
        <v>163</v>
      </c>
      <c r="D1129" s="4" t="s">
        <v>162</v>
      </c>
      <c r="E1129" s="4" t="s">
        <v>17</v>
      </c>
      <c r="F1129" s="4" t="s">
        <v>18</v>
      </c>
      <c r="G1129" s="5">
        <v>0.9</v>
      </c>
      <c r="H1129" s="5">
        <v>0.8</v>
      </c>
      <c r="I1129" s="5">
        <v>0.1166666666666667</v>
      </c>
      <c r="J1129" s="6">
        <v>0.38983050847457629</v>
      </c>
      <c r="K1129" s="6">
        <v>0.93565217391304312</v>
      </c>
      <c r="L1129" s="6">
        <v>0.52689888191130951</v>
      </c>
      <c r="M1129" s="4" t="s">
        <v>129</v>
      </c>
      <c r="N1129" s="4">
        <v>9.6938616806762856E-2</v>
      </c>
      <c r="O1129" s="4">
        <v>0</v>
      </c>
    </row>
    <row r="1130" spans="1:15" x14ac:dyDescent="0.3">
      <c r="A1130" s="4">
        <v>179</v>
      </c>
      <c r="B1130" s="4">
        <v>179000</v>
      </c>
      <c r="C1130" s="4" t="s">
        <v>163</v>
      </c>
      <c r="D1130" s="4" t="s">
        <v>162</v>
      </c>
      <c r="E1130" s="4" t="s">
        <v>17</v>
      </c>
      <c r="F1130" s="4" t="s">
        <v>18</v>
      </c>
      <c r="G1130" s="5">
        <v>0.9</v>
      </c>
      <c r="H1130" s="5">
        <v>0.8</v>
      </c>
      <c r="I1130" s="5">
        <v>0.1166666666666667</v>
      </c>
      <c r="J1130" s="6">
        <v>0.39655172413793099</v>
      </c>
      <c r="K1130" s="6">
        <v>0.93565217391304312</v>
      </c>
      <c r="L1130" s="6">
        <v>0.53015198608011282</v>
      </c>
      <c r="M1130" s="4" t="s">
        <v>129</v>
      </c>
      <c r="N1130" s="4">
        <v>9.6629615989375084E-2</v>
      </c>
      <c r="O1130" s="4">
        <v>0</v>
      </c>
    </row>
    <row r="1131" spans="1:15" x14ac:dyDescent="0.3">
      <c r="A1131" s="4">
        <v>180</v>
      </c>
      <c r="B1131" s="4">
        <v>180000</v>
      </c>
      <c r="C1131" s="4" t="s">
        <v>163</v>
      </c>
      <c r="D1131" s="4" t="s">
        <v>162</v>
      </c>
      <c r="E1131" s="4" t="s">
        <v>17</v>
      </c>
      <c r="F1131" s="4" t="s">
        <v>18</v>
      </c>
      <c r="G1131" s="5">
        <v>0.9</v>
      </c>
      <c r="H1131" s="5">
        <v>0.8</v>
      </c>
      <c r="I1131" s="5">
        <v>0.1166666666666667</v>
      </c>
      <c r="J1131" s="6">
        <v>0.37931034482758619</v>
      </c>
      <c r="K1131" s="6">
        <v>0.93454545454545435</v>
      </c>
      <c r="L1131" s="6">
        <v>0.6727692223678462</v>
      </c>
      <c r="M1131" s="4" t="s">
        <v>28</v>
      </c>
      <c r="N1131" s="4">
        <v>0.1007649588503453</v>
      </c>
      <c r="O1131" s="4">
        <v>0</v>
      </c>
    </row>
    <row r="1132" spans="1:15" x14ac:dyDescent="0.3">
      <c r="A1132" s="4">
        <v>181</v>
      </c>
      <c r="B1132" s="4">
        <v>181000</v>
      </c>
      <c r="C1132" s="4" t="s">
        <v>163</v>
      </c>
      <c r="D1132" s="4" t="s">
        <v>162</v>
      </c>
      <c r="E1132" s="4" t="s">
        <v>17</v>
      </c>
      <c r="F1132" s="4" t="s">
        <v>18</v>
      </c>
      <c r="G1132" s="5">
        <v>0.9</v>
      </c>
      <c r="H1132" s="5">
        <v>0.8</v>
      </c>
      <c r="I1132" s="5">
        <v>0.1166666666666667</v>
      </c>
      <c r="J1132" s="6">
        <v>0.39285714285714279</v>
      </c>
      <c r="K1132" s="6">
        <v>0.93454545454545435</v>
      </c>
      <c r="L1132" s="6">
        <v>0.66267388464697874</v>
      </c>
      <c r="M1132" s="4" t="s">
        <v>93</v>
      </c>
      <c r="N1132" s="4">
        <v>0.1054950592344774</v>
      </c>
      <c r="O1132" s="4">
        <v>0</v>
      </c>
    </row>
    <row r="1133" spans="1:15" x14ac:dyDescent="0.3">
      <c r="A1133" s="4">
        <v>182</v>
      </c>
      <c r="B1133" s="4">
        <v>182000</v>
      </c>
      <c r="C1133" s="4" t="s">
        <v>163</v>
      </c>
      <c r="D1133" s="4" t="s">
        <v>162</v>
      </c>
      <c r="E1133" s="4" t="s">
        <v>17</v>
      </c>
      <c r="F1133" s="4" t="s">
        <v>18</v>
      </c>
      <c r="G1133" s="5">
        <v>0.9</v>
      </c>
      <c r="H1133" s="5">
        <v>0.8</v>
      </c>
      <c r="I1133" s="5">
        <v>0.1166666666666667</v>
      </c>
      <c r="J1133" s="6">
        <v>0.39285714285714279</v>
      </c>
      <c r="K1133" s="6">
        <v>0.93363636363636349</v>
      </c>
      <c r="L1133" s="6">
        <v>0.54417730357905958</v>
      </c>
      <c r="M1133" s="4" t="s">
        <v>103</v>
      </c>
      <c r="N1133" s="4">
        <v>0.10926606726245799</v>
      </c>
      <c r="O1133" s="4">
        <v>0</v>
      </c>
    </row>
    <row r="1134" spans="1:15" x14ac:dyDescent="0.3">
      <c r="A1134" s="4">
        <v>183</v>
      </c>
      <c r="B1134" s="4">
        <v>183000</v>
      </c>
      <c r="C1134" s="4" t="s">
        <v>163</v>
      </c>
      <c r="D1134" s="4" t="s">
        <v>162</v>
      </c>
      <c r="E1134" s="4" t="s">
        <v>17</v>
      </c>
      <c r="F1134" s="4" t="s">
        <v>18</v>
      </c>
      <c r="G1134" s="5">
        <v>0.9</v>
      </c>
      <c r="H1134" s="5">
        <v>0.8</v>
      </c>
      <c r="I1134" s="5">
        <v>0.1166666666666667</v>
      </c>
      <c r="J1134" s="6">
        <v>0.37931034482758619</v>
      </c>
      <c r="K1134" s="6">
        <v>0.93272727272727252</v>
      </c>
      <c r="L1134" s="6">
        <v>0.67070118992901284</v>
      </c>
      <c r="M1134" s="4" t="s">
        <v>103</v>
      </c>
      <c r="N1134" s="4">
        <v>0.1094739542092984</v>
      </c>
      <c r="O1134" s="4">
        <v>0</v>
      </c>
    </row>
    <row r="1135" spans="1:15" x14ac:dyDescent="0.3">
      <c r="A1135" s="4">
        <v>184</v>
      </c>
      <c r="B1135" s="4">
        <v>184000</v>
      </c>
      <c r="C1135" s="4" t="s">
        <v>163</v>
      </c>
      <c r="D1135" s="4" t="s">
        <v>162</v>
      </c>
      <c r="E1135" s="4" t="s">
        <v>17</v>
      </c>
      <c r="F1135" s="4" t="s">
        <v>18</v>
      </c>
      <c r="G1135" s="5">
        <v>0.9</v>
      </c>
      <c r="H1135" s="5">
        <v>0.8</v>
      </c>
      <c r="I1135" s="5">
        <v>0.1166666666666667</v>
      </c>
      <c r="J1135" s="6">
        <v>0.38596491228070168</v>
      </c>
      <c r="K1135" s="6">
        <v>0.93272727272727252</v>
      </c>
      <c r="L1135" s="6">
        <v>0.67421124828532231</v>
      </c>
      <c r="M1135" s="4" t="s">
        <v>63</v>
      </c>
      <c r="N1135" s="4">
        <v>0.1114041981899738</v>
      </c>
      <c r="O1135" s="4">
        <v>0</v>
      </c>
    </row>
    <row r="1136" spans="1:15" x14ac:dyDescent="0.3">
      <c r="A1136" s="4">
        <v>185</v>
      </c>
      <c r="B1136" s="4">
        <v>185000</v>
      </c>
      <c r="C1136" s="4" t="s">
        <v>163</v>
      </c>
      <c r="D1136" s="4" t="s">
        <v>162</v>
      </c>
      <c r="E1136" s="4" t="s">
        <v>17</v>
      </c>
      <c r="F1136" s="4" t="s">
        <v>18</v>
      </c>
      <c r="G1136" s="5">
        <v>0.9</v>
      </c>
      <c r="H1136" s="5">
        <v>0.60000000000000009</v>
      </c>
      <c r="I1136" s="5">
        <v>0.1166666666666667</v>
      </c>
      <c r="J1136" s="6">
        <v>0.375</v>
      </c>
      <c r="K1136" s="6">
        <v>0.93380952380952364</v>
      </c>
      <c r="L1136" s="6">
        <v>0.66499092305543916</v>
      </c>
      <c r="M1136" s="4" t="s">
        <v>19</v>
      </c>
      <c r="N1136" s="4">
        <v>1</v>
      </c>
      <c r="O1136" s="4">
        <v>1</v>
      </c>
    </row>
    <row r="1137" spans="1:15" x14ac:dyDescent="0.3">
      <c r="A1137" s="4">
        <v>186</v>
      </c>
      <c r="B1137" s="4">
        <v>186000</v>
      </c>
      <c r="C1137" s="4" t="s">
        <v>163</v>
      </c>
      <c r="D1137" s="4" t="s">
        <v>162</v>
      </c>
      <c r="E1137" s="4" t="s">
        <v>17</v>
      </c>
      <c r="F1137" s="4" t="s">
        <v>18</v>
      </c>
      <c r="G1137" s="5">
        <v>0.9</v>
      </c>
      <c r="H1137" s="5">
        <v>0.60000000000000009</v>
      </c>
      <c r="I1137" s="5">
        <v>0.1166666666666667</v>
      </c>
      <c r="J1137" s="6">
        <v>0.39285714285714279</v>
      </c>
      <c r="K1137" s="6">
        <v>0.93227272727272703</v>
      </c>
      <c r="L1137" s="6">
        <v>0.67206790123456794</v>
      </c>
      <c r="M1137" s="4" t="s">
        <v>196</v>
      </c>
      <c r="N1137" s="4">
        <v>1.850863906893294E-2</v>
      </c>
      <c r="O1137" s="4">
        <v>0</v>
      </c>
    </row>
    <row r="1138" spans="1:15" x14ac:dyDescent="0.3">
      <c r="A1138" s="4">
        <v>187</v>
      </c>
      <c r="B1138" s="4">
        <v>187000</v>
      </c>
      <c r="C1138" s="4" t="s">
        <v>163</v>
      </c>
      <c r="D1138" s="4" t="s">
        <v>162</v>
      </c>
      <c r="E1138" s="4" t="s">
        <v>17</v>
      </c>
      <c r="F1138" s="4" t="s">
        <v>18</v>
      </c>
      <c r="G1138" s="5">
        <v>0.9</v>
      </c>
      <c r="H1138" s="5">
        <v>0.60000000000000009</v>
      </c>
      <c r="I1138" s="5">
        <v>0.1166666666666667</v>
      </c>
      <c r="J1138" s="6">
        <v>0.38181818181818178</v>
      </c>
      <c r="K1138" s="6">
        <v>0.93238095238095231</v>
      </c>
      <c r="L1138" s="6">
        <v>0.67127080534584638</v>
      </c>
      <c r="M1138" s="4" t="s">
        <v>197</v>
      </c>
      <c r="N1138" s="4">
        <v>3.1461574628687657E-2</v>
      </c>
      <c r="O1138" s="4">
        <v>0</v>
      </c>
    </row>
    <row r="1139" spans="1:15" x14ac:dyDescent="0.3">
      <c r="A1139" s="4">
        <v>188</v>
      </c>
      <c r="B1139" s="4">
        <v>188000</v>
      </c>
      <c r="C1139" s="4" t="s">
        <v>163</v>
      </c>
      <c r="D1139" s="4" t="s">
        <v>162</v>
      </c>
      <c r="E1139" s="4" t="s">
        <v>17</v>
      </c>
      <c r="F1139" s="4" t="s">
        <v>18</v>
      </c>
      <c r="G1139" s="5">
        <v>0.9</v>
      </c>
      <c r="H1139" s="5">
        <v>0.60000000000000009</v>
      </c>
      <c r="I1139" s="5">
        <v>0.1166666666666667</v>
      </c>
      <c r="J1139" s="6">
        <v>0.38181818181818178</v>
      </c>
      <c r="K1139" s="6">
        <v>0.93285714285714283</v>
      </c>
      <c r="L1139" s="6">
        <v>0.67174136161477926</v>
      </c>
      <c r="M1139" s="4" t="s">
        <v>179</v>
      </c>
      <c r="N1139" s="4">
        <v>3.6570744711483603E-2</v>
      </c>
      <c r="O1139" s="4">
        <v>0</v>
      </c>
    </row>
    <row r="1140" spans="1:15" x14ac:dyDescent="0.3">
      <c r="A1140" s="4">
        <v>189</v>
      </c>
      <c r="B1140" s="4">
        <v>189000</v>
      </c>
      <c r="C1140" s="4" t="s">
        <v>163</v>
      </c>
      <c r="D1140" s="4" t="s">
        <v>162</v>
      </c>
      <c r="E1140" s="4" t="s">
        <v>17</v>
      </c>
      <c r="F1140" s="4" t="s">
        <v>18</v>
      </c>
      <c r="G1140" s="5">
        <v>0.9</v>
      </c>
      <c r="H1140" s="5">
        <v>0.60000000000000009</v>
      </c>
      <c r="I1140" s="5">
        <v>0.1166666666666667</v>
      </c>
      <c r="J1140" s="6">
        <v>0.37931034482758619</v>
      </c>
      <c r="K1140" s="6">
        <v>0.9309090909090908</v>
      </c>
      <c r="L1140" s="6">
        <v>0.67249881823872848</v>
      </c>
      <c r="M1140" s="4" t="s">
        <v>181</v>
      </c>
      <c r="N1140" s="4">
        <v>4.6334408275461862E-2</v>
      </c>
      <c r="O1140" s="4">
        <v>0</v>
      </c>
    </row>
    <row r="1141" spans="1:15" x14ac:dyDescent="0.3">
      <c r="A1141" s="4">
        <v>190</v>
      </c>
      <c r="B1141" s="4">
        <v>190000</v>
      </c>
      <c r="C1141" s="4" t="s">
        <v>163</v>
      </c>
      <c r="D1141" s="4" t="s">
        <v>162</v>
      </c>
      <c r="E1141" s="4" t="s">
        <v>17</v>
      </c>
      <c r="F1141" s="4" t="s">
        <v>18</v>
      </c>
      <c r="G1141" s="5">
        <v>0.9</v>
      </c>
      <c r="H1141" s="5">
        <v>0.60000000000000009</v>
      </c>
      <c r="I1141" s="5">
        <v>0.1166666666666667</v>
      </c>
      <c r="J1141" s="6">
        <v>0.37931034482758619</v>
      </c>
      <c r="K1141" s="6">
        <v>0.9309090909090908</v>
      </c>
      <c r="L1141" s="6">
        <v>0.67044131383312211</v>
      </c>
      <c r="M1141" s="4" t="s">
        <v>192</v>
      </c>
      <c r="N1141" s="4">
        <v>4.7468340818325253E-2</v>
      </c>
      <c r="O1141" s="4">
        <v>0</v>
      </c>
    </row>
    <row r="1142" spans="1:15" x14ac:dyDescent="0.3">
      <c r="A1142" s="4">
        <v>191</v>
      </c>
      <c r="B1142" s="4">
        <v>191000</v>
      </c>
      <c r="C1142" s="4" t="s">
        <v>163</v>
      </c>
      <c r="D1142" s="4" t="s">
        <v>162</v>
      </c>
      <c r="E1142" s="4" t="s">
        <v>17</v>
      </c>
      <c r="F1142" s="4" t="s">
        <v>18</v>
      </c>
      <c r="G1142" s="5">
        <v>0.9</v>
      </c>
      <c r="H1142" s="5">
        <v>0.60000000000000009</v>
      </c>
      <c r="I1142" s="5">
        <v>0.1166666666666667</v>
      </c>
      <c r="J1142" s="6">
        <v>0.37931034482758619</v>
      </c>
      <c r="K1142" s="6">
        <v>0.93090909090909058</v>
      </c>
      <c r="L1142" s="6">
        <v>0.67001495778649789</v>
      </c>
      <c r="M1142" s="4" t="s">
        <v>198</v>
      </c>
      <c r="N1142" s="4">
        <v>5.0444707475372177E-2</v>
      </c>
      <c r="O1142" s="4">
        <v>0</v>
      </c>
    </row>
    <row r="1143" spans="1:15" x14ac:dyDescent="0.3">
      <c r="A1143" s="4">
        <v>192</v>
      </c>
      <c r="B1143" s="4">
        <v>192000</v>
      </c>
      <c r="C1143" s="4" t="s">
        <v>163</v>
      </c>
      <c r="D1143" s="4" t="s">
        <v>162</v>
      </c>
      <c r="E1143" s="4" t="s">
        <v>17</v>
      </c>
      <c r="F1143" s="4" t="s">
        <v>18</v>
      </c>
      <c r="G1143" s="5">
        <v>0.9</v>
      </c>
      <c r="H1143" s="5">
        <v>0.60000000000000009</v>
      </c>
      <c r="I1143" s="5">
        <v>0.1166666666666667</v>
      </c>
      <c r="J1143" s="6">
        <v>0.3728813559322034</v>
      </c>
      <c r="K1143" s="6">
        <v>0.92999999999999972</v>
      </c>
      <c r="L1143" s="6">
        <v>0.67601351351351358</v>
      </c>
      <c r="M1143" s="4" t="s">
        <v>164</v>
      </c>
      <c r="N1143" s="4">
        <v>5.3191711696934513E-2</v>
      </c>
      <c r="O1143" s="4">
        <v>0</v>
      </c>
    </row>
    <row r="1144" spans="1:15" x14ac:dyDescent="0.3">
      <c r="A1144" s="4">
        <v>193</v>
      </c>
      <c r="B1144" s="4">
        <v>193000</v>
      </c>
      <c r="C1144" s="4" t="s">
        <v>163</v>
      </c>
      <c r="D1144" s="4" t="s">
        <v>162</v>
      </c>
      <c r="E1144" s="4" t="s">
        <v>17</v>
      </c>
      <c r="F1144" s="4" t="s">
        <v>18</v>
      </c>
      <c r="G1144" s="5">
        <v>0.9</v>
      </c>
      <c r="H1144" s="5">
        <v>0.60000000000000009</v>
      </c>
      <c r="I1144" s="5">
        <v>0.1166666666666667</v>
      </c>
      <c r="J1144" s="6">
        <v>0.38333333333333341</v>
      </c>
      <c r="K1144" s="6">
        <v>0.92956521739130404</v>
      </c>
      <c r="L1144" s="6">
        <v>0.76107538905973349</v>
      </c>
      <c r="M1144" s="4" t="s">
        <v>44</v>
      </c>
      <c r="N1144" s="4">
        <v>6.3279738145263789E-2</v>
      </c>
      <c r="O1144" s="4">
        <v>0</v>
      </c>
    </row>
    <row r="1145" spans="1:15" x14ac:dyDescent="0.3">
      <c r="A1145" s="4">
        <v>194</v>
      </c>
      <c r="B1145" s="4">
        <v>194000</v>
      </c>
      <c r="C1145" s="4" t="s">
        <v>163</v>
      </c>
      <c r="D1145" s="4" t="s">
        <v>162</v>
      </c>
      <c r="E1145" s="4" t="s">
        <v>17</v>
      </c>
      <c r="F1145" s="4" t="s">
        <v>18</v>
      </c>
      <c r="G1145" s="5">
        <v>0.9</v>
      </c>
      <c r="H1145" s="5">
        <v>0.60000000000000009</v>
      </c>
      <c r="I1145" s="5">
        <v>0.1166666666666667</v>
      </c>
      <c r="J1145" s="6">
        <v>0.39344262295081972</v>
      </c>
      <c r="K1145" s="6">
        <v>0.88958333333333306</v>
      </c>
      <c r="L1145" s="6">
        <v>0.70840629806160349</v>
      </c>
      <c r="M1145" s="4" t="s">
        <v>187</v>
      </c>
      <c r="N1145" s="4">
        <v>6.7834611732428954E-2</v>
      </c>
      <c r="O1145" s="4">
        <v>0</v>
      </c>
    </row>
    <row r="1146" spans="1:15" x14ac:dyDescent="0.3">
      <c r="A1146" s="4">
        <v>195</v>
      </c>
      <c r="B1146" s="4">
        <v>195000</v>
      </c>
      <c r="C1146" s="4" t="s">
        <v>163</v>
      </c>
      <c r="D1146" s="4" t="s">
        <v>162</v>
      </c>
      <c r="E1146" s="4" t="s">
        <v>17</v>
      </c>
      <c r="F1146" s="4" t="s">
        <v>18</v>
      </c>
      <c r="G1146" s="5">
        <v>0.9</v>
      </c>
      <c r="H1146" s="5">
        <v>0.8</v>
      </c>
      <c r="I1146" s="5">
        <v>0.18333333333333329</v>
      </c>
      <c r="J1146" s="6">
        <v>0.34426229508196721</v>
      </c>
      <c r="K1146" s="6">
        <v>0.9280952380952382</v>
      </c>
      <c r="L1146" s="6">
        <v>0.68696330991412957</v>
      </c>
      <c r="M1146" s="4" t="s">
        <v>19</v>
      </c>
      <c r="N1146" s="4">
        <v>1</v>
      </c>
      <c r="O1146" s="4">
        <v>1</v>
      </c>
    </row>
    <row r="1147" spans="1:15" x14ac:dyDescent="0.3">
      <c r="A1147" s="4">
        <v>196</v>
      </c>
      <c r="B1147" s="4">
        <v>196000</v>
      </c>
      <c r="C1147" s="4" t="s">
        <v>163</v>
      </c>
      <c r="D1147" s="4" t="s">
        <v>162</v>
      </c>
      <c r="E1147" s="4" t="s">
        <v>17</v>
      </c>
      <c r="F1147" s="4" t="s">
        <v>18</v>
      </c>
      <c r="G1147" s="5">
        <v>0.9</v>
      </c>
      <c r="H1147" s="5">
        <v>0.8</v>
      </c>
      <c r="I1147" s="5">
        <v>0.18333333333333329</v>
      </c>
      <c r="J1147" s="6">
        <v>0.34426229508196721</v>
      </c>
      <c r="K1147" s="6">
        <v>0.9285714285714286</v>
      </c>
      <c r="L1147" s="6">
        <v>0.68525861962470191</v>
      </c>
      <c r="M1147" s="4" t="s">
        <v>199</v>
      </c>
      <c r="N1147" s="4">
        <v>8.7880870027270616E-3</v>
      </c>
      <c r="O1147" s="4">
        <v>0</v>
      </c>
    </row>
    <row r="1148" spans="1:15" x14ac:dyDescent="0.3">
      <c r="A1148" s="4">
        <v>197</v>
      </c>
      <c r="B1148" s="4">
        <v>197000</v>
      </c>
      <c r="C1148" s="4" t="s">
        <v>163</v>
      </c>
      <c r="D1148" s="4" t="s">
        <v>162</v>
      </c>
      <c r="E1148" s="4" t="s">
        <v>17</v>
      </c>
      <c r="F1148" s="4" t="s">
        <v>18</v>
      </c>
      <c r="G1148" s="5">
        <v>0.9</v>
      </c>
      <c r="H1148" s="5">
        <v>0.8</v>
      </c>
      <c r="I1148" s="5">
        <v>0.18333333333333329</v>
      </c>
      <c r="J1148" s="6">
        <v>0.32786885245901642</v>
      </c>
      <c r="K1148" s="6">
        <v>0.97549999999999992</v>
      </c>
      <c r="L1148" s="6">
        <v>0.68388097641209666</v>
      </c>
      <c r="M1148" s="4" t="s">
        <v>200</v>
      </c>
      <c r="N1148" s="4">
        <v>1.410740841709239E-2</v>
      </c>
      <c r="O1148" s="4">
        <v>0</v>
      </c>
    </row>
    <row r="1149" spans="1:15" x14ac:dyDescent="0.3">
      <c r="A1149" s="4">
        <v>198</v>
      </c>
      <c r="B1149" s="4">
        <v>198000</v>
      </c>
      <c r="C1149" s="4" t="s">
        <v>163</v>
      </c>
      <c r="D1149" s="4" t="s">
        <v>162</v>
      </c>
      <c r="E1149" s="4" t="s">
        <v>17</v>
      </c>
      <c r="F1149" s="4" t="s">
        <v>18</v>
      </c>
      <c r="G1149" s="5">
        <v>0.9</v>
      </c>
      <c r="H1149" s="5">
        <v>0.8</v>
      </c>
      <c r="I1149" s="5">
        <v>0.18333333333333329</v>
      </c>
      <c r="J1149" s="6">
        <v>0.33333333333333331</v>
      </c>
      <c r="K1149" s="6">
        <v>0.97599999999999976</v>
      </c>
      <c r="L1149" s="6">
        <v>0.68325363618250645</v>
      </c>
      <c r="M1149" s="4" t="s">
        <v>166</v>
      </c>
      <c r="N1149" s="4">
        <v>1.9923206962817529E-2</v>
      </c>
      <c r="O1149" s="4">
        <v>0</v>
      </c>
    </row>
    <row r="1150" spans="1:15" x14ac:dyDescent="0.3">
      <c r="A1150" s="4">
        <v>199</v>
      </c>
      <c r="B1150" s="4">
        <v>199000</v>
      </c>
      <c r="C1150" s="4" t="s">
        <v>163</v>
      </c>
      <c r="D1150" s="4" t="s">
        <v>162</v>
      </c>
      <c r="E1150" s="4" t="s">
        <v>17</v>
      </c>
      <c r="F1150" s="4" t="s">
        <v>18</v>
      </c>
      <c r="G1150" s="5">
        <v>0.9</v>
      </c>
      <c r="H1150" s="5">
        <v>0.8</v>
      </c>
      <c r="I1150" s="5">
        <v>0.18333333333333329</v>
      </c>
      <c r="J1150" s="6">
        <v>0.33333333333333331</v>
      </c>
      <c r="K1150" s="6">
        <v>0.97499999999999998</v>
      </c>
      <c r="L1150" s="6">
        <v>0.68806430301695665</v>
      </c>
      <c r="M1150" s="4" t="s">
        <v>201</v>
      </c>
      <c r="N1150" s="4">
        <v>2.228693164863935E-2</v>
      </c>
      <c r="O1150" s="4">
        <v>0</v>
      </c>
    </row>
    <row r="1151" spans="1:15" x14ac:dyDescent="0.3">
      <c r="A1151" s="4">
        <v>200</v>
      </c>
      <c r="B1151" s="4">
        <v>200000</v>
      </c>
      <c r="C1151" s="4" t="s">
        <v>163</v>
      </c>
      <c r="D1151" s="4" t="s">
        <v>162</v>
      </c>
      <c r="E1151" s="4" t="s">
        <v>17</v>
      </c>
      <c r="F1151" s="4" t="s">
        <v>18</v>
      </c>
      <c r="G1151" s="5">
        <v>0.9</v>
      </c>
      <c r="H1151" s="5">
        <v>0.8</v>
      </c>
      <c r="I1151" s="5">
        <v>0.18333333333333329</v>
      </c>
      <c r="J1151" s="6">
        <v>0.33333333333333331</v>
      </c>
      <c r="K1151" s="6">
        <v>0.97399999999999998</v>
      </c>
      <c r="L1151" s="6">
        <v>0.68981868898186882</v>
      </c>
      <c r="M1151" s="4" t="s">
        <v>202</v>
      </c>
      <c r="N1151" s="4">
        <v>2.293290040957353E-2</v>
      </c>
      <c r="O1151" s="4">
        <v>0</v>
      </c>
    </row>
    <row r="1152" spans="1:15" x14ac:dyDescent="0.3">
      <c r="A1152" s="4">
        <v>201</v>
      </c>
      <c r="B1152" s="4">
        <v>201000</v>
      </c>
      <c r="C1152" s="4" t="s">
        <v>163</v>
      </c>
      <c r="D1152" s="4" t="s">
        <v>162</v>
      </c>
      <c r="E1152" s="4" t="s">
        <v>17</v>
      </c>
      <c r="F1152" s="4" t="s">
        <v>18</v>
      </c>
      <c r="G1152" s="5">
        <v>0.9</v>
      </c>
      <c r="H1152" s="5">
        <v>0.8</v>
      </c>
      <c r="I1152" s="5">
        <v>0.18333333333333329</v>
      </c>
      <c r="J1152" s="6">
        <v>0.32258064516129031</v>
      </c>
      <c r="K1152" s="6">
        <v>0.97399999999999998</v>
      </c>
      <c r="L1152" s="6">
        <v>0.69157321486152412</v>
      </c>
      <c r="M1152" s="4" t="s">
        <v>19</v>
      </c>
      <c r="N1152" s="4">
        <v>1</v>
      </c>
      <c r="O1152" s="4">
        <v>1</v>
      </c>
    </row>
    <row r="1153" spans="1:15" x14ac:dyDescent="0.3">
      <c r="A1153" s="4">
        <v>202</v>
      </c>
      <c r="B1153" s="4">
        <v>202000</v>
      </c>
      <c r="C1153" s="4" t="s">
        <v>163</v>
      </c>
      <c r="D1153" s="4" t="s">
        <v>162</v>
      </c>
      <c r="E1153" s="4" t="s">
        <v>17</v>
      </c>
      <c r="F1153" s="4" t="s">
        <v>18</v>
      </c>
      <c r="G1153" s="5">
        <v>0.9</v>
      </c>
      <c r="H1153" s="5">
        <v>0.8</v>
      </c>
      <c r="I1153" s="5">
        <v>0.18333333333333329</v>
      </c>
      <c r="J1153" s="6">
        <v>0.31746031746031739</v>
      </c>
      <c r="K1153" s="6">
        <v>0.97350000000000014</v>
      </c>
      <c r="L1153" s="6">
        <v>0.69483887932683119</v>
      </c>
      <c r="M1153" s="4" t="s">
        <v>177</v>
      </c>
      <c r="N1153" s="4">
        <v>1.6611543044852441E-2</v>
      </c>
      <c r="O1153" s="4">
        <v>0</v>
      </c>
    </row>
    <row r="1154" spans="1:15" x14ac:dyDescent="0.3">
      <c r="A1154" s="4">
        <v>203</v>
      </c>
      <c r="B1154" s="4">
        <v>203000</v>
      </c>
      <c r="C1154" s="4" t="s">
        <v>163</v>
      </c>
      <c r="D1154" s="4" t="s">
        <v>162</v>
      </c>
      <c r="E1154" s="4" t="s">
        <v>17</v>
      </c>
      <c r="F1154" s="4" t="s">
        <v>18</v>
      </c>
      <c r="G1154" s="5">
        <v>0.9</v>
      </c>
      <c r="H1154" s="5">
        <v>0.8</v>
      </c>
      <c r="I1154" s="5">
        <v>0.18333333333333329</v>
      </c>
      <c r="J1154" s="6">
        <v>0.31746031746031739</v>
      </c>
      <c r="K1154" s="6">
        <v>0.97399999999999998</v>
      </c>
      <c r="L1154" s="6">
        <v>0.69280443349462661</v>
      </c>
      <c r="M1154" s="4" t="s">
        <v>166</v>
      </c>
      <c r="N1154" s="4">
        <v>1.9976569712556701E-2</v>
      </c>
      <c r="O1154" s="4">
        <v>0</v>
      </c>
    </row>
    <row r="1155" spans="1:15" x14ac:dyDescent="0.3">
      <c r="A1155" s="4">
        <v>204</v>
      </c>
      <c r="B1155" s="4">
        <v>204000</v>
      </c>
      <c r="C1155" s="4" t="s">
        <v>163</v>
      </c>
      <c r="D1155" s="4" t="s">
        <v>162</v>
      </c>
      <c r="E1155" s="4" t="s">
        <v>17</v>
      </c>
      <c r="F1155" s="4" t="s">
        <v>18</v>
      </c>
      <c r="G1155" s="5">
        <v>0.9</v>
      </c>
      <c r="H1155" s="5">
        <v>0.8</v>
      </c>
      <c r="I1155" s="5">
        <v>0.18333333333333329</v>
      </c>
      <c r="J1155" s="6">
        <v>0.31746031746031739</v>
      </c>
      <c r="K1155" s="6">
        <v>0.97399999999999998</v>
      </c>
      <c r="L1155" s="6">
        <v>0.69010775481363718</v>
      </c>
      <c r="M1155" s="4" t="s">
        <v>201</v>
      </c>
      <c r="N1155" s="4">
        <v>2.20077912041854E-2</v>
      </c>
      <c r="O1155" s="4">
        <v>0</v>
      </c>
    </row>
    <row r="1156" spans="1:15" x14ac:dyDescent="0.3">
      <c r="A1156" s="4">
        <v>205</v>
      </c>
      <c r="B1156" s="4">
        <v>205000</v>
      </c>
      <c r="C1156" s="4" t="s">
        <v>163</v>
      </c>
      <c r="D1156" s="4" t="s">
        <v>162</v>
      </c>
      <c r="E1156" s="4" t="s">
        <v>17</v>
      </c>
      <c r="F1156" s="4" t="s">
        <v>18</v>
      </c>
      <c r="G1156" s="5">
        <v>0.9</v>
      </c>
      <c r="H1156" s="5">
        <v>0.8</v>
      </c>
      <c r="I1156" s="5">
        <v>0.18333333333333329</v>
      </c>
      <c r="J1156" s="6">
        <v>0.30645161290322581</v>
      </c>
      <c r="K1156" s="6">
        <v>0.97789473684210537</v>
      </c>
      <c r="L1156" s="6">
        <v>0.69586132821426938</v>
      </c>
      <c r="M1156" s="4" t="s">
        <v>197</v>
      </c>
      <c r="N1156" s="4">
        <v>3.0809012521178871E-2</v>
      </c>
      <c r="O1156" s="4">
        <v>0</v>
      </c>
    </row>
    <row r="1157" spans="1:15" x14ac:dyDescent="0.3">
      <c r="A1157" s="4">
        <v>206</v>
      </c>
      <c r="B1157" s="4">
        <v>206000</v>
      </c>
      <c r="C1157" s="4" t="s">
        <v>163</v>
      </c>
      <c r="D1157" s="4" t="s">
        <v>162</v>
      </c>
      <c r="E1157" s="4" t="s">
        <v>17</v>
      </c>
      <c r="F1157" s="4" t="s">
        <v>18</v>
      </c>
      <c r="G1157" s="5">
        <v>0.9</v>
      </c>
      <c r="H1157" s="5">
        <v>0.8</v>
      </c>
      <c r="I1157" s="5">
        <v>0.18333333333333329</v>
      </c>
      <c r="J1157" s="6">
        <v>0.30158730158730163</v>
      </c>
      <c r="K1157" s="6">
        <v>0.97842105263157897</v>
      </c>
      <c r="L1157" s="6">
        <v>0.69826432896775092</v>
      </c>
      <c r="M1157" s="4" t="s">
        <v>203</v>
      </c>
      <c r="N1157" s="4">
        <v>3.4989312279448202E-2</v>
      </c>
      <c r="O1157" s="4">
        <v>0</v>
      </c>
    </row>
    <row r="1158" spans="1:15" x14ac:dyDescent="0.3">
      <c r="A1158" s="4">
        <v>207</v>
      </c>
      <c r="B1158" s="4">
        <v>207000</v>
      </c>
      <c r="C1158" s="4" t="s">
        <v>163</v>
      </c>
      <c r="D1158" s="4" t="s">
        <v>162</v>
      </c>
      <c r="E1158" s="4" t="s">
        <v>17</v>
      </c>
      <c r="F1158" s="4" t="s">
        <v>18</v>
      </c>
      <c r="G1158" s="5">
        <v>0.9</v>
      </c>
      <c r="H1158" s="5">
        <v>0.8</v>
      </c>
      <c r="I1158" s="5">
        <v>0.18333333333333329</v>
      </c>
      <c r="J1158" s="6">
        <v>0.31746031746031739</v>
      </c>
      <c r="K1158" s="6">
        <v>0.97399999999999998</v>
      </c>
      <c r="L1158" s="6">
        <v>0.6981912144702842</v>
      </c>
      <c r="M1158" s="4" t="s">
        <v>179</v>
      </c>
      <c r="N1158" s="4">
        <v>3.7078760767733039E-2</v>
      </c>
      <c r="O1158" s="4">
        <v>0</v>
      </c>
    </row>
    <row r="1159" spans="1:15" x14ac:dyDescent="0.3">
      <c r="A1159" s="4">
        <v>208</v>
      </c>
      <c r="B1159" s="4">
        <v>208000</v>
      </c>
      <c r="C1159" s="4" t="s">
        <v>163</v>
      </c>
      <c r="D1159" s="4" t="s">
        <v>162</v>
      </c>
      <c r="E1159" s="4" t="s">
        <v>17</v>
      </c>
      <c r="F1159" s="4" t="s">
        <v>18</v>
      </c>
      <c r="G1159" s="5">
        <v>0.9</v>
      </c>
      <c r="H1159" s="5">
        <v>0.8</v>
      </c>
      <c r="I1159" s="5">
        <v>0.18333333333333329</v>
      </c>
      <c r="J1159" s="6">
        <v>0.31746031746031739</v>
      </c>
      <c r="K1159" s="6">
        <v>0.97499999999999998</v>
      </c>
      <c r="L1159" s="6">
        <v>0.69868580426356586</v>
      </c>
      <c r="M1159" s="4" t="s">
        <v>180</v>
      </c>
      <c r="N1159" s="4">
        <v>3.7670005544948967E-2</v>
      </c>
      <c r="O1159" s="4">
        <v>0</v>
      </c>
    </row>
    <row r="1160" spans="1:15" x14ac:dyDescent="0.3">
      <c r="A1160" s="4">
        <v>209</v>
      </c>
      <c r="B1160" s="4">
        <v>209000</v>
      </c>
      <c r="C1160" s="4" t="s">
        <v>163</v>
      </c>
      <c r="D1160" s="4" t="s">
        <v>162</v>
      </c>
      <c r="E1160" s="4" t="s">
        <v>17</v>
      </c>
      <c r="F1160" s="4" t="s">
        <v>18</v>
      </c>
      <c r="G1160" s="5">
        <v>0.9</v>
      </c>
      <c r="H1160" s="5">
        <v>0.8</v>
      </c>
      <c r="I1160" s="5">
        <v>0.18333333333333329</v>
      </c>
      <c r="J1160" s="6">
        <v>0.31746031746031739</v>
      </c>
      <c r="K1160" s="6">
        <v>0.97499999999999998</v>
      </c>
      <c r="L1160" s="6">
        <v>0.69693503026836368</v>
      </c>
      <c r="M1160" s="4" t="s">
        <v>204</v>
      </c>
      <c r="N1160" s="4">
        <v>3.8600082515959012E-2</v>
      </c>
      <c r="O1160" s="4">
        <v>0</v>
      </c>
    </row>
    <row r="1161" spans="1:15" x14ac:dyDescent="0.3">
      <c r="A1161" s="4">
        <v>210</v>
      </c>
      <c r="B1161" s="4">
        <v>210000</v>
      </c>
      <c r="C1161" s="4" t="s">
        <v>163</v>
      </c>
      <c r="D1161" s="4" t="s">
        <v>162</v>
      </c>
      <c r="E1161" s="4" t="s">
        <v>17</v>
      </c>
      <c r="F1161" s="4" t="s">
        <v>18</v>
      </c>
      <c r="G1161" s="5">
        <v>0.9</v>
      </c>
      <c r="H1161" s="5">
        <v>0.8</v>
      </c>
      <c r="I1161" s="5">
        <v>0.18333333333333329</v>
      </c>
      <c r="J1161" s="6">
        <v>0.31746031746031739</v>
      </c>
      <c r="K1161" s="6">
        <v>0.97499999999999998</v>
      </c>
      <c r="L1161" s="6">
        <v>0.69824003619952613</v>
      </c>
      <c r="M1161" s="4" t="s">
        <v>204</v>
      </c>
      <c r="N1161" s="4">
        <v>3.902450197534197E-2</v>
      </c>
      <c r="O1161" s="4">
        <v>0</v>
      </c>
    </row>
    <row r="1162" spans="1:15" x14ac:dyDescent="0.3">
      <c r="A1162" s="4">
        <v>211</v>
      </c>
      <c r="B1162" s="4">
        <v>211000</v>
      </c>
      <c r="C1162" s="4" t="s">
        <v>163</v>
      </c>
      <c r="D1162" s="4" t="s">
        <v>162</v>
      </c>
      <c r="E1162" s="4" t="s">
        <v>17</v>
      </c>
      <c r="F1162" s="4" t="s">
        <v>18</v>
      </c>
      <c r="G1162" s="5">
        <v>0.9</v>
      </c>
      <c r="H1162" s="5">
        <v>0.8</v>
      </c>
      <c r="I1162" s="5">
        <v>0.18333333333333329</v>
      </c>
      <c r="J1162" s="6">
        <v>0.31746031746031739</v>
      </c>
      <c r="K1162" s="6">
        <v>0.97549999999999992</v>
      </c>
      <c r="L1162" s="6">
        <v>0.69451159459217482</v>
      </c>
      <c r="M1162" s="4" t="s">
        <v>191</v>
      </c>
      <c r="N1162" s="4">
        <v>4.0587765312256413E-2</v>
      </c>
      <c r="O1162" s="4">
        <v>0</v>
      </c>
    </row>
    <row r="1163" spans="1:15" x14ac:dyDescent="0.3">
      <c r="A1163" s="4">
        <v>212</v>
      </c>
      <c r="B1163" s="4">
        <v>212000</v>
      </c>
      <c r="C1163" s="4" t="s">
        <v>163</v>
      </c>
      <c r="D1163" s="4" t="s">
        <v>162</v>
      </c>
      <c r="E1163" s="4" t="s">
        <v>17</v>
      </c>
      <c r="F1163" s="4" t="s">
        <v>18</v>
      </c>
      <c r="G1163" s="5">
        <v>0.9</v>
      </c>
      <c r="H1163" s="5">
        <v>0.8</v>
      </c>
      <c r="I1163" s="5">
        <v>0.18333333333333329</v>
      </c>
      <c r="J1163" s="6">
        <v>0.328125</v>
      </c>
      <c r="K1163" s="6">
        <v>0.92857142857142871</v>
      </c>
      <c r="L1163" s="6">
        <v>0.68677752864972597</v>
      </c>
      <c r="M1163" s="4" t="s">
        <v>192</v>
      </c>
      <c r="N1163" s="4">
        <v>4.6932491359326867E-2</v>
      </c>
      <c r="O1163" s="4">
        <v>0</v>
      </c>
    </row>
    <row r="1164" spans="1:15" x14ac:dyDescent="0.3">
      <c r="A1164" s="4">
        <v>213</v>
      </c>
      <c r="B1164" s="4">
        <v>213000</v>
      </c>
      <c r="C1164" s="4" t="s">
        <v>163</v>
      </c>
      <c r="D1164" s="4" t="s">
        <v>162</v>
      </c>
      <c r="E1164" s="4" t="s">
        <v>17</v>
      </c>
      <c r="F1164" s="4" t="s">
        <v>18</v>
      </c>
      <c r="G1164" s="5">
        <v>0.9</v>
      </c>
      <c r="H1164" s="5">
        <v>0.8</v>
      </c>
      <c r="I1164" s="5">
        <v>0.18333333333333329</v>
      </c>
      <c r="J1164" s="6">
        <v>0.32307692307692309</v>
      </c>
      <c r="K1164" s="6">
        <v>0.9285714285714286</v>
      </c>
      <c r="L1164" s="6">
        <v>0.68376068376068366</v>
      </c>
      <c r="M1164" s="4" t="s">
        <v>164</v>
      </c>
      <c r="N1164" s="4">
        <v>5.2974892658199831E-2</v>
      </c>
      <c r="O1164" s="4">
        <v>0</v>
      </c>
    </row>
    <row r="1165" spans="1:15" x14ac:dyDescent="0.3">
      <c r="A1165" s="4">
        <v>214</v>
      </c>
      <c r="B1165" s="4">
        <v>214000</v>
      </c>
      <c r="C1165" s="4" t="s">
        <v>163</v>
      </c>
      <c r="D1165" s="4" t="s">
        <v>162</v>
      </c>
      <c r="E1165" s="4" t="s">
        <v>17</v>
      </c>
      <c r="F1165" s="4" t="s">
        <v>18</v>
      </c>
      <c r="G1165" s="5">
        <v>0.9</v>
      </c>
      <c r="H1165" s="5">
        <v>0.8</v>
      </c>
      <c r="I1165" s="5">
        <v>0.18333333333333329</v>
      </c>
      <c r="J1165" s="6">
        <v>0.31818181818181818</v>
      </c>
      <c r="K1165" s="6">
        <v>0.9280952380952382</v>
      </c>
      <c r="L1165" s="6">
        <v>0.68548387096774199</v>
      </c>
      <c r="M1165" s="4" t="s">
        <v>205</v>
      </c>
      <c r="N1165" s="4">
        <v>5.6284603106810487E-2</v>
      </c>
      <c r="O1165" s="4">
        <v>0</v>
      </c>
    </row>
    <row r="1166" spans="1:15" x14ac:dyDescent="0.3">
      <c r="A1166" s="4">
        <v>215</v>
      </c>
      <c r="B1166" s="4">
        <v>215000</v>
      </c>
      <c r="C1166" s="4" t="s">
        <v>163</v>
      </c>
      <c r="D1166" s="4" t="s">
        <v>162</v>
      </c>
      <c r="E1166" s="4" t="s">
        <v>17</v>
      </c>
      <c r="F1166" s="4" t="s">
        <v>18</v>
      </c>
      <c r="G1166" s="5">
        <v>0.9</v>
      </c>
      <c r="H1166" s="5">
        <v>0.8</v>
      </c>
      <c r="I1166" s="5">
        <v>0.18333333333333329</v>
      </c>
      <c r="J1166" s="6">
        <v>0.31818181818181818</v>
      </c>
      <c r="K1166" s="6">
        <v>0.9290476190476189</v>
      </c>
      <c r="L1166" s="6">
        <v>0.68709090909090909</v>
      </c>
      <c r="M1166" s="4" t="s">
        <v>206</v>
      </c>
      <c r="N1166" s="4">
        <v>5.6964808736637451E-2</v>
      </c>
      <c r="O1166" s="4">
        <v>0</v>
      </c>
    </row>
    <row r="1167" spans="1:15" x14ac:dyDescent="0.3">
      <c r="A1167" s="4">
        <v>216</v>
      </c>
      <c r="B1167" s="4">
        <v>216000</v>
      </c>
      <c r="C1167" s="4" t="s">
        <v>163</v>
      </c>
      <c r="D1167" s="4" t="s">
        <v>162</v>
      </c>
      <c r="E1167" s="4" t="s">
        <v>17</v>
      </c>
      <c r="F1167" s="4" t="s">
        <v>18</v>
      </c>
      <c r="G1167" s="5">
        <v>0.9</v>
      </c>
      <c r="H1167" s="5">
        <v>0.8</v>
      </c>
      <c r="I1167" s="5">
        <v>0.18333333333333329</v>
      </c>
      <c r="J1167" s="6">
        <v>0.32307692307692309</v>
      </c>
      <c r="K1167" s="6">
        <v>0.92761904761904768</v>
      </c>
      <c r="L1167" s="6">
        <v>0.68410563029397109</v>
      </c>
      <c r="M1167" s="4" t="s">
        <v>184</v>
      </c>
      <c r="N1167" s="4">
        <v>5.9253803842426567E-2</v>
      </c>
      <c r="O1167" s="4">
        <v>0</v>
      </c>
    </row>
    <row r="1168" spans="1:15" x14ac:dyDescent="0.3">
      <c r="A1168" s="4">
        <v>217</v>
      </c>
      <c r="B1168" s="4">
        <v>217000</v>
      </c>
      <c r="C1168" s="4" t="s">
        <v>163</v>
      </c>
      <c r="D1168" s="4" t="s">
        <v>162</v>
      </c>
      <c r="E1168" s="4" t="s">
        <v>17</v>
      </c>
      <c r="F1168" s="4" t="s">
        <v>18</v>
      </c>
      <c r="G1168" s="5">
        <v>0.9</v>
      </c>
      <c r="H1168" s="5">
        <v>0.8</v>
      </c>
      <c r="I1168" s="5">
        <v>0.18333333333333329</v>
      </c>
      <c r="J1168" s="6">
        <v>0.32307692307692309</v>
      </c>
      <c r="K1168" s="6">
        <v>0.9285714285714286</v>
      </c>
      <c r="L1168" s="6">
        <v>0.67906795684573462</v>
      </c>
      <c r="M1168" s="4" t="s">
        <v>44</v>
      </c>
      <c r="N1168" s="4">
        <v>6.3469876863937305E-2</v>
      </c>
      <c r="O1168" s="4">
        <v>0</v>
      </c>
    </row>
    <row r="1169" spans="1:15" x14ac:dyDescent="0.3">
      <c r="A1169" s="4">
        <v>218</v>
      </c>
      <c r="B1169" s="4">
        <v>218000</v>
      </c>
      <c r="C1169" s="4" t="s">
        <v>163</v>
      </c>
      <c r="D1169" s="4" t="s">
        <v>162</v>
      </c>
      <c r="E1169" s="4" t="s">
        <v>17</v>
      </c>
      <c r="F1169" s="4" t="s">
        <v>18</v>
      </c>
      <c r="G1169" s="5">
        <v>0.9</v>
      </c>
      <c r="H1169" s="5">
        <v>0.8</v>
      </c>
      <c r="I1169" s="5">
        <v>0.18333333333333329</v>
      </c>
      <c r="J1169" s="6">
        <v>0.30769230769230771</v>
      </c>
      <c r="K1169" s="6">
        <v>0.93</v>
      </c>
      <c r="L1169" s="6">
        <v>0.67684258939864306</v>
      </c>
      <c r="M1169" s="4" t="s">
        <v>187</v>
      </c>
      <c r="N1169" s="4">
        <v>6.8433647988623364E-2</v>
      </c>
      <c r="O1169" s="4">
        <v>0</v>
      </c>
    </row>
    <row r="1170" spans="1:15" x14ac:dyDescent="0.3">
      <c r="A1170" s="4">
        <v>219</v>
      </c>
      <c r="B1170" s="4">
        <v>219000</v>
      </c>
      <c r="C1170" s="4" t="s">
        <v>163</v>
      </c>
      <c r="D1170" s="4" t="s">
        <v>162</v>
      </c>
      <c r="E1170" s="4" t="s">
        <v>17</v>
      </c>
      <c r="F1170" s="4" t="s">
        <v>18</v>
      </c>
      <c r="G1170" s="5">
        <v>0.9</v>
      </c>
      <c r="H1170" s="5">
        <v>0.8</v>
      </c>
      <c r="I1170" s="5">
        <v>0.18333333333333329</v>
      </c>
      <c r="J1170" s="6">
        <v>0.30769230769230771</v>
      </c>
      <c r="K1170" s="6">
        <v>0.93149999999999999</v>
      </c>
      <c r="L1170" s="6">
        <v>0.66767219708396175</v>
      </c>
      <c r="M1170" s="4" t="s">
        <v>128</v>
      </c>
      <c r="N1170" s="4">
        <v>7.0760495812185215E-2</v>
      </c>
      <c r="O1170" s="4">
        <v>0</v>
      </c>
    </row>
    <row r="1171" spans="1:15" x14ac:dyDescent="0.3">
      <c r="A1171" s="4">
        <v>220</v>
      </c>
      <c r="B1171" s="4">
        <v>220000</v>
      </c>
      <c r="C1171" s="4" t="s">
        <v>163</v>
      </c>
      <c r="D1171" s="4" t="s">
        <v>162</v>
      </c>
      <c r="E1171" s="4" t="s">
        <v>17</v>
      </c>
      <c r="F1171" s="4" t="s">
        <v>18</v>
      </c>
      <c r="G1171" s="5">
        <v>0.9</v>
      </c>
      <c r="H1171" s="5">
        <v>0.8</v>
      </c>
      <c r="I1171" s="5">
        <v>0.18333333333333329</v>
      </c>
      <c r="J1171" s="6">
        <v>0.3125</v>
      </c>
      <c r="K1171" s="6">
        <v>0.93200000000000005</v>
      </c>
      <c r="L1171" s="6">
        <v>0.66623703903199116</v>
      </c>
      <c r="M1171" s="4" t="s">
        <v>46</v>
      </c>
      <c r="N1171" s="4">
        <v>7.8899004274989609E-2</v>
      </c>
      <c r="O1171" s="4">
        <v>0</v>
      </c>
    </row>
    <row r="1172" spans="1:15" x14ac:dyDescent="0.3">
      <c r="A1172" s="4">
        <v>221</v>
      </c>
      <c r="B1172" s="4">
        <v>221000</v>
      </c>
      <c r="C1172" s="4" t="s">
        <v>163</v>
      </c>
      <c r="D1172" s="4" t="s">
        <v>162</v>
      </c>
      <c r="E1172" s="4" t="s">
        <v>17</v>
      </c>
      <c r="F1172" s="4" t="s">
        <v>18</v>
      </c>
      <c r="G1172" s="5">
        <v>0.9</v>
      </c>
      <c r="H1172" s="5">
        <v>0.8</v>
      </c>
      <c r="I1172" s="5">
        <v>0.18333333333333329</v>
      </c>
      <c r="J1172" s="6">
        <v>0.3125</v>
      </c>
      <c r="K1172" s="6">
        <v>0.93249999999999988</v>
      </c>
      <c r="L1172" s="6">
        <v>0.66571153821163565</v>
      </c>
      <c r="M1172" s="4" t="s">
        <v>106</v>
      </c>
      <c r="N1172" s="4">
        <v>8.1759653978049615E-2</v>
      </c>
      <c r="O1172" s="4">
        <v>0</v>
      </c>
    </row>
    <row r="1173" spans="1:15" x14ac:dyDescent="0.3">
      <c r="A1173" s="4">
        <v>222</v>
      </c>
      <c r="B1173" s="4">
        <v>222000</v>
      </c>
      <c r="C1173" s="4" t="s">
        <v>163</v>
      </c>
      <c r="D1173" s="4" t="s">
        <v>162</v>
      </c>
      <c r="E1173" s="4" t="s">
        <v>17</v>
      </c>
      <c r="F1173" s="4" t="s">
        <v>18</v>
      </c>
      <c r="G1173" s="5">
        <v>0.9</v>
      </c>
      <c r="H1173" s="5">
        <v>0.8</v>
      </c>
      <c r="I1173" s="5">
        <v>0.18333333333333329</v>
      </c>
      <c r="J1173" s="6">
        <v>0.3125</v>
      </c>
      <c r="K1173" s="6">
        <v>0.93149999999999999</v>
      </c>
      <c r="L1173" s="6">
        <v>0.66126515896427396</v>
      </c>
      <c r="M1173" s="4" t="s">
        <v>97</v>
      </c>
      <c r="N1173" s="4">
        <v>8.5632812505482409E-2</v>
      </c>
      <c r="O1173" s="4">
        <v>0</v>
      </c>
    </row>
    <row r="1174" spans="1:15" x14ac:dyDescent="0.3">
      <c r="A1174" s="4">
        <v>223</v>
      </c>
      <c r="B1174" s="4">
        <v>223000</v>
      </c>
      <c r="C1174" s="4" t="s">
        <v>163</v>
      </c>
      <c r="D1174" s="4" t="s">
        <v>162</v>
      </c>
      <c r="E1174" s="4" t="s">
        <v>17</v>
      </c>
      <c r="F1174" s="4" t="s">
        <v>18</v>
      </c>
      <c r="G1174" s="5">
        <v>0.9</v>
      </c>
      <c r="H1174" s="5">
        <v>0.8</v>
      </c>
      <c r="I1174" s="5">
        <v>0.18333333333333329</v>
      </c>
      <c r="J1174" s="6">
        <v>0.32258064516129031</v>
      </c>
      <c r="K1174" s="6">
        <v>0.93149999999999999</v>
      </c>
      <c r="L1174" s="6">
        <v>0.66015421794643858</v>
      </c>
      <c r="M1174" s="4" t="s">
        <v>59</v>
      </c>
      <c r="N1174" s="4">
        <v>9.1232941763337613E-2</v>
      </c>
      <c r="O1174" s="4">
        <v>0</v>
      </c>
    </row>
    <row r="1175" spans="1:15" x14ac:dyDescent="0.3">
      <c r="A1175" s="4">
        <v>224</v>
      </c>
      <c r="B1175" s="4">
        <v>224000</v>
      </c>
      <c r="C1175" s="4" t="s">
        <v>163</v>
      </c>
      <c r="D1175" s="4" t="s">
        <v>162</v>
      </c>
      <c r="E1175" s="4" t="s">
        <v>17</v>
      </c>
      <c r="F1175" s="4" t="s">
        <v>18</v>
      </c>
      <c r="G1175" s="5">
        <v>0.9</v>
      </c>
      <c r="H1175" s="5">
        <v>0.8</v>
      </c>
      <c r="I1175" s="5">
        <v>0.18333333333333329</v>
      </c>
      <c r="J1175" s="6">
        <v>0.32786885245901642</v>
      </c>
      <c r="K1175" s="6">
        <v>0.93149999999999999</v>
      </c>
      <c r="L1175" s="6">
        <v>0.66722590714007024</v>
      </c>
      <c r="M1175" s="4" t="s">
        <v>22</v>
      </c>
      <c r="N1175" s="4">
        <v>9.4380747849718533E-2</v>
      </c>
      <c r="O1175" s="4">
        <v>0</v>
      </c>
    </row>
    <row r="1176" spans="1:15" x14ac:dyDescent="0.3">
      <c r="A1176" s="4">
        <v>225</v>
      </c>
      <c r="B1176" s="4">
        <v>225000</v>
      </c>
      <c r="C1176" s="4" t="s">
        <v>163</v>
      </c>
      <c r="D1176" s="4" t="s">
        <v>162</v>
      </c>
      <c r="E1176" s="4" t="s">
        <v>17</v>
      </c>
      <c r="F1176" s="4" t="s">
        <v>18</v>
      </c>
      <c r="G1176" s="5">
        <v>0.9</v>
      </c>
      <c r="H1176" s="5">
        <v>0.8</v>
      </c>
      <c r="I1176" s="5">
        <v>0.18333333333333329</v>
      </c>
      <c r="J1176" s="6">
        <v>0.32786885245901642</v>
      </c>
      <c r="K1176" s="6">
        <v>0.93099999999999983</v>
      </c>
      <c r="L1176" s="6">
        <v>0.6587323301413589</v>
      </c>
      <c r="M1176" s="4" t="s">
        <v>78</v>
      </c>
      <c r="N1176" s="4">
        <v>9.5770692983159739E-2</v>
      </c>
      <c r="O1176" s="4">
        <v>0</v>
      </c>
    </row>
    <row r="1177" spans="1:15" x14ac:dyDescent="0.3">
      <c r="A1177" s="4">
        <v>226</v>
      </c>
      <c r="B1177" s="4">
        <v>226000</v>
      </c>
      <c r="C1177" s="4" t="s">
        <v>163</v>
      </c>
      <c r="D1177" s="4" t="s">
        <v>162</v>
      </c>
      <c r="E1177" s="4" t="s">
        <v>17</v>
      </c>
      <c r="F1177" s="4" t="s">
        <v>18</v>
      </c>
      <c r="G1177" s="5">
        <v>0.9</v>
      </c>
      <c r="H1177" s="5">
        <v>0.8</v>
      </c>
      <c r="I1177" s="5">
        <v>0.18333333333333329</v>
      </c>
      <c r="J1177" s="6">
        <v>0.34426229508196721</v>
      </c>
      <c r="K1177" s="6">
        <v>0.88666666666666649</v>
      </c>
      <c r="L1177" s="6">
        <v>0.56786140344255309</v>
      </c>
      <c r="M1177" s="4" t="s">
        <v>78</v>
      </c>
      <c r="N1177" s="4">
        <v>9.6065340090861262E-2</v>
      </c>
      <c r="O1177" s="4">
        <v>0</v>
      </c>
    </row>
    <row r="1178" spans="1:15" x14ac:dyDescent="0.3">
      <c r="A1178" s="4">
        <v>227</v>
      </c>
      <c r="B1178" s="4">
        <v>227000</v>
      </c>
      <c r="C1178" s="4" t="s">
        <v>163</v>
      </c>
      <c r="D1178" s="4" t="s">
        <v>162</v>
      </c>
      <c r="E1178" s="4" t="s">
        <v>17</v>
      </c>
      <c r="F1178" s="4" t="s">
        <v>18</v>
      </c>
      <c r="G1178" s="5">
        <v>0.9</v>
      </c>
      <c r="H1178" s="5">
        <v>0.8</v>
      </c>
      <c r="I1178" s="5">
        <v>0.18333333333333329</v>
      </c>
      <c r="J1178" s="6">
        <v>0.3559322033898305</v>
      </c>
      <c r="K1178" s="6">
        <v>0.88809523809523805</v>
      </c>
      <c r="L1178" s="6">
        <v>0.57146433041301625</v>
      </c>
      <c r="M1178" s="4" t="s">
        <v>82</v>
      </c>
      <c r="N1178" s="4">
        <v>0.1015367513997532</v>
      </c>
      <c r="O1178" s="4">
        <v>0</v>
      </c>
    </row>
    <row r="1179" spans="1:15" x14ac:dyDescent="0.3">
      <c r="A1179" s="4">
        <v>228</v>
      </c>
      <c r="B1179" s="4">
        <v>228000</v>
      </c>
      <c r="C1179" s="4" t="s">
        <v>163</v>
      </c>
      <c r="D1179" s="4" t="s">
        <v>162</v>
      </c>
      <c r="E1179" s="4" t="s">
        <v>17</v>
      </c>
      <c r="F1179" s="4" t="s">
        <v>18</v>
      </c>
      <c r="G1179" s="5">
        <v>0.9</v>
      </c>
      <c r="H1179" s="5">
        <v>0.8</v>
      </c>
      <c r="I1179" s="5">
        <v>0.18333333333333329</v>
      </c>
      <c r="J1179" s="6">
        <v>0.36842105263157893</v>
      </c>
      <c r="K1179" s="6">
        <v>0.88809523809523805</v>
      </c>
      <c r="L1179" s="6">
        <v>0.57268273688785865</v>
      </c>
      <c r="M1179" s="4" t="s">
        <v>99</v>
      </c>
      <c r="N1179" s="4">
        <v>0.10274111149342061</v>
      </c>
      <c r="O1179" s="4">
        <v>0</v>
      </c>
    </row>
    <row r="1180" spans="1:15" x14ac:dyDescent="0.3">
      <c r="A1180" s="4">
        <v>229</v>
      </c>
      <c r="B1180" s="4">
        <v>229000</v>
      </c>
      <c r="C1180" s="4" t="s">
        <v>163</v>
      </c>
      <c r="D1180" s="4" t="s">
        <v>162</v>
      </c>
      <c r="E1180" s="4" t="s">
        <v>17</v>
      </c>
      <c r="F1180" s="4" t="s">
        <v>18</v>
      </c>
      <c r="G1180" s="5">
        <v>0.9</v>
      </c>
      <c r="H1180" s="5">
        <v>0.8</v>
      </c>
      <c r="I1180" s="5">
        <v>0.18333333333333329</v>
      </c>
      <c r="J1180" s="6">
        <v>0.34482758620689657</v>
      </c>
      <c r="K1180" s="6">
        <v>0.93249999999999988</v>
      </c>
      <c r="L1180" s="6">
        <v>0.66379365383387601</v>
      </c>
      <c r="M1180" s="4" t="s">
        <v>28</v>
      </c>
      <c r="N1180" s="4">
        <v>0.1010562556151864</v>
      </c>
      <c r="O1180" s="4">
        <v>0</v>
      </c>
    </row>
    <row r="1181" spans="1:15" x14ac:dyDescent="0.3">
      <c r="A1181" s="4">
        <v>230</v>
      </c>
      <c r="B1181" s="4">
        <v>230000</v>
      </c>
      <c r="C1181" s="4" t="s">
        <v>163</v>
      </c>
      <c r="D1181" s="4" t="s">
        <v>162</v>
      </c>
      <c r="E1181" s="4" t="s">
        <v>17</v>
      </c>
      <c r="F1181" s="4" t="s">
        <v>18</v>
      </c>
      <c r="G1181" s="5">
        <v>0.9</v>
      </c>
      <c r="H1181" s="5">
        <v>0.8</v>
      </c>
      <c r="I1181" s="5">
        <v>0.18333333333333329</v>
      </c>
      <c r="J1181" s="6">
        <v>0.34482758620689657</v>
      </c>
      <c r="K1181" s="6">
        <v>0.93300000000000005</v>
      </c>
      <c r="L1181" s="6">
        <v>0.66745142002989544</v>
      </c>
      <c r="M1181" s="4" t="s">
        <v>28</v>
      </c>
      <c r="N1181" s="4">
        <v>0.10107780046668929</v>
      </c>
      <c r="O1181" s="4">
        <v>0</v>
      </c>
    </row>
    <row r="1182" spans="1:15" x14ac:dyDescent="0.3">
      <c r="A1182" s="4">
        <v>231</v>
      </c>
      <c r="B1182" s="4">
        <v>231000</v>
      </c>
      <c r="C1182" s="4" t="s">
        <v>163</v>
      </c>
      <c r="D1182" s="4" t="s">
        <v>162</v>
      </c>
      <c r="E1182" s="4" t="s">
        <v>17</v>
      </c>
      <c r="F1182" s="4" t="s">
        <v>18</v>
      </c>
      <c r="G1182" s="5">
        <v>0.9</v>
      </c>
      <c r="H1182" s="5">
        <v>0.8</v>
      </c>
      <c r="I1182" s="5">
        <v>0.18333333333333329</v>
      </c>
      <c r="J1182" s="6">
        <v>0.34482758620689657</v>
      </c>
      <c r="K1182" s="6">
        <v>0.93249999999999988</v>
      </c>
      <c r="L1182" s="6">
        <v>0.67029908569657526</v>
      </c>
      <c r="M1182" s="4" t="s">
        <v>160</v>
      </c>
      <c r="N1182" s="4">
        <v>0.1003619352803337</v>
      </c>
      <c r="O1182" s="4">
        <v>0</v>
      </c>
    </row>
    <row r="1183" spans="1:15" x14ac:dyDescent="0.3">
      <c r="A1183" s="4">
        <v>232</v>
      </c>
      <c r="B1183" s="4">
        <v>232000</v>
      </c>
      <c r="C1183" s="4" t="s">
        <v>163</v>
      </c>
      <c r="D1183" s="4" t="s">
        <v>162</v>
      </c>
      <c r="E1183" s="4" t="s">
        <v>17</v>
      </c>
      <c r="F1183" s="4" t="s">
        <v>18</v>
      </c>
      <c r="G1183" s="5">
        <v>0.9</v>
      </c>
      <c r="H1183" s="5">
        <v>0.8</v>
      </c>
      <c r="I1183" s="5">
        <v>0.18333333333333329</v>
      </c>
      <c r="J1183" s="6">
        <v>0.34482758620689657</v>
      </c>
      <c r="K1183" s="6">
        <v>0.93249999999999988</v>
      </c>
      <c r="L1183" s="6">
        <v>0.6676370693837943</v>
      </c>
      <c r="M1183" s="4" t="s">
        <v>99</v>
      </c>
      <c r="N1183" s="4">
        <v>0.1027482994903533</v>
      </c>
      <c r="O1183" s="4">
        <v>0</v>
      </c>
    </row>
    <row r="1184" spans="1:15" x14ac:dyDescent="0.3">
      <c r="A1184" s="4">
        <v>233</v>
      </c>
      <c r="B1184" s="4">
        <v>233000</v>
      </c>
      <c r="C1184" s="4" t="s">
        <v>163</v>
      </c>
      <c r="D1184" s="4" t="s">
        <v>162</v>
      </c>
      <c r="E1184" s="4" t="s">
        <v>17</v>
      </c>
      <c r="F1184" s="4" t="s">
        <v>18</v>
      </c>
      <c r="G1184" s="5">
        <v>0.9</v>
      </c>
      <c r="H1184" s="5">
        <v>0.8</v>
      </c>
      <c r="I1184" s="5">
        <v>0.18333333333333329</v>
      </c>
      <c r="J1184" s="6">
        <v>0.32758620689655171</v>
      </c>
      <c r="K1184" s="6">
        <v>0.92894736842105274</v>
      </c>
      <c r="L1184" s="6">
        <v>0.66885964912280704</v>
      </c>
      <c r="M1184" s="4" t="s">
        <v>99</v>
      </c>
      <c r="N1184" s="4">
        <v>0.1028317724706902</v>
      </c>
      <c r="O1184" s="4">
        <v>0</v>
      </c>
    </row>
    <row r="1185" spans="1:15" x14ac:dyDescent="0.3">
      <c r="A1185" s="4">
        <v>234</v>
      </c>
      <c r="B1185" s="4">
        <v>234000</v>
      </c>
      <c r="C1185" s="4" t="s">
        <v>163</v>
      </c>
      <c r="D1185" s="4" t="s">
        <v>162</v>
      </c>
      <c r="E1185" s="4" t="s">
        <v>17</v>
      </c>
      <c r="F1185" s="4" t="s">
        <v>18</v>
      </c>
      <c r="G1185" s="5">
        <v>0.9</v>
      </c>
      <c r="H1185" s="5">
        <v>0.8</v>
      </c>
      <c r="I1185" s="5">
        <v>0.18333333333333329</v>
      </c>
      <c r="J1185" s="6">
        <v>0.3392857142857143</v>
      </c>
      <c r="K1185" s="6">
        <v>0.92947368421052634</v>
      </c>
      <c r="L1185" s="6">
        <v>0.6659388646288209</v>
      </c>
      <c r="M1185" s="4" t="s">
        <v>136</v>
      </c>
      <c r="N1185" s="4">
        <v>0.1063863386324571</v>
      </c>
      <c r="O1185" s="4">
        <v>0</v>
      </c>
    </row>
    <row r="1186" spans="1:15" x14ac:dyDescent="0.3">
      <c r="A1186" s="4">
        <v>235</v>
      </c>
      <c r="B1186" s="4">
        <v>235000</v>
      </c>
      <c r="C1186" s="4" t="s">
        <v>163</v>
      </c>
      <c r="D1186" s="4" t="s">
        <v>162</v>
      </c>
      <c r="E1186" s="4" t="s">
        <v>17</v>
      </c>
      <c r="F1186" s="4" t="s">
        <v>18</v>
      </c>
      <c r="G1186" s="5">
        <v>0.9</v>
      </c>
      <c r="H1186" s="5">
        <v>0.8</v>
      </c>
      <c r="I1186" s="5">
        <v>0.18333333333333329</v>
      </c>
      <c r="J1186" s="6">
        <v>0.36363636363636359</v>
      </c>
      <c r="K1186" s="6">
        <v>0.93149999999999999</v>
      </c>
      <c r="L1186" s="6">
        <v>0.50863958048424074</v>
      </c>
      <c r="M1186" s="4" t="s">
        <v>103</v>
      </c>
      <c r="N1186" s="4">
        <v>0.1093704771806439</v>
      </c>
      <c r="O1186" s="4">
        <v>0</v>
      </c>
    </row>
    <row r="1187" spans="1:15" x14ac:dyDescent="0.3">
      <c r="A1187" s="4">
        <v>236</v>
      </c>
      <c r="B1187" s="4">
        <v>236000</v>
      </c>
      <c r="C1187" s="4" t="s">
        <v>163</v>
      </c>
      <c r="D1187" s="4" t="s">
        <v>162</v>
      </c>
      <c r="E1187" s="4" t="s">
        <v>17</v>
      </c>
      <c r="F1187" s="4" t="s">
        <v>18</v>
      </c>
      <c r="G1187" s="5">
        <v>0.9</v>
      </c>
      <c r="H1187" s="5">
        <v>0.8</v>
      </c>
      <c r="I1187" s="5">
        <v>0.18333333333333329</v>
      </c>
      <c r="J1187" s="6">
        <v>0.36363636363636359</v>
      </c>
      <c r="K1187" s="6">
        <v>0.93149999999999999</v>
      </c>
      <c r="L1187" s="6">
        <v>0.51327765131483138</v>
      </c>
      <c r="M1187" s="4" t="s">
        <v>25</v>
      </c>
      <c r="N1187" s="4">
        <v>0.11168156913131699</v>
      </c>
      <c r="O1187" s="4">
        <v>0</v>
      </c>
    </row>
    <row r="1188" spans="1:15" x14ac:dyDescent="0.3">
      <c r="A1188" s="4">
        <v>237</v>
      </c>
      <c r="B1188" s="4">
        <v>237000</v>
      </c>
      <c r="C1188" s="4" t="s">
        <v>163</v>
      </c>
      <c r="D1188" s="4" t="s">
        <v>162</v>
      </c>
      <c r="E1188" s="4" t="s">
        <v>17</v>
      </c>
      <c r="F1188" s="4" t="s">
        <v>18</v>
      </c>
      <c r="G1188" s="5">
        <v>0.9</v>
      </c>
      <c r="H1188" s="5">
        <v>0.8</v>
      </c>
      <c r="I1188" s="5">
        <v>0.18333333333333329</v>
      </c>
      <c r="J1188" s="6">
        <v>0.3392857142857143</v>
      </c>
      <c r="K1188" s="6">
        <v>0.92631578947368431</v>
      </c>
      <c r="L1188" s="6">
        <v>0.65114136964357228</v>
      </c>
      <c r="M1188" s="4" t="s">
        <v>47</v>
      </c>
      <c r="N1188" s="4">
        <v>0.1080007224304282</v>
      </c>
      <c r="O1188" s="4">
        <v>0</v>
      </c>
    </row>
    <row r="1189" spans="1:15" x14ac:dyDescent="0.3">
      <c r="A1189" s="4">
        <v>238</v>
      </c>
      <c r="B1189" s="4">
        <v>238000</v>
      </c>
      <c r="C1189" s="4" t="s">
        <v>163</v>
      </c>
      <c r="D1189" s="4" t="s">
        <v>162</v>
      </c>
      <c r="E1189" s="4" t="s">
        <v>17</v>
      </c>
      <c r="F1189" s="4" t="s">
        <v>18</v>
      </c>
      <c r="G1189" s="5">
        <v>0.9</v>
      </c>
      <c r="H1189" s="5">
        <v>0.8</v>
      </c>
      <c r="I1189" s="5">
        <v>0.18333333333333329</v>
      </c>
      <c r="J1189" s="6">
        <v>0.33333333333333331</v>
      </c>
      <c r="K1189" s="6">
        <v>0.92611111111111122</v>
      </c>
      <c r="L1189" s="6">
        <v>0.35242290748898669</v>
      </c>
      <c r="M1189" s="4" t="s">
        <v>63</v>
      </c>
      <c r="N1189" s="4">
        <v>0.1106704995233057</v>
      </c>
      <c r="O1189" s="4">
        <v>0</v>
      </c>
    </row>
    <row r="1190" spans="1:15" x14ac:dyDescent="0.3">
      <c r="A1190" s="4">
        <v>239</v>
      </c>
      <c r="B1190" s="4">
        <v>239000</v>
      </c>
      <c r="C1190" s="4" t="s">
        <v>163</v>
      </c>
      <c r="D1190" s="4" t="s">
        <v>162</v>
      </c>
      <c r="E1190" s="4" t="s">
        <v>17</v>
      </c>
      <c r="F1190" s="4" t="s">
        <v>18</v>
      </c>
      <c r="G1190" s="5">
        <v>0.9</v>
      </c>
      <c r="H1190" s="5">
        <v>0.8</v>
      </c>
      <c r="I1190" s="5">
        <v>0.18333333333333329</v>
      </c>
      <c r="J1190" s="6">
        <v>0.37735849056603782</v>
      </c>
      <c r="K1190" s="6">
        <v>0.88300000000000001</v>
      </c>
      <c r="L1190" s="6">
        <v>0.44863853553572558</v>
      </c>
      <c r="M1190" s="4" t="s">
        <v>40</v>
      </c>
      <c r="N1190" s="4">
        <v>0.1133527942912298</v>
      </c>
      <c r="O1190" s="4">
        <v>0</v>
      </c>
    </row>
    <row r="1191" spans="1:15" x14ac:dyDescent="0.3">
      <c r="A1191" s="4">
        <v>240</v>
      </c>
      <c r="B1191" s="4">
        <v>240000</v>
      </c>
      <c r="C1191" s="4" t="s">
        <v>163</v>
      </c>
      <c r="D1191" s="4" t="s">
        <v>162</v>
      </c>
      <c r="E1191" s="4" t="s">
        <v>17</v>
      </c>
      <c r="F1191" s="4" t="s">
        <v>18</v>
      </c>
      <c r="G1191" s="5">
        <v>0.9</v>
      </c>
      <c r="H1191" s="5">
        <v>0.8</v>
      </c>
      <c r="I1191" s="5">
        <v>0.18333333333333329</v>
      </c>
      <c r="J1191" s="6">
        <v>0.37037037037037029</v>
      </c>
      <c r="K1191" s="6">
        <v>0.88300000000000023</v>
      </c>
      <c r="L1191" s="6">
        <v>0.44605064092961849</v>
      </c>
      <c r="M1191" s="4" t="s">
        <v>63</v>
      </c>
      <c r="N1191" s="4">
        <v>0.1105051292192159</v>
      </c>
      <c r="O1191" s="4">
        <v>0</v>
      </c>
    </row>
    <row r="1192" spans="1:15" x14ac:dyDescent="0.3">
      <c r="A1192" s="4">
        <v>241</v>
      </c>
      <c r="B1192" s="4">
        <v>241000</v>
      </c>
      <c r="C1192" s="4" t="s">
        <v>163</v>
      </c>
      <c r="D1192" s="4" t="s">
        <v>162</v>
      </c>
      <c r="E1192" s="4" t="s">
        <v>17</v>
      </c>
      <c r="F1192" s="4" t="s">
        <v>18</v>
      </c>
      <c r="G1192" s="5">
        <v>0.9</v>
      </c>
      <c r="H1192" s="5">
        <v>0.8</v>
      </c>
      <c r="I1192" s="5">
        <v>0.18333333333333329</v>
      </c>
      <c r="J1192" s="6">
        <v>0.39622641509433959</v>
      </c>
      <c r="K1192" s="6">
        <v>0.8861904761904762</v>
      </c>
      <c r="L1192" s="6">
        <v>0.60902462154066772</v>
      </c>
      <c r="M1192" s="4" t="s">
        <v>47</v>
      </c>
      <c r="N1192" s="4">
        <v>0.1078916044061837</v>
      </c>
      <c r="O1192" s="4">
        <v>0</v>
      </c>
    </row>
    <row r="1193" spans="1:15" x14ac:dyDescent="0.3">
      <c r="A1193" s="4">
        <v>242</v>
      </c>
      <c r="B1193" s="4">
        <v>242000</v>
      </c>
      <c r="C1193" s="4" t="s">
        <v>163</v>
      </c>
      <c r="D1193" s="4" t="s">
        <v>162</v>
      </c>
      <c r="E1193" s="4" t="s">
        <v>17</v>
      </c>
      <c r="F1193" s="4" t="s">
        <v>18</v>
      </c>
      <c r="G1193" s="5">
        <v>0.9</v>
      </c>
      <c r="H1193" s="5">
        <v>0.8</v>
      </c>
      <c r="I1193" s="5">
        <v>0.18333333333333329</v>
      </c>
      <c r="J1193" s="6">
        <v>0.37735849056603782</v>
      </c>
      <c r="K1193" s="6">
        <v>0.88200000000000001</v>
      </c>
      <c r="L1193" s="6">
        <v>0.48253211889575531</v>
      </c>
      <c r="M1193" s="4" t="s">
        <v>142</v>
      </c>
      <c r="N1193" s="4">
        <v>0.109765155127831</v>
      </c>
      <c r="O1193" s="4">
        <v>0</v>
      </c>
    </row>
    <row r="1194" spans="1:15" x14ac:dyDescent="0.3">
      <c r="A1194" s="4">
        <v>243</v>
      </c>
      <c r="B1194" s="4">
        <v>243000</v>
      </c>
      <c r="C1194" s="4" t="s">
        <v>163</v>
      </c>
      <c r="D1194" s="4" t="s">
        <v>162</v>
      </c>
      <c r="E1194" s="4" t="s">
        <v>17</v>
      </c>
      <c r="F1194" s="4" t="s">
        <v>18</v>
      </c>
      <c r="G1194" s="5">
        <v>0.9</v>
      </c>
      <c r="H1194" s="5">
        <v>0.8</v>
      </c>
      <c r="I1194" s="5">
        <v>0.18333333333333329</v>
      </c>
      <c r="J1194" s="6">
        <v>0.39622641509433959</v>
      </c>
      <c r="K1194" s="6">
        <v>0.88285714285714278</v>
      </c>
      <c r="L1194" s="6">
        <v>0.47809622835102311</v>
      </c>
      <c r="M1194" s="4" t="s">
        <v>103</v>
      </c>
      <c r="N1194" s="4">
        <v>0.1090337330991472</v>
      </c>
      <c r="O1194" s="4">
        <v>0</v>
      </c>
    </row>
    <row r="1195" spans="1:15" x14ac:dyDescent="0.3">
      <c r="A1195" s="4">
        <v>244</v>
      </c>
      <c r="B1195" s="4">
        <v>244000</v>
      </c>
      <c r="C1195" s="4" t="s">
        <v>163</v>
      </c>
      <c r="D1195" s="4" t="s">
        <v>162</v>
      </c>
      <c r="E1195" s="4" t="s">
        <v>17</v>
      </c>
      <c r="F1195" s="4" t="s">
        <v>18</v>
      </c>
      <c r="G1195" s="5">
        <v>0.9</v>
      </c>
      <c r="H1195" s="5">
        <v>0.8</v>
      </c>
      <c r="I1195" s="5">
        <v>0.18333333333333329</v>
      </c>
      <c r="J1195" s="6">
        <v>0.3888888888888889</v>
      </c>
      <c r="K1195" s="6">
        <v>0.88238095238095227</v>
      </c>
      <c r="L1195" s="6">
        <v>0.48555891613956509</v>
      </c>
      <c r="M1195" s="4" t="s">
        <v>47</v>
      </c>
      <c r="N1195" s="4">
        <v>0.10835425008238569</v>
      </c>
      <c r="O1195" s="4">
        <v>0</v>
      </c>
    </row>
    <row r="1196" spans="1:15" x14ac:dyDescent="0.3">
      <c r="A1196" s="4">
        <v>245</v>
      </c>
      <c r="B1196" s="4">
        <v>245000</v>
      </c>
      <c r="C1196" s="4" t="s">
        <v>163</v>
      </c>
      <c r="D1196" s="4" t="s">
        <v>162</v>
      </c>
      <c r="E1196" s="4" t="s">
        <v>17</v>
      </c>
      <c r="F1196" s="4" t="s">
        <v>18</v>
      </c>
      <c r="G1196" s="5">
        <v>0.9</v>
      </c>
      <c r="H1196" s="5">
        <v>0.8</v>
      </c>
      <c r="I1196" s="5">
        <v>0.18333333333333329</v>
      </c>
      <c r="J1196" s="6">
        <v>0.39622641509433959</v>
      </c>
      <c r="K1196" s="6">
        <v>0.88285714285714278</v>
      </c>
      <c r="L1196" s="6">
        <v>0.48839880240045952</v>
      </c>
      <c r="M1196" s="4" t="s">
        <v>136</v>
      </c>
      <c r="N1196" s="4">
        <v>0.10643168385395189</v>
      </c>
      <c r="O1196" s="4">
        <v>0</v>
      </c>
    </row>
    <row r="1197" spans="1:15" x14ac:dyDescent="0.3">
      <c r="A1197" s="4">
        <v>246</v>
      </c>
      <c r="B1197" s="4">
        <v>246000</v>
      </c>
      <c r="C1197" s="4" t="s">
        <v>163</v>
      </c>
      <c r="D1197" s="4" t="s">
        <v>162</v>
      </c>
      <c r="E1197" s="4" t="s">
        <v>17</v>
      </c>
      <c r="F1197" s="4" t="s">
        <v>18</v>
      </c>
      <c r="G1197" s="5">
        <v>0.9</v>
      </c>
      <c r="H1197" s="5">
        <v>0.8</v>
      </c>
      <c r="I1197" s="5">
        <v>0.18333333333333329</v>
      </c>
      <c r="J1197" s="6">
        <v>0.39622641509433959</v>
      </c>
      <c r="K1197" s="6">
        <v>0.88380952380952371</v>
      </c>
      <c r="L1197" s="6">
        <v>0.49914572153267478</v>
      </c>
      <c r="M1197" s="4" t="s">
        <v>47</v>
      </c>
      <c r="N1197" s="4">
        <v>0.1079636633726221</v>
      </c>
      <c r="O1197" s="4">
        <v>0</v>
      </c>
    </row>
    <row r="1198" spans="1:15" x14ac:dyDescent="0.3">
      <c r="A1198" s="4">
        <v>247</v>
      </c>
      <c r="B1198" s="4">
        <v>247000</v>
      </c>
      <c r="C1198" s="4" t="s">
        <v>163</v>
      </c>
      <c r="D1198" s="4" t="s">
        <v>162</v>
      </c>
      <c r="E1198" s="4" t="s">
        <v>17</v>
      </c>
      <c r="F1198" s="4" t="s">
        <v>18</v>
      </c>
      <c r="G1198" s="5">
        <v>0.9</v>
      </c>
      <c r="H1198" s="5">
        <v>0.8</v>
      </c>
      <c r="I1198" s="5">
        <v>0.18333333333333329</v>
      </c>
      <c r="J1198" s="6">
        <v>0.41509433962264147</v>
      </c>
      <c r="K1198" s="6">
        <v>0.88545454545454549</v>
      </c>
      <c r="L1198" s="6">
        <v>0.58511764023487833</v>
      </c>
      <c r="M1198" s="4" t="s">
        <v>47</v>
      </c>
      <c r="N1198" s="4">
        <v>0.1082845087215594</v>
      </c>
      <c r="O1198" s="4">
        <v>0</v>
      </c>
    </row>
    <row r="1199" spans="1:15" x14ac:dyDescent="0.3">
      <c r="A1199" s="4">
        <v>248</v>
      </c>
      <c r="B1199" s="4">
        <v>248000</v>
      </c>
      <c r="C1199" s="4" t="s">
        <v>163</v>
      </c>
      <c r="D1199" s="4" t="s">
        <v>162</v>
      </c>
      <c r="E1199" s="4" t="s">
        <v>17</v>
      </c>
      <c r="F1199" s="4" t="s">
        <v>18</v>
      </c>
      <c r="G1199" s="5">
        <v>0.9</v>
      </c>
      <c r="H1199" s="5">
        <v>0.8</v>
      </c>
      <c r="I1199" s="5">
        <v>0.18333333333333329</v>
      </c>
      <c r="J1199" s="6">
        <v>0.42592592592592587</v>
      </c>
      <c r="K1199" s="6">
        <v>0.88608695652173897</v>
      </c>
      <c r="L1199" s="6">
        <v>0.67027564693717856</v>
      </c>
      <c r="M1199" s="4" t="s">
        <v>142</v>
      </c>
      <c r="N1199" s="4">
        <v>0.11008615598397931</v>
      </c>
      <c r="O1199" s="4">
        <v>0</v>
      </c>
    </row>
    <row r="1200" spans="1:15" x14ac:dyDescent="0.3">
      <c r="A1200" s="4">
        <v>249</v>
      </c>
      <c r="B1200" s="4">
        <v>249000</v>
      </c>
      <c r="C1200" s="4" t="s">
        <v>163</v>
      </c>
      <c r="D1200" s="4" t="s">
        <v>162</v>
      </c>
      <c r="E1200" s="4" t="s">
        <v>17</v>
      </c>
      <c r="F1200" s="4" t="s">
        <v>18</v>
      </c>
      <c r="G1200" s="5">
        <v>0.9</v>
      </c>
      <c r="H1200" s="5">
        <v>0.8</v>
      </c>
      <c r="I1200" s="5">
        <v>0.18333333333333329</v>
      </c>
      <c r="J1200" s="6">
        <v>0.42592592592592587</v>
      </c>
      <c r="K1200" s="6">
        <v>0.88652173913043464</v>
      </c>
      <c r="L1200" s="6">
        <v>0.67600639873027002</v>
      </c>
      <c r="M1200" s="4" t="s">
        <v>142</v>
      </c>
      <c r="N1200" s="4">
        <v>0.1098192619722947</v>
      </c>
      <c r="O1200" s="4">
        <v>0</v>
      </c>
    </row>
    <row r="1201" spans="1:15" x14ac:dyDescent="0.3">
      <c r="A1201" s="4">
        <v>250</v>
      </c>
      <c r="B1201" s="4">
        <v>250000</v>
      </c>
      <c r="C1201" s="4" t="s">
        <v>163</v>
      </c>
      <c r="D1201" s="4" t="s">
        <v>162</v>
      </c>
      <c r="E1201" s="4" t="s">
        <v>17</v>
      </c>
      <c r="F1201" s="4" t="s">
        <v>18</v>
      </c>
      <c r="G1201" s="5">
        <v>0.9</v>
      </c>
      <c r="H1201" s="5">
        <v>0.8</v>
      </c>
      <c r="I1201" s="5">
        <v>0.18333333333333329</v>
      </c>
      <c r="J1201" s="6">
        <v>0.42592592592592587</v>
      </c>
      <c r="K1201" s="6">
        <v>0.88652173913043486</v>
      </c>
      <c r="L1201" s="6">
        <v>0.6800068060971286</v>
      </c>
      <c r="M1201" s="4" t="s">
        <v>142</v>
      </c>
      <c r="N1201" s="4">
        <v>0.1102859481548073</v>
      </c>
      <c r="O1201" s="4">
        <v>0</v>
      </c>
    </row>
    <row r="1202" spans="1:15" x14ac:dyDescent="0.3">
      <c r="A1202" s="4">
        <v>251</v>
      </c>
      <c r="B1202" s="4">
        <v>251000</v>
      </c>
      <c r="C1202" s="4" t="s">
        <v>163</v>
      </c>
      <c r="D1202" s="4" t="s">
        <v>162</v>
      </c>
      <c r="E1202" s="4" t="s">
        <v>17</v>
      </c>
      <c r="F1202" s="4" t="s">
        <v>18</v>
      </c>
      <c r="G1202" s="5">
        <v>0.9</v>
      </c>
      <c r="H1202" s="5">
        <v>0.8</v>
      </c>
      <c r="I1202" s="5">
        <v>0.18333333333333329</v>
      </c>
      <c r="J1202" s="6">
        <v>0.42592592592592587</v>
      </c>
      <c r="K1202" s="6">
        <v>0.88695652173913042</v>
      </c>
      <c r="L1202" s="6">
        <v>0.67865253077975374</v>
      </c>
      <c r="M1202" s="4" t="s">
        <v>25</v>
      </c>
      <c r="N1202" s="4">
        <v>0.1122414905224558</v>
      </c>
      <c r="O1202" s="4">
        <v>0</v>
      </c>
    </row>
    <row r="1203" spans="1:15" x14ac:dyDescent="0.3">
      <c r="A1203" s="4">
        <v>252</v>
      </c>
      <c r="B1203" s="4">
        <v>252000</v>
      </c>
      <c r="C1203" s="4" t="s">
        <v>163</v>
      </c>
      <c r="D1203" s="4" t="s">
        <v>162</v>
      </c>
      <c r="E1203" s="4" t="s">
        <v>17</v>
      </c>
      <c r="F1203" s="4" t="s">
        <v>18</v>
      </c>
      <c r="G1203" s="5">
        <v>0.9</v>
      </c>
      <c r="H1203" s="5">
        <v>0.8</v>
      </c>
      <c r="I1203" s="5">
        <v>0.18333333333333329</v>
      </c>
      <c r="J1203" s="6">
        <v>0.41509433962264147</v>
      </c>
      <c r="K1203" s="6">
        <v>0.8827272727272728</v>
      </c>
      <c r="L1203" s="6">
        <v>0.60793358219919347</v>
      </c>
      <c r="M1203" s="4" t="s">
        <v>25</v>
      </c>
      <c r="N1203" s="4">
        <v>0.1119847807377921</v>
      </c>
      <c r="O1203" s="4">
        <v>0</v>
      </c>
    </row>
    <row r="1204" spans="1:15" x14ac:dyDescent="0.3">
      <c r="A1204" s="4">
        <v>253</v>
      </c>
      <c r="B1204" s="4">
        <v>253000</v>
      </c>
      <c r="C1204" s="4" t="s">
        <v>163</v>
      </c>
      <c r="D1204" s="4" t="s">
        <v>162</v>
      </c>
      <c r="E1204" s="4" t="s">
        <v>17</v>
      </c>
      <c r="F1204" s="4" t="s">
        <v>18</v>
      </c>
      <c r="G1204" s="5">
        <v>0.9</v>
      </c>
      <c r="H1204" s="5">
        <v>0.8</v>
      </c>
      <c r="I1204" s="5">
        <v>0.18333333333333329</v>
      </c>
      <c r="J1204" s="6">
        <v>0.375</v>
      </c>
      <c r="K1204" s="6">
        <v>0.88285714285714278</v>
      </c>
      <c r="L1204" s="6">
        <v>0.64020403819254401</v>
      </c>
      <c r="M1204" s="4" t="s">
        <v>103</v>
      </c>
      <c r="N1204" s="4">
        <v>0.1093608334118015</v>
      </c>
      <c r="O1204" s="4">
        <v>0</v>
      </c>
    </row>
    <row r="1205" spans="1:15" x14ac:dyDescent="0.3">
      <c r="A1205" s="4">
        <v>254</v>
      </c>
      <c r="B1205" s="4">
        <v>254000</v>
      </c>
      <c r="C1205" s="4" t="s">
        <v>163</v>
      </c>
      <c r="D1205" s="4" t="s">
        <v>162</v>
      </c>
      <c r="E1205" s="4" t="s">
        <v>17</v>
      </c>
      <c r="F1205" s="4" t="s">
        <v>18</v>
      </c>
      <c r="G1205" s="5">
        <v>0.9</v>
      </c>
      <c r="H1205" s="5">
        <v>0.8</v>
      </c>
      <c r="I1205" s="5">
        <v>0.18333333333333329</v>
      </c>
      <c r="J1205" s="6">
        <v>0.38596491228070168</v>
      </c>
      <c r="K1205" s="6">
        <v>0.88318181818181818</v>
      </c>
      <c r="L1205" s="6">
        <v>0.59027253199197371</v>
      </c>
      <c r="M1205" s="4" t="s">
        <v>25</v>
      </c>
      <c r="N1205" s="4">
        <v>0.1118101760212724</v>
      </c>
      <c r="O1205" s="4">
        <v>0</v>
      </c>
    </row>
    <row r="1206" spans="1:15" x14ac:dyDescent="0.3">
      <c r="A1206" s="4">
        <v>255</v>
      </c>
      <c r="B1206" s="4">
        <v>255000</v>
      </c>
      <c r="C1206" s="4" t="s">
        <v>163</v>
      </c>
      <c r="D1206" s="4" t="s">
        <v>162</v>
      </c>
      <c r="E1206" s="4" t="s">
        <v>17</v>
      </c>
      <c r="F1206" s="4" t="s">
        <v>18</v>
      </c>
      <c r="G1206" s="5">
        <v>0.9</v>
      </c>
      <c r="H1206" s="5">
        <v>0.8</v>
      </c>
      <c r="I1206" s="5">
        <v>0.18333333333333329</v>
      </c>
      <c r="J1206" s="6">
        <v>0.38983050847457629</v>
      </c>
      <c r="K1206" s="6">
        <v>0.88652173913043486</v>
      </c>
      <c r="L1206" s="6">
        <v>0.6696612232253496</v>
      </c>
      <c r="M1206" s="4" t="s">
        <v>47</v>
      </c>
      <c r="N1206" s="4">
        <v>0.1083763947348096</v>
      </c>
      <c r="O1206" s="4">
        <v>0</v>
      </c>
    </row>
    <row r="1207" spans="1:15" x14ac:dyDescent="0.3">
      <c r="A1207" s="4">
        <v>256</v>
      </c>
      <c r="B1207" s="4">
        <v>256000</v>
      </c>
      <c r="C1207" s="4" t="s">
        <v>163</v>
      </c>
      <c r="D1207" s="4" t="s">
        <v>162</v>
      </c>
      <c r="E1207" s="4" t="s">
        <v>17</v>
      </c>
      <c r="F1207" s="4" t="s">
        <v>18</v>
      </c>
      <c r="G1207" s="5">
        <v>0.9</v>
      </c>
      <c r="H1207" s="5">
        <v>0.8</v>
      </c>
      <c r="I1207" s="5">
        <v>0.18333333333333329</v>
      </c>
      <c r="J1207" s="6">
        <v>0.3559322033898305</v>
      </c>
      <c r="K1207" s="6">
        <v>0.88428571428571434</v>
      </c>
      <c r="L1207" s="6">
        <v>0.73400493095840047</v>
      </c>
      <c r="M1207" s="4" t="s">
        <v>63</v>
      </c>
      <c r="N1207" s="4">
        <v>0.1110752082669671</v>
      </c>
      <c r="O1207" s="4">
        <v>0</v>
      </c>
    </row>
    <row r="1208" spans="1:15" x14ac:dyDescent="0.3">
      <c r="A1208" s="4">
        <v>257</v>
      </c>
      <c r="B1208" s="4">
        <v>257000</v>
      </c>
      <c r="C1208" s="4" t="s">
        <v>163</v>
      </c>
      <c r="D1208" s="4" t="s">
        <v>162</v>
      </c>
      <c r="E1208" s="4" t="s">
        <v>17</v>
      </c>
      <c r="F1208" s="4" t="s">
        <v>18</v>
      </c>
      <c r="G1208" s="5">
        <v>0.9</v>
      </c>
      <c r="H1208" s="5">
        <v>0.8</v>
      </c>
      <c r="I1208" s="5">
        <v>0.18333333333333329</v>
      </c>
      <c r="J1208" s="6">
        <v>0.3559322033898305</v>
      </c>
      <c r="K1208" s="6">
        <v>0.88428571428571434</v>
      </c>
      <c r="L1208" s="6">
        <v>0.73148057773293551</v>
      </c>
      <c r="M1208" s="4" t="s">
        <v>63</v>
      </c>
      <c r="N1208" s="4">
        <v>0.1113273512787285</v>
      </c>
      <c r="O1208" s="4">
        <v>0</v>
      </c>
    </row>
    <row r="1209" spans="1:15" x14ac:dyDescent="0.3">
      <c r="A1209" s="4">
        <v>258</v>
      </c>
      <c r="B1209" s="4">
        <v>258000</v>
      </c>
      <c r="C1209" s="4" t="s">
        <v>163</v>
      </c>
      <c r="D1209" s="4" t="s">
        <v>162</v>
      </c>
      <c r="E1209" s="4" t="s">
        <v>17</v>
      </c>
      <c r="F1209" s="4" t="s">
        <v>18</v>
      </c>
      <c r="G1209" s="5">
        <v>0.9</v>
      </c>
      <c r="H1209" s="5">
        <v>0.8</v>
      </c>
      <c r="I1209" s="5">
        <v>0.18333333333333329</v>
      </c>
      <c r="J1209" s="6">
        <v>0.3559322033898305</v>
      </c>
      <c r="K1209" s="6">
        <v>0.88428571428571434</v>
      </c>
      <c r="L1209" s="6">
        <v>0.73288398926143827</v>
      </c>
      <c r="M1209" s="4" t="s">
        <v>25</v>
      </c>
      <c r="N1209" s="4">
        <v>0.11195796471076511</v>
      </c>
      <c r="O1209" s="4">
        <v>0</v>
      </c>
    </row>
    <row r="1210" spans="1:15" x14ac:dyDescent="0.3">
      <c r="A1210" s="4">
        <v>259</v>
      </c>
      <c r="B1210" s="4">
        <v>259000</v>
      </c>
      <c r="C1210" s="4" t="s">
        <v>163</v>
      </c>
      <c r="D1210" s="4" t="s">
        <v>162</v>
      </c>
      <c r="E1210" s="4" t="s">
        <v>17</v>
      </c>
      <c r="F1210" s="4" t="s">
        <v>18</v>
      </c>
      <c r="G1210" s="5">
        <v>0.9</v>
      </c>
      <c r="H1210" s="5">
        <v>0.8</v>
      </c>
      <c r="I1210" s="5">
        <v>0.18333333333333329</v>
      </c>
      <c r="J1210" s="6">
        <v>0.3728813559322034</v>
      </c>
      <c r="K1210" s="6">
        <v>0.88409090909090904</v>
      </c>
      <c r="L1210" s="6">
        <v>0.6771884450725234</v>
      </c>
      <c r="M1210" s="4" t="s">
        <v>40</v>
      </c>
      <c r="N1210" s="4">
        <v>0.1129466403709395</v>
      </c>
      <c r="O1210" s="4">
        <v>0</v>
      </c>
    </row>
    <row r="1211" spans="1:15" x14ac:dyDescent="0.3">
      <c r="A1211" s="4">
        <v>260</v>
      </c>
      <c r="B1211" s="4">
        <v>260000</v>
      </c>
      <c r="C1211" s="4" t="s">
        <v>163</v>
      </c>
      <c r="D1211" s="4" t="s">
        <v>162</v>
      </c>
      <c r="E1211" s="4" t="s">
        <v>17</v>
      </c>
      <c r="F1211" s="4" t="s">
        <v>18</v>
      </c>
      <c r="G1211" s="5">
        <v>0.9</v>
      </c>
      <c r="H1211" s="5">
        <v>0.8</v>
      </c>
      <c r="I1211" s="5">
        <v>0.18333333333333329</v>
      </c>
      <c r="J1211" s="6">
        <v>0.3559322033898305</v>
      </c>
      <c r="K1211" s="6">
        <v>0.88285714285714278</v>
      </c>
      <c r="L1211" s="6">
        <v>0.73441053417356739</v>
      </c>
      <c r="M1211" s="4" t="s">
        <v>84</v>
      </c>
      <c r="N1211" s="4">
        <v>0.1141907262522998</v>
      </c>
      <c r="O1211" s="4">
        <v>0</v>
      </c>
    </row>
    <row r="1212" spans="1:15" x14ac:dyDescent="0.3">
      <c r="A1212" s="4">
        <v>261</v>
      </c>
      <c r="B1212" s="4">
        <v>261000</v>
      </c>
      <c r="C1212" s="4" t="s">
        <v>163</v>
      </c>
      <c r="D1212" s="4" t="s">
        <v>162</v>
      </c>
      <c r="E1212" s="4" t="s">
        <v>17</v>
      </c>
      <c r="F1212" s="4" t="s">
        <v>18</v>
      </c>
      <c r="G1212" s="5">
        <v>0.9</v>
      </c>
      <c r="H1212" s="5">
        <v>0.8</v>
      </c>
      <c r="I1212" s="5">
        <v>0.18333333333333329</v>
      </c>
      <c r="J1212" s="6">
        <v>0.3559322033898305</v>
      </c>
      <c r="K1212" s="6">
        <v>0.88333333333333341</v>
      </c>
      <c r="L1212" s="6">
        <v>0.73767281470968393</v>
      </c>
      <c r="M1212" s="4" t="s">
        <v>207</v>
      </c>
      <c r="N1212" s="4">
        <v>0.1165538292404231</v>
      </c>
      <c r="O1212" s="4">
        <v>0</v>
      </c>
    </row>
    <row r="1213" spans="1:15" x14ac:dyDescent="0.3">
      <c r="A1213" s="4">
        <v>262</v>
      </c>
      <c r="B1213" s="4">
        <v>262000</v>
      </c>
      <c r="C1213" s="4" t="s">
        <v>163</v>
      </c>
      <c r="D1213" s="4" t="s">
        <v>162</v>
      </c>
      <c r="E1213" s="4" t="s">
        <v>17</v>
      </c>
      <c r="F1213" s="4" t="s">
        <v>18</v>
      </c>
      <c r="G1213" s="5">
        <v>0.9</v>
      </c>
      <c r="H1213" s="5">
        <v>0.8</v>
      </c>
      <c r="I1213" s="5">
        <v>0.18333333333333329</v>
      </c>
      <c r="J1213" s="6">
        <v>0.3559322033898305</v>
      </c>
      <c r="K1213" s="6">
        <v>0.88333333333333341</v>
      </c>
      <c r="L1213" s="6">
        <v>0.74274675430949533</v>
      </c>
      <c r="M1213" s="4" t="s">
        <v>36</v>
      </c>
      <c r="N1213" s="4">
        <v>0.116469963301156</v>
      </c>
      <c r="O1213" s="4">
        <v>0</v>
      </c>
    </row>
    <row r="1214" spans="1:15" x14ac:dyDescent="0.3">
      <c r="A1214" s="4">
        <v>263</v>
      </c>
      <c r="B1214" s="4">
        <v>263000</v>
      </c>
      <c r="C1214" s="4" t="s">
        <v>163</v>
      </c>
      <c r="D1214" s="4" t="s">
        <v>162</v>
      </c>
      <c r="E1214" s="4" t="s">
        <v>17</v>
      </c>
      <c r="F1214" s="4" t="s">
        <v>18</v>
      </c>
      <c r="G1214" s="5">
        <v>0.9</v>
      </c>
      <c r="H1214" s="5">
        <v>0.8</v>
      </c>
      <c r="I1214" s="5">
        <v>0.18333333333333329</v>
      </c>
      <c r="J1214" s="6">
        <v>0.37931034482758619</v>
      </c>
      <c r="K1214" s="6">
        <v>0.88363636363636366</v>
      </c>
      <c r="L1214" s="6">
        <v>0.74971382783882778</v>
      </c>
      <c r="M1214" s="4" t="s">
        <v>112</v>
      </c>
      <c r="N1214" s="4">
        <v>0.12325831399444891</v>
      </c>
      <c r="O1214" s="4">
        <v>0</v>
      </c>
    </row>
    <row r="1215" spans="1:15" x14ac:dyDescent="0.3">
      <c r="A1215" s="4">
        <v>264</v>
      </c>
      <c r="B1215" s="4">
        <v>264000</v>
      </c>
      <c r="C1215" s="4" t="s">
        <v>163</v>
      </c>
      <c r="D1215" s="4" t="s">
        <v>162</v>
      </c>
      <c r="E1215" s="4" t="s">
        <v>17</v>
      </c>
      <c r="F1215" s="4" t="s">
        <v>18</v>
      </c>
      <c r="G1215" s="5">
        <v>0.9</v>
      </c>
      <c r="H1215" s="5">
        <v>0.8</v>
      </c>
      <c r="I1215" s="5">
        <v>0.18333333333333329</v>
      </c>
      <c r="J1215" s="6">
        <v>0.36842105263157893</v>
      </c>
      <c r="K1215" s="6">
        <v>0.88380952380952393</v>
      </c>
      <c r="L1215" s="6">
        <v>0.74622387846072047</v>
      </c>
      <c r="M1215" s="4" t="s">
        <v>112</v>
      </c>
      <c r="N1215" s="4">
        <v>0.1232379944966943</v>
      </c>
      <c r="O1215" s="4">
        <v>0</v>
      </c>
    </row>
    <row r="1216" spans="1:15" x14ac:dyDescent="0.3">
      <c r="A1216" s="4">
        <v>265</v>
      </c>
      <c r="B1216" s="4">
        <v>265000</v>
      </c>
      <c r="C1216" s="4" t="s">
        <v>163</v>
      </c>
      <c r="D1216" s="4" t="s">
        <v>162</v>
      </c>
      <c r="E1216" s="4" t="s">
        <v>17</v>
      </c>
      <c r="F1216" s="4" t="s">
        <v>18</v>
      </c>
      <c r="G1216" s="5">
        <v>0.9</v>
      </c>
      <c r="H1216" s="5">
        <v>0.8</v>
      </c>
      <c r="I1216" s="5">
        <v>0.18333333333333329</v>
      </c>
      <c r="J1216" s="6">
        <v>0.375</v>
      </c>
      <c r="K1216" s="6">
        <v>0.88333333333333341</v>
      </c>
      <c r="L1216" s="6">
        <v>0.7406548012939157</v>
      </c>
      <c r="M1216" s="4" t="s">
        <v>58</v>
      </c>
      <c r="N1216" s="4">
        <v>0.1249671677158922</v>
      </c>
      <c r="O1216" s="4">
        <v>0</v>
      </c>
    </row>
    <row r="1217" spans="1:15" x14ac:dyDescent="0.3">
      <c r="A1217" s="4">
        <v>266</v>
      </c>
      <c r="B1217" s="4">
        <v>266000</v>
      </c>
      <c r="C1217" s="4" t="s">
        <v>163</v>
      </c>
      <c r="D1217" s="4" t="s">
        <v>162</v>
      </c>
      <c r="E1217" s="4" t="s">
        <v>17</v>
      </c>
      <c r="F1217" s="4" t="s">
        <v>18</v>
      </c>
      <c r="G1217" s="5">
        <v>0.9</v>
      </c>
      <c r="H1217" s="5">
        <v>0.8</v>
      </c>
      <c r="I1217" s="5">
        <v>0.18333333333333329</v>
      </c>
      <c r="J1217" s="6">
        <v>0.39285714285714279</v>
      </c>
      <c r="K1217" s="6">
        <v>0.88363636363636366</v>
      </c>
      <c r="L1217" s="6">
        <v>0.74489118498552453</v>
      </c>
      <c r="M1217" s="4" t="s">
        <v>29</v>
      </c>
      <c r="N1217" s="4">
        <v>0.1209168765031312</v>
      </c>
      <c r="O1217" s="4">
        <v>0</v>
      </c>
    </row>
    <row r="1218" spans="1:15" x14ac:dyDescent="0.3">
      <c r="A1218" s="4">
        <v>267</v>
      </c>
      <c r="B1218" s="4">
        <v>267000</v>
      </c>
      <c r="C1218" s="4" t="s">
        <v>163</v>
      </c>
      <c r="D1218" s="4" t="s">
        <v>162</v>
      </c>
      <c r="E1218" s="4" t="s">
        <v>17</v>
      </c>
      <c r="F1218" s="4" t="s">
        <v>18</v>
      </c>
      <c r="G1218" s="5">
        <v>0.9</v>
      </c>
      <c r="H1218" s="5">
        <v>0.8</v>
      </c>
      <c r="I1218" s="5">
        <v>0.18333333333333329</v>
      </c>
      <c r="J1218" s="6">
        <v>0.375</v>
      </c>
      <c r="K1218" s="6">
        <v>0.88380952380952393</v>
      </c>
      <c r="L1218" s="6">
        <v>0.75601199464986846</v>
      </c>
      <c r="M1218" s="4" t="s">
        <v>112</v>
      </c>
      <c r="N1218" s="4">
        <v>0.12264070568941381</v>
      </c>
      <c r="O1218" s="4">
        <v>0</v>
      </c>
    </row>
    <row r="1219" spans="1:15" x14ac:dyDescent="0.3">
      <c r="A1219" s="4">
        <v>268</v>
      </c>
      <c r="B1219" s="4">
        <v>268000</v>
      </c>
      <c r="C1219" s="4" t="s">
        <v>163</v>
      </c>
      <c r="D1219" s="4" t="s">
        <v>162</v>
      </c>
      <c r="E1219" s="4" t="s">
        <v>17</v>
      </c>
      <c r="F1219" s="4" t="s">
        <v>18</v>
      </c>
      <c r="G1219" s="5">
        <v>0.9</v>
      </c>
      <c r="H1219" s="5">
        <v>0.8</v>
      </c>
      <c r="I1219" s="5">
        <v>0.18333333333333329</v>
      </c>
      <c r="J1219" s="6">
        <v>0.38596491228070168</v>
      </c>
      <c r="K1219" s="6">
        <v>0.88454545454545463</v>
      </c>
      <c r="L1219" s="6">
        <v>0.75898692810457513</v>
      </c>
      <c r="M1219" s="4" t="s">
        <v>112</v>
      </c>
      <c r="N1219" s="4">
        <v>0.1228488901583718</v>
      </c>
      <c r="O1219" s="4">
        <v>0</v>
      </c>
    </row>
    <row r="1220" spans="1:15" x14ac:dyDescent="0.3">
      <c r="A1220" s="4">
        <v>269</v>
      </c>
      <c r="B1220" s="4">
        <v>269000</v>
      </c>
      <c r="C1220" s="4" t="s">
        <v>163</v>
      </c>
      <c r="D1220" s="4" t="s">
        <v>162</v>
      </c>
      <c r="E1220" s="4" t="s">
        <v>17</v>
      </c>
      <c r="F1220" s="4" t="s">
        <v>18</v>
      </c>
      <c r="G1220" s="5">
        <v>0.9</v>
      </c>
      <c r="H1220" s="5">
        <v>0.8</v>
      </c>
      <c r="I1220" s="5">
        <v>0.18333333333333329</v>
      </c>
      <c r="J1220" s="6">
        <v>0.375</v>
      </c>
      <c r="K1220" s="6">
        <v>0.88333333333333319</v>
      </c>
      <c r="L1220" s="6">
        <v>0.75351344914552465</v>
      </c>
      <c r="M1220" s="4" t="s">
        <v>207</v>
      </c>
      <c r="N1220" s="4">
        <v>0.1174751504011516</v>
      </c>
      <c r="O1220" s="4">
        <v>0</v>
      </c>
    </row>
    <row r="1221" spans="1:15" x14ac:dyDescent="0.3">
      <c r="A1221" s="4">
        <v>270</v>
      </c>
      <c r="B1221" s="4">
        <v>270000</v>
      </c>
      <c r="C1221" s="4" t="s">
        <v>163</v>
      </c>
      <c r="D1221" s="4" t="s">
        <v>162</v>
      </c>
      <c r="E1221" s="4" t="s">
        <v>17</v>
      </c>
      <c r="F1221" s="4" t="s">
        <v>18</v>
      </c>
      <c r="G1221" s="5">
        <v>0.9</v>
      </c>
      <c r="H1221" s="5">
        <v>0.8</v>
      </c>
      <c r="I1221" s="5">
        <v>0.18333333333333329</v>
      </c>
      <c r="J1221" s="6">
        <v>0.375</v>
      </c>
      <c r="K1221" s="6">
        <v>0.88380952380952371</v>
      </c>
      <c r="L1221" s="6">
        <v>0.75388522017400872</v>
      </c>
      <c r="M1221" s="4" t="s">
        <v>68</v>
      </c>
      <c r="N1221" s="4">
        <v>0.118126768450553</v>
      </c>
      <c r="O1221" s="4">
        <v>0</v>
      </c>
    </row>
    <row r="1222" spans="1:15" x14ac:dyDescent="0.3">
      <c r="A1222" s="4">
        <v>271</v>
      </c>
      <c r="B1222" s="4">
        <v>271000</v>
      </c>
      <c r="C1222" s="4" t="s">
        <v>163</v>
      </c>
      <c r="D1222" s="4" t="s">
        <v>162</v>
      </c>
      <c r="E1222" s="4" t="s">
        <v>17</v>
      </c>
      <c r="F1222" s="4" t="s">
        <v>18</v>
      </c>
      <c r="G1222" s="5">
        <v>0.9</v>
      </c>
      <c r="H1222" s="5">
        <v>0.8</v>
      </c>
      <c r="I1222" s="5">
        <v>0.18333333333333329</v>
      </c>
      <c r="J1222" s="6">
        <v>0.39285714285714279</v>
      </c>
      <c r="K1222" s="6">
        <v>0.88409090909090904</v>
      </c>
      <c r="L1222" s="6">
        <v>0.75578017370470207</v>
      </c>
      <c r="M1222" s="4" t="s">
        <v>68</v>
      </c>
      <c r="N1222" s="4">
        <v>0.1184259037792265</v>
      </c>
      <c r="O1222" s="4">
        <v>0</v>
      </c>
    </row>
    <row r="1223" spans="1:15" x14ac:dyDescent="0.3">
      <c r="A1223" s="4">
        <v>272</v>
      </c>
      <c r="B1223" s="4">
        <v>272000</v>
      </c>
      <c r="C1223" s="4" t="s">
        <v>163</v>
      </c>
      <c r="D1223" s="4" t="s">
        <v>162</v>
      </c>
      <c r="E1223" s="4" t="s">
        <v>17</v>
      </c>
      <c r="F1223" s="4" t="s">
        <v>18</v>
      </c>
      <c r="G1223" s="5">
        <v>0.9</v>
      </c>
      <c r="H1223" s="5">
        <v>0.8</v>
      </c>
      <c r="I1223" s="5">
        <v>0.18333333333333329</v>
      </c>
      <c r="J1223" s="6">
        <v>0.39285714285714279</v>
      </c>
      <c r="K1223" s="6">
        <v>0.88363636363636355</v>
      </c>
      <c r="L1223" s="6">
        <v>0.75412136313299105</v>
      </c>
      <c r="M1223" s="4" t="s">
        <v>91</v>
      </c>
      <c r="N1223" s="4">
        <v>0.11931729130444479</v>
      </c>
      <c r="O1223" s="4">
        <v>0</v>
      </c>
    </row>
    <row r="1224" spans="1:15" x14ac:dyDescent="0.3">
      <c r="A1224" s="4">
        <v>273</v>
      </c>
      <c r="B1224" s="4">
        <v>273000</v>
      </c>
      <c r="C1224" s="4" t="s">
        <v>163</v>
      </c>
      <c r="D1224" s="4" t="s">
        <v>162</v>
      </c>
      <c r="E1224" s="4" t="s">
        <v>17</v>
      </c>
      <c r="F1224" s="4" t="s">
        <v>18</v>
      </c>
      <c r="G1224" s="5">
        <v>0.9</v>
      </c>
      <c r="H1224" s="5">
        <v>0.8</v>
      </c>
      <c r="I1224" s="5">
        <v>0.18333333333333329</v>
      </c>
      <c r="J1224" s="6">
        <v>0.38596491228070168</v>
      </c>
      <c r="K1224" s="6">
        <v>0.88318181818181796</v>
      </c>
      <c r="L1224" s="6">
        <v>0.75428082191780832</v>
      </c>
      <c r="M1224" s="4" t="s">
        <v>91</v>
      </c>
      <c r="N1224" s="4">
        <v>0.1194151880658948</v>
      </c>
      <c r="O1224" s="4">
        <v>0</v>
      </c>
    </row>
    <row r="1225" spans="1:15" x14ac:dyDescent="0.3">
      <c r="A1225" s="4">
        <v>274</v>
      </c>
      <c r="B1225" s="4">
        <v>274000</v>
      </c>
      <c r="C1225" s="4" t="s">
        <v>163</v>
      </c>
      <c r="D1225" s="4" t="s">
        <v>162</v>
      </c>
      <c r="E1225" s="4" t="s">
        <v>17</v>
      </c>
      <c r="F1225" s="4" t="s">
        <v>18</v>
      </c>
      <c r="G1225" s="5">
        <v>0.9</v>
      </c>
      <c r="H1225" s="5">
        <v>0.8</v>
      </c>
      <c r="I1225" s="5">
        <v>0.18333333333333329</v>
      </c>
      <c r="J1225" s="6">
        <v>0.32758620689655171</v>
      </c>
      <c r="K1225" s="6">
        <v>0.92789473684210522</v>
      </c>
      <c r="L1225" s="6">
        <v>0.755878668575519</v>
      </c>
      <c r="M1225" s="4" t="s">
        <v>29</v>
      </c>
      <c r="N1225" s="4">
        <v>0.12093934722166109</v>
      </c>
      <c r="O1225" s="4">
        <v>0</v>
      </c>
    </row>
    <row r="1226" spans="1:15" x14ac:dyDescent="0.3">
      <c r="A1226" s="4">
        <v>275</v>
      </c>
      <c r="B1226" s="4">
        <v>275000</v>
      </c>
      <c r="C1226" s="4" t="s">
        <v>163</v>
      </c>
      <c r="D1226" s="4" t="s">
        <v>162</v>
      </c>
      <c r="E1226" s="4" t="s">
        <v>17</v>
      </c>
      <c r="F1226" s="4" t="s">
        <v>18</v>
      </c>
      <c r="G1226" s="5">
        <v>0.9</v>
      </c>
      <c r="H1226" s="5">
        <v>0.8</v>
      </c>
      <c r="I1226" s="5">
        <v>0.18333333333333329</v>
      </c>
      <c r="J1226" s="6">
        <v>0.34482758620689657</v>
      </c>
      <c r="K1226" s="6">
        <v>0.92649999999999988</v>
      </c>
      <c r="L1226" s="6">
        <v>0.7552036363967608</v>
      </c>
      <c r="M1226" s="4" t="s">
        <v>29</v>
      </c>
      <c r="N1226" s="4">
        <v>0.1208497323110207</v>
      </c>
      <c r="O1226" s="4">
        <v>0</v>
      </c>
    </row>
    <row r="1227" spans="1:15" x14ac:dyDescent="0.3">
      <c r="A1227" s="4">
        <v>276</v>
      </c>
      <c r="B1227" s="4">
        <v>276000</v>
      </c>
      <c r="C1227" s="4" t="s">
        <v>163</v>
      </c>
      <c r="D1227" s="4" t="s">
        <v>162</v>
      </c>
      <c r="E1227" s="4" t="s">
        <v>17</v>
      </c>
      <c r="F1227" s="4" t="s">
        <v>18</v>
      </c>
      <c r="G1227" s="5">
        <v>0.9</v>
      </c>
      <c r="H1227" s="5">
        <v>0.8</v>
      </c>
      <c r="I1227" s="5">
        <v>0.18333333333333329</v>
      </c>
      <c r="J1227" s="6">
        <v>0.32203389830508472</v>
      </c>
      <c r="K1227" s="6">
        <v>0.92842105263157892</v>
      </c>
      <c r="L1227" s="6">
        <v>0.75202252366808531</v>
      </c>
      <c r="M1227" s="4" t="s">
        <v>75</v>
      </c>
      <c r="N1227" s="4">
        <v>0.1260161534298776</v>
      </c>
      <c r="O1227" s="4">
        <v>0</v>
      </c>
    </row>
    <row r="1228" spans="1:15" x14ac:dyDescent="0.3">
      <c r="A1228" s="4">
        <v>277</v>
      </c>
      <c r="B1228" s="4">
        <v>277000</v>
      </c>
      <c r="C1228" s="4" t="s">
        <v>163</v>
      </c>
      <c r="D1228" s="4" t="s">
        <v>162</v>
      </c>
      <c r="E1228" s="4" t="s">
        <v>17</v>
      </c>
      <c r="F1228" s="4" t="s">
        <v>18</v>
      </c>
      <c r="G1228" s="5">
        <v>0.9</v>
      </c>
      <c r="H1228" s="5">
        <v>0.8</v>
      </c>
      <c r="I1228" s="5">
        <v>0.18333333333333329</v>
      </c>
      <c r="J1228" s="6">
        <v>0.32203389830508472</v>
      </c>
      <c r="K1228" s="6">
        <v>0.92842105263157881</v>
      </c>
      <c r="L1228" s="6">
        <v>0.7459348072244788</v>
      </c>
      <c r="M1228" s="4" t="s">
        <v>75</v>
      </c>
      <c r="N1228" s="4">
        <v>0.1257136327440414</v>
      </c>
      <c r="O1228" s="4">
        <v>0</v>
      </c>
    </row>
    <row r="1229" spans="1:15" x14ac:dyDescent="0.3">
      <c r="A1229" s="4">
        <v>278</v>
      </c>
      <c r="B1229" s="4">
        <v>278000</v>
      </c>
      <c r="C1229" s="4" t="s">
        <v>163</v>
      </c>
      <c r="D1229" s="4" t="s">
        <v>162</v>
      </c>
      <c r="E1229" s="4" t="s">
        <v>17</v>
      </c>
      <c r="F1229" s="4" t="s">
        <v>18</v>
      </c>
      <c r="G1229" s="5">
        <v>0.9</v>
      </c>
      <c r="H1229" s="5">
        <v>0.8</v>
      </c>
      <c r="I1229" s="5">
        <v>0.18333333333333329</v>
      </c>
      <c r="J1229" s="6">
        <v>0.32203389830508472</v>
      </c>
      <c r="K1229" s="6">
        <v>0.92789473684210522</v>
      </c>
      <c r="L1229" s="6">
        <v>0.75389103389103396</v>
      </c>
      <c r="M1229" s="4" t="s">
        <v>42</v>
      </c>
      <c r="N1229" s="4">
        <v>0.1294971879114325</v>
      </c>
      <c r="O1229" s="4">
        <v>0</v>
      </c>
    </row>
    <row r="1230" spans="1:15" x14ac:dyDescent="0.3">
      <c r="A1230" s="4">
        <v>279</v>
      </c>
      <c r="B1230" s="4">
        <v>279000</v>
      </c>
      <c r="C1230" s="4" t="s">
        <v>163</v>
      </c>
      <c r="D1230" s="4" t="s">
        <v>162</v>
      </c>
      <c r="E1230" s="4" t="s">
        <v>17</v>
      </c>
      <c r="F1230" s="4" t="s">
        <v>18</v>
      </c>
      <c r="G1230" s="5">
        <v>0.9</v>
      </c>
      <c r="H1230" s="5">
        <v>0.8</v>
      </c>
      <c r="I1230" s="5">
        <v>0.18333333333333329</v>
      </c>
      <c r="J1230" s="6">
        <v>0.31666666666666671</v>
      </c>
      <c r="K1230" s="6">
        <v>0.92842105263157892</v>
      </c>
      <c r="L1230" s="6">
        <v>0.75828198960691495</v>
      </c>
      <c r="M1230" s="4" t="s">
        <v>98</v>
      </c>
      <c r="N1230" s="4">
        <v>0.12990318630268849</v>
      </c>
      <c r="O1230" s="4">
        <v>0</v>
      </c>
    </row>
    <row r="1231" spans="1:15" x14ac:dyDescent="0.3">
      <c r="A1231" s="4">
        <v>280</v>
      </c>
      <c r="B1231" s="4">
        <v>280000</v>
      </c>
      <c r="C1231" s="4" t="s">
        <v>163</v>
      </c>
      <c r="D1231" s="4" t="s">
        <v>162</v>
      </c>
      <c r="E1231" s="4" t="s">
        <v>17</v>
      </c>
      <c r="F1231" s="4" t="s">
        <v>18</v>
      </c>
      <c r="G1231" s="5">
        <v>0.9</v>
      </c>
      <c r="H1231" s="5">
        <v>0.8</v>
      </c>
      <c r="I1231" s="5">
        <v>0.18333333333333329</v>
      </c>
      <c r="J1231" s="6">
        <v>0.32203389830508472</v>
      </c>
      <c r="K1231" s="6">
        <v>0.92684210526315791</v>
      </c>
      <c r="L1231" s="6">
        <v>0.75658752953140551</v>
      </c>
      <c r="M1231" s="4" t="s">
        <v>100</v>
      </c>
      <c r="N1231" s="4">
        <v>0.1312416466922022</v>
      </c>
      <c r="O1231" s="4">
        <v>0</v>
      </c>
    </row>
    <row r="1232" spans="1:15" x14ac:dyDescent="0.3">
      <c r="A1232" s="4">
        <v>281</v>
      </c>
      <c r="B1232" s="4">
        <v>281000</v>
      </c>
      <c r="C1232" s="4" t="s">
        <v>163</v>
      </c>
      <c r="D1232" s="4" t="s">
        <v>162</v>
      </c>
      <c r="E1232" s="4" t="s">
        <v>17</v>
      </c>
      <c r="F1232" s="4" t="s">
        <v>18</v>
      </c>
      <c r="G1232" s="5">
        <v>0.9</v>
      </c>
      <c r="H1232" s="5">
        <v>0.8</v>
      </c>
      <c r="I1232" s="5">
        <v>0.18333333333333329</v>
      </c>
      <c r="J1232" s="6">
        <v>0.32203389830508472</v>
      </c>
      <c r="K1232" s="6">
        <v>0.92631578947368409</v>
      </c>
      <c r="L1232" s="6">
        <v>0.75661946902654864</v>
      </c>
      <c r="M1232" s="4" t="s">
        <v>32</v>
      </c>
      <c r="N1232" s="4">
        <v>0.13195647455385981</v>
      </c>
      <c r="O1232" s="4">
        <v>0</v>
      </c>
    </row>
    <row r="1233" spans="1:15" x14ac:dyDescent="0.3">
      <c r="A1233" s="4">
        <v>282</v>
      </c>
      <c r="B1233" s="4">
        <v>282000</v>
      </c>
      <c r="C1233" s="4" t="s">
        <v>163</v>
      </c>
      <c r="D1233" s="4" t="s">
        <v>162</v>
      </c>
      <c r="E1233" s="4" t="s">
        <v>17</v>
      </c>
      <c r="F1233" s="4" t="s">
        <v>18</v>
      </c>
      <c r="G1233" s="5">
        <v>0.9</v>
      </c>
      <c r="H1233" s="5">
        <v>0.8</v>
      </c>
      <c r="I1233" s="5">
        <v>0.18333333333333329</v>
      </c>
      <c r="J1233" s="6">
        <v>0.32758620689655171</v>
      </c>
      <c r="K1233" s="6">
        <v>0.92631578947368409</v>
      </c>
      <c r="L1233" s="6">
        <v>0.76375862068965517</v>
      </c>
      <c r="M1233" s="4" t="s">
        <v>65</v>
      </c>
      <c r="N1233" s="4">
        <v>0.13584712340347119</v>
      </c>
      <c r="O1233" s="4">
        <v>0</v>
      </c>
    </row>
    <row r="1234" spans="1:15" x14ac:dyDescent="0.3">
      <c r="A1234" s="4">
        <v>283</v>
      </c>
      <c r="B1234" s="4">
        <v>283000</v>
      </c>
      <c r="C1234" s="4" t="s">
        <v>163</v>
      </c>
      <c r="D1234" s="4" t="s">
        <v>162</v>
      </c>
      <c r="E1234" s="4" t="s">
        <v>17</v>
      </c>
      <c r="F1234" s="4" t="s">
        <v>18</v>
      </c>
      <c r="G1234" s="5">
        <v>0.9</v>
      </c>
      <c r="H1234" s="5">
        <v>0.8</v>
      </c>
      <c r="I1234" s="5">
        <v>0.18333333333333329</v>
      </c>
      <c r="J1234" s="6">
        <v>0.32758620689655171</v>
      </c>
      <c r="K1234" s="6">
        <v>0.92578947368421038</v>
      </c>
      <c r="L1234" s="6">
        <v>0.77185185185185179</v>
      </c>
      <c r="M1234" s="4" t="s">
        <v>86</v>
      </c>
      <c r="N1234" s="4">
        <v>0.1410185766108967</v>
      </c>
      <c r="O1234" s="4">
        <v>0</v>
      </c>
    </row>
    <row r="1235" spans="1:15" x14ac:dyDescent="0.3">
      <c r="A1235" s="4">
        <v>284</v>
      </c>
      <c r="B1235" s="4">
        <v>284000</v>
      </c>
      <c r="C1235" s="4" t="s">
        <v>163</v>
      </c>
      <c r="D1235" s="4" t="s">
        <v>162</v>
      </c>
      <c r="E1235" s="4" t="s">
        <v>17</v>
      </c>
      <c r="F1235" s="4" t="s">
        <v>18</v>
      </c>
      <c r="G1235" s="5">
        <v>0.9</v>
      </c>
      <c r="H1235" s="5">
        <v>0.8</v>
      </c>
      <c r="I1235" s="5">
        <v>0.18333333333333329</v>
      </c>
      <c r="J1235" s="6">
        <v>0.31578947368421051</v>
      </c>
      <c r="K1235" s="6">
        <v>0.92722222222222228</v>
      </c>
      <c r="L1235" s="6">
        <v>0.77281344906284255</v>
      </c>
      <c r="M1235" s="4" t="s">
        <v>86</v>
      </c>
      <c r="N1235" s="4">
        <v>0.14066078601918999</v>
      </c>
      <c r="O1235" s="4">
        <v>0</v>
      </c>
    </row>
    <row r="1236" spans="1:15" x14ac:dyDescent="0.3">
      <c r="A1236" s="4">
        <v>285</v>
      </c>
      <c r="B1236" s="4">
        <v>285000</v>
      </c>
      <c r="C1236" s="4" t="s">
        <v>163</v>
      </c>
      <c r="D1236" s="4" t="s">
        <v>162</v>
      </c>
      <c r="E1236" s="4" t="s">
        <v>17</v>
      </c>
      <c r="F1236" s="4" t="s">
        <v>18</v>
      </c>
      <c r="G1236" s="5">
        <v>0.9</v>
      </c>
      <c r="H1236" s="5">
        <v>0.8</v>
      </c>
      <c r="I1236" s="5">
        <v>0.18333333333333329</v>
      </c>
      <c r="J1236" s="6">
        <v>0.31578947368421051</v>
      </c>
      <c r="K1236" s="6">
        <v>0.92666666666666664</v>
      </c>
      <c r="L1236" s="6">
        <v>0.76209320469399133</v>
      </c>
      <c r="M1236" s="4" t="s">
        <v>105</v>
      </c>
      <c r="N1236" s="4">
        <v>0.1392272761593637</v>
      </c>
      <c r="O1236" s="4">
        <v>0</v>
      </c>
    </row>
    <row r="1237" spans="1:15" x14ac:dyDescent="0.3">
      <c r="A1237" s="4">
        <v>286</v>
      </c>
      <c r="B1237" s="4">
        <v>286000</v>
      </c>
      <c r="C1237" s="4" t="s">
        <v>163</v>
      </c>
      <c r="D1237" s="4" t="s">
        <v>162</v>
      </c>
      <c r="E1237" s="4" t="s">
        <v>17</v>
      </c>
      <c r="F1237" s="4" t="s">
        <v>18</v>
      </c>
      <c r="G1237" s="5">
        <v>0.9</v>
      </c>
      <c r="H1237" s="5">
        <v>0.8</v>
      </c>
      <c r="I1237" s="5">
        <v>0.18333333333333329</v>
      </c>
      <c r="J1237" s="6">
        <v>0.31034482758620691</v>
      </c>
      <c r="K1237" s="6">
        <v>0.92666666666666664</v>
      </c>
      <c r="L1237" s="6">
        <v>0.77238095238095239</v>
      </c>
      <c r="M1237" s="4" t="s">
        <v>34</v>
      </c>
      <c r="N1237" s="4">
        <v>0.1429923067759811</v>
      </c>
      <c r="O1237" s="4">
        <v>0</v>
      </c>
    </row>
    <row r="1238" spans="1:15" x14ac:dyDescent="0.3">
      <c r="A1238" s="4">
        <v>287</v>
      </c>
      <c r="B1238" s="4">
        <v>287000</v>
      </c>
      <c r="C1238" s="4" t="s">
        <v>163</v>
      </c>
      <c r="D1238" s="4" t="s">
        <v>162</v>
      </c>
      <c r="E1238" s="4" t="s">
        <v>17</v>
      </c>
      <c r="F1238" s="4" t="s">
        <v>18</v>
      </c>
      <c r="G1238" s="5">
        <v>0.9</v>
      </c>
      <c r="H1238" s="5">
        <v>0.8</v>
      </c>
      <c r="I1238" s="5">
        <v>0.18333333333333329</v>
      </c>
      <c r="J1238" s="6">
        <v>0.31034482758620691</v>
      </c>
      <c r="K1238" s="6">
        <v>0.92555555555555558</v>
      </c>
      <c r="L1238" s="6">
        <v>0.78610429633668022</v>
      </c>
      <c r="M1238" s="4" t="s">
        <v>122</v>
      </c>
      <c r="N1238" s="4">
        <v>0.14648738556292179</v>
      </c>
      <c r="O1238" s="4">
        <v>0</v>
      </c>
    </row>
    <row r="1239" spans="1:15" x14ac:dyDescent="0.3">
      <c r="A1239" s="4">
        <v>288</v>
      </c>
      <c r="B1239" s="4">
        <v>288000</v>
      </c>
      <c r="C1239" s="4" t="s">
        <v>163</v>
      </c>
      <c r="D1239" s="4" t="s">
        <v>162</v>
      </c>
      <c r="E1239" s="4" t="s">
        <v>17</v>
      </c>
      <c r="F1239" s="4" t="s">
        <v>18</v>
      </c>
      <c r="G1239" s="5">
        <v>0.9</v>
      </c>
      <c r="H1239" s="5">
        <v>0.4</v>
      </c>
      <c r="I1239" s="5">
        <v>0.1166666666666667</v>
      </c>
      <c r="J1239" s="6">
        <v>0.31034482758620691</v>
      </c>
      <c r="K1239" s="6">
        <v>0.92500000000000016</v>
      </c>
      <c r="L1239" s="6">
        <v>0.78656929005888387</v>
      </c>
      <c r="M1239" s="4" t="s">
        <v>96</v>
      </c>
      <c r="N1239" s="4">
        <v>0.1503312133022208</v>
      </c>
      <c r="O1239" s="4">
        <v>1</v>
      </c>
    </row>
    <row r="1240" spans="1:15" x14ac:dyDescent="0.3">
      <c r="A1240" s="4">
        <v>289</v>
      </c>
      <c r="B1240" s="4">
        <v>289000</v>
      </c>
      <c r="C1240" s="4" t="s">
        <v>163</v>
      </c>
      <c r="D1240" s="4" t="s">
        <v>162</v>
      </c>
      <c r="E1240" s="4" t="s">
        <v>17</v>
      </c>
      <c r="F1240" s="4" t="s">
        <v>18</v>
      </c>
      <c r="G1240" s="5">
        <v>0.9</v>
      </c>
      <c r="H1240" s="5">
        <v>0.4</v>
      </c>
      <c r="I1240" s="5">
        <v>0.1166666666666667</v>
      </c>
      <c r="J1240" s="6">
        <v>0.31034482758620691</v>
      </c>
      <c r="K1240" s="6">
        <v>0.92500000000000016</v>
      </c>
      <c r="L1240" s="6">
        <v>0.78387483697948235</v>
      </c>
      <c r="M1240" s="4" t="s">
        <v>208</v>
      </c>
      <c r="N1240" s="4">
        <v>1.476486936055952E-2</v>
      </c>
      <c r="O1240" s="4">
        <v>0</v>
      </c>
    </row>
    <row r="1241" spans="1:15" x14ac:dyDescent="0.3">
      <c r="A1241" s="4">
        <v>290</v>
      </c>
      <c r="B1241" s="4">
        <v>290000</v>
      </c>
      <c r="C1241" s="4" t="s">
        <v>163</v>
      </c>
      <c r="D1241" s="4" t="s">
        <v>162</v>
      </c>
      <c r="E1241" s="4" t="s">
        <v>17</v>
      </c>
      <c r="F1241" s="4" t="s">
        <v>18</v>
      </c>
      <c r="G1241" s="5">
        <v>0.9</v>
      </c>
      <c r="H1241" s="5">
        <v>0.4</v>
      </c>
      <c r="I1241" s="5">
        <v>0.1166666666666667</v>
      </c>
      <c r="J1241" s="6">
        <v>0.32142857142857151</v>
      </c>
      <c r="K1241" s="6">
        <v>0.92666666666666664</v>
      </c>
      <c r="L1241" s="6">
        <v>0.72415564615027661</v>
      </c>
      <c r="M1241" s="4" t="s">
        <v>209</v>
      </c>
      <c r="N1241" s="4">
        <v>3.2789939992155903E-2</v>
      </c>
      <c r="O1241" s="4">
        <v>0</v>
      </c>
    </row>
    <row r="1242" spans="1:15" x14ac:dyDescent="0.3">
      <c r="A1242" s="4">
        <v>291</v>
      </c>
      <c r="B1242" s="4">
        <v>291000</v>
      </c>
      <c r="C1242" s="4" t="s">
        <v>163</v>
      </c>
      <c r="D1242" s="4" t="s">
        <v>162</v>
      </c>
      <c r="E1242" s="4" t="s">
        <v>17</v>
      </c>
      <c r="F1242" s="4" t="s">
        <v>18</v>
      </c>
      <c r="G1242" s="5">
        <v>0.9</v>
      </c>
      <c r="H1242" s="5">
        <v>0.4</v>
      </c>
      <c r="I1242" s="5">
        <v>0.1166666666666667</v>
      </c>
      <c r="J1242" s="6">
        <v>0.32142857142857151</v>
      </c>
      <c r="K1242" s="6">
        <v>0.92666666666666664</v>
      </c>
      <c r="L1242" s="6">
        <v>0.72859547859547868</v>
      </c>
      <c r="M1242" s="4" t="s">
        <v>203</v>
      </c>
      <c r="N1242" s="4">
        <v>3.5219863300281401E-2</v>
      </c>
      <c r="O1242" s="4">
        <v>0</v>
      </c>
    </row>
    <row r="1243" spans="1:15" x14ac:dyDescent="0.3">
      <c r="A1243" s="4">
        <v>292</v>
      </c>
      <c r="B1243" s="4">
        <v>292000</v>
      </c>
      <c r="C1243" s="4" t="s">
        <v>163</v>
      </c>
      <c r="D1243" s="4" t="s">
        <v>162</v>
      </c>
      <c r="E1243" s="4" t="s">
        <v>17</v>
      </c>
      <c r="F1243" s="4" t="s">
        <v>18</v>
      </c>
      <c r="G1243" s="5">
        <v>0.9</v>
      </c>
      <c r="H1243" s="5">
        <v>0.4</v>
      </c>
      <c r="I1243" s="5">
        <v>0.1166666666666667</v>
      </c>
      <c r="J1243" s="6">
        <v>0.32142857142857151</v>
      </c>
      <c r="K1243" s="6">
        <v>0.92666666666666664</v>
      </c>
      <c r="L1243" s="6">
        <v>0.72461225787406036</v>
      </c>
      <c r="M1243" s="4" t="s">
        <v>204</v>
      </c>
      <c r="N1243" s="4">
        <v>3.8631936734404772E-2</v>
      </c>
      <c r="O1243" s="4">
        <v>0</v>
      </c>
    </row>
    <row r="1244" spans="1:15" x14ac:dyDescent="0.3">
      <c r="A1244" s="4">
        <v>293</v>
      </c>
      <c r="B1244" s="4">
        <v>293000</v>
      </c>
      <c r="C1244" s="4" t="s">
        <v>163</v>
      </c>
      <c r="D1244" s="4" t="s">
        <v>162</v>
      </c>
      <c r="E1244" s="4" t="s">
        <v>17</v>
      </c>
      <c r="F1244" s="4" t="s">
        <v>18</v>
      </c>
      <c r="G1244" s="5">
        <v>0.9</v>
      </c>
      <c r="H1244" s="5">
        <v>0.4</v>
      </c>
      <c r="I1244" s="5">
        <v>0.1166666666666667</v>
      </c>
      <c r="J1244" s="6">
        <v>0.32142857142857151</v>
      </c>
      <c r="K1244" s="6">
        <v>0.92722222222222228</v>
      </c>
      <c r="L1244" s="6">
        <v>0.72534297367445311</v>
      </c>
      <c r="M1244" s="4" t="s">
        <v>210</v>
      </c>
      <c r="N1244" s="4">
        <v>4.1735030744088963E-2</v>
      </c>
      <c r="O1244" s="4">
        <v>0</v>
      </c>
    </row>
    <row r="1245" spans="1:15" x14ac:dyDescent="0.3">
      <c r="A1245" s="4">
        <v>294</v>
      </c>
      <c r="B1245" s="4">
        <v>294000</v>
      </c>
      <c r="C1245" s="4" t="s">
        <v>163</v>
      </c>
      <c r="D1245" s="4" t="s">
        <v>162</v>
      </c>
      <c r="E1245" s="4" t="s">
        <v>17</v>
      </c>
      <c r="F1245" s="4" t="s">
        <v>18</v>
      </c>
      <c r="G1245" s="5">
        <v>0.9</v>
      </c>
      <c r="H1245" s="5">
        <v>0.4</v>
      </c>
      <c r="I1245" s="5">
        <v>0.1166666666666667</v>
      </c>
      <c r="J1245" s="6">
        <v>0.32142857142857151</v>
      </c>
      <c r="K1245" s="6">
        <v>0.92666666666666664</v>
      </c>
      <c r="L1245" s="6">
        <v>0.72180160265266657</v>
      </c>
      <c r="M1245" s="4" t="s">
        <v>193</v>
      </c>
      <c r="N1245" s="4">
        <v>4.7509123173672181E-2</v>
      </c>
      <c r="O1245" s="4">
        <v>0</v>
      </c>
    </row>
    <row r="1246" spans="1:15" x14ac:dyDescent="0.3">
      <c r="A1246" s="4">
        <v>295</v>
      </c>
      <c r="B1246" s="4">
        <v>295000</v>
      </c>
      <c r="C1246" s="4" t="s">
        <v>163</v>
      </c>
      <c r="D1246" s="4" t="s">
        <v>162</v>
      </c>
      <c r="E1246" s="4" t="s">
        <v>17</v>
      </c>
      <c r="F1246" s="4" t="s">
        <v>18</v>
      </c>
      <c r="G1246" s="5">
        <v>0.9</v>
      </c>
      <c r="H1246" s="5">
        <v>0.4</v>
      </c>
      <c r="I1246" s="5">
        <v>0.1166666666666667</v>
      </c>
      <c r="J1246" s="6">
        <v>0.32142857142857151</v>
      </c>
      <c r="K1246" s="6">
        <v>0.92722222222222228</v>
      </c>
      <c r="L1246" s="6">
        <v>0.72027265841959098</v>
      </c>
      <c r="M1246" s="4" t="s">
        <v>181</v>
      </c>
      <c r="N1246" s="4">
        <v>4.5789990711005077E-2</v>
      </c>
      <c r="O1246" s="4">
        <v>0</v>
      </c>
    </row>
    <row r="1247" spans="1:15" x14ac:dyDescent="0.3">
      <c r="A1247" s="4">
        <v>296</v>
      </c>
      <c r="B1247" s="4">
        <v>296000</v>
      </c>
      <c r="C1247" s="4" t="s">
        <v>163</v>
      </c>
      <c r="D1247" s="4" t="s">
        <v>162</v>
      </c>
      <c r="E1247" s="4" t="s">
        <v>17</v>
      </c>
      <c r="F1247" s="4" t="s">
        <v>18</v>
      </c>
      <c r="G1247" s="5">
        <v>0.9</v>
      </c>
      <c r="H1247" s="5">
        <v>0.4</v>
      </c>
      <c r="I1247" s="5">
        <v>0.1166666666666667</v>
      </c>
      <c r="J1247" s="6">
        <v>0.35714285714285721</v>
      </c>
      <c r="K1247" s="6">
        <v>0.92449999999999988</v>
      </c>
      <c r="L1247" s="6">
        <v>0.77947871179039296</v>
      </c>
      <c r="M1247" s="4" t="s">
        <v>193</v>
      </c>
      <c r="N1247" s="4">
        <v>4.8379376475742759E-2</v>
      </c>
      <c r="O1247" s="4">
        <v>0</v>
      </c>
    </row>
    <row r="1248" spans="1:15" x14ac:dyDescent="0.3">
      <c r="A1248" s="4">
        <v>297</v>
      </c>
      <c r="B1248" s="4">
        <v>297000</v>
      </c>
      <c r="C1248" s="4" t="s">
        <v>163</v>
      </c>
      <c r="D1248" s="4" t="s">
        <v>162</v>
      </c>
      <c r="E1248" s="4" t="s">
        <v>17</v>
      </c>
      <c r="F1248" s="4" t="s">
        <v>18</v>
      </c>
      <c r="G1248" s="5">
        <v>0.9</v>
      </c>
      <c r="H1248" s="5">
        <v>0.4</v>
      </c>
      <c r="I1248" s="5">
        <v>0.1166666666666667</v>
      </c>
      <c r="J1248" s="6">
        <v>0.35087719298245612</v>
      </c>
      <c r="K1248" s="6">
        <v>0.92449999999999988</v>
      </c>
      <c r="L1248" s="6">
        <v>0.79174803566699037</v>
      </c>
      <c r="M1248" s="4" t="s">
        <v>211</v>
      </c>
      <c r="N1248" s="4">
        <v>4.9420545143651143E-2</v>
      </c>
      <c r="O1248" s="4">
        <v>0</v>
      </c>
    </row>
    <row r="1249" spans="1:15" x14ac:dyDescent="0.3">
      <c r="A1249" s="4">
        <v>298</v>
      </c>
      <c r="B1249" s="4">
        <v>298000</v>
      </c>
      <c r="C1249" s="4" t="s">
        <v>163</v>
      </c>
      <c r="D1249" s="4" t="s">
        <v>162</v>
      </c>
      <c r="E1249" s="4" t="s">
        <v>17</v>
      </c>
      <c r="F1249" s="4" t="s">
        <v>18</v>
      </c>
      <c r="G1249" s="5">
        <v>0.9</v>
      </c>
      <c r="H1249" s="5">
        <v>0.4</v>
      </c>
      <c r="I1249" s="5">
        <v>0.1166666666666667</v>
      </c>
      <c r="J1249" s="6">
        <v>0.39285714285714279</v>
      </c>
      <c r="K1249" s="6">
        <v>0.92181818181818154</v>
      </c>
      <c r="L1249" s="6">
        <v>0.79016867129408863</v>
      </c>
      <c r="M1249" s="4" t="s">
        <v>205</v>
      </c>
      <c r="N1249" s="4">
        <v>5.5721838311996397E-2</v>
      </c>
      <c r="O1249" s="4">
        <v>0</v>
      </c>
    </row>
    <row r="1250" spans="1:15" x14ac:dyDescent="0.3">
      <c r="A1250" s="4">
        <v>299</v>
      </c>
      <c r="B1250" s="4">
        <v>299000</v>
      </c>
      <c r="C1250" s="4" t="s">
        <v>163</v>
      </c>
      <c r="D1250" s="4" t="s">
        <v>162</v>
      </c>
      <c r="E1250" s="4" t="s">
        <v>17</v>
      </c>
      <c r="F1250" s="4" t="s">
        <v>18</v>
      </c>
      <c r="G1250" s="5">
        <v>0.9</v>
      </c>
      <c r="H1250" s="5">
        <v>0.4</v>
      </c>
      <c r="I1250" s="5">
        <v>0.1166666666666667</v>
      </c>
      <c r="J1250" s="6">
        <v>0.39285714285714279</v>
      </c>
      <c r="K1250" s="6">
        <v>0.92272727272727262</v>
      </c>
      <c r="L1250" s="6">
        <v>0.79824175824175825</v>
      </c>
      <c r="M1250" s="4" t="s">
        <v>175</v>
      </c>
      <c r="N1250" s="4">
        <v>5.751878791078989E-2</v>
      </c>
      <c r="O1250" s="4">
        <v>0</v>
      </c>
    </row>
    <row r="1251" spans="1:15" x14ac:dyDescent="0.3">
      <c r="A1251" s="4">
        <v>300</v>
      </c>
      <c r="B1251" s="4">
        <v>300000</v>
      </c>
      <c r="C1251" s="4" t="s">
        <v>163</v>
      </c>
      <c r="D1251" s="4" t="s">
        <v>162</v>
      </c>
      <c r="E1251" s="4" t="s">
        <v>17</v>
      </c>
      <c r="F1251" s="4" t="s">
        <v>18</v>
      </c>
      <c r="G1251" s="5">
        <v>0.9</v>
      </c>
      <c r="H1251" s="5">
        <v>0.4</v>
      </c>
      <c r="I1251" s="5">
        <v>0.1166666666666667</v>
      </c>
      <c r="J1251" s="6">
        <v>0.375</v>
      </c>
      <c r="K1251" s="6">
        <v>0.92428571428571416</v>
      </c>
      <c r="L1251" s="6">
        <v>0.79935357043790778</v>
      </c>
      <c r="M1251" s="4" t="s">
        <v>206</v>
      </c>
      <c r="N1251" s="4">
        <v>5.7378260995127058E-2</v>
      </c>
      <c r="O1251" s="4">
        <v>0</v>
      </c>
    </row>
    <row r="1252" spans="1:15" x14ac:dyDescent="0.3">
      <c r="A1252" s="4">
        <v>301</v>
      </c>
      <c r="B1252" s="4">
        <v>301000</v>
      </c>
      <c r="C1252" s="4" t="s">
        <v>163</v>
      </c>
      <c r="D1252" s="4" t="s">
        <v>162</v>
      </c>
      <c r="E1252" s="4" t="s">
        <v>17</v>
      </c>
      <c r="F1252" s="4" t="s">
        <v>18</v>
      </c>
      <c r="G1252" s="5">
        <v>0.9</v>
      </c>
      <c r="H1252" s="5">
        <v>0.4</v>
      </c>
      <c r="I1252" s="5">
        <v>0.1166666666666667</v>
      </c>
      <c r="J1252" s="6">
        <v>0.36842105263157893</v>
      </c>
      <c r="K1252" s="6">
        <v>0.9228571428571426</v>
      </c>
      <c r="L1252" s="6">
        <v>0.79911815809631759</v>
      </c>
      <c r="M1252" s="4" t="s">
        <v>186</v>
      </c>
      <c r="N1252" s="4">
        <v>6.5060231628651113E-2</v>
      </c>
      <c r="O1252" s="4">
        <v>0</v>
      </c>
    </row>
    <row r="1253" spans="1:15" x14ac:dyDescent="0.3">
      <c r="A1253" s="4">
        <v>302</v>
      </c>
      <c r="B1253" s="4">
        <v>302000</v>
      </c>
      <c r="C1253" s="4" t="s">
        <v>163</v>
      </c>
      <c r="D1253" s="4" t="s">
        <v>162</v>
      </c>
      <c r="E1253" s="4" t="s">
        <v>17</v>
      </c>
      <c r="F1253" s="4" t="s">
        <v>18</v>
      </c>
      <c r="G1253" s="5">
        <v>0.9</v>
      </c>
      <c r="H1253" s="5">
        <v>0.4</v>
      </c>
      <c r="I1253" s="5">
        <v>0.1166666666666667</v>
      </c>
      <c r="J1253" s="6">
        <v>0.36842105263157893</v>
      </c>
      <c r="K1253" s="6">
        <v>0.92285714285714282</v>
      </c>
      <c r="L1253" s="6">
        <v>0.80083702513545285</v>
      </c>
      <c r="M1253" s="4" t="s">
        <v>26</v>
      </c>
      <c r="N1253" s="4">
        <v>6.5651771229809086E-2</v>
      </c>
      <c r="O1253" s="4">
        <v>0</v>
      </c>
    </row>
    <row r="1254" spans="1:15" x14ac:dyDescent="0.3">
      <c r="A1254" s="4">
        <v>303</v>
      </c>
      <c r="B1254" s="4">
        <v>303000</v>
      </c>
      <c r="C1254" s="4" t="s">
        <v>163</v>
      </c>
      <c r="D1254" s="4" t="s">
        <v>162</v>
      </c>
      <c r="E1254" s="4" t="s">
        <v>17</v>
      </c>
      <c r="F1254" s="4" t="s">
        <v>18</v>
      </c>
      <c r="G1254" s="5">
        <v>0.9</v>
      </c>
      <c r="H1254" s="5">
        <v>0.4</v>
      </c>
      <c r="I1254" s="5">
        <v>0.1166666666666667</v>
      </c>
      <c r="J1254" s="6">
        <v>0.36842105263157893</v>
      </c>
      <c r="K1254" s="6">
        <v>0.92333333333333323</v>
      </c>
      <c r="L1254" s="6">
        <v>0.80639933796896823</v>
      </c>
      <c r="M1254" s="4" t="s">
        <v>67</v>
      </c>
      <c r="N1254" s="4">
        <v>7.1639932901500739E-2</v>
      </c>
      <c r="O1254" s="4">
        <v>0</v>
      </c>
    </row>
    <row r="1255" spans="1:15" x14ac:dyDescent="0.3">
      <c r="A1255" s="4">
        <v>304</v>
      </c>
      <c r="B1255" s="4">
        <v>304000</v>
      </c>
      <c r="C1255" s="4" t="s">
        <v>163</v>
      </c>
      <c r="D1255" s="4" t="s">
        <v>162</v>
      </c>
      <c r="E1255" s="4" t="s">
        <v>17</v>
      </c>
      <c r="F1255" s="4" t="s">
        <v>18</v>
      </c>
      <c r="G1255" s="5">
        <v>0.9</v>
      </c>
      <c r="H1255" s="5">
        <v>0.4</v>
      </c>
      <c r="I1255" s="5">
        <v>0.1166666666666667</v>
      </c>
      <c r="J1255" s="6">
        <v>0.36842105263157893</v>
      </c>
      <c r="K1255" s="6">
        <v>0.92285714285714282</v>
      </c>
      <c r="L1255" s="6">
        <v>0.79985712195638947</v>
      </c>
      <c r="M1255" s="4" t="s">
        <v>67</v>
      </c>
      <c r="N1255" s="4">
        <v>7.1902460956052683E-2</v>
      </c>
      <c r="O1255" s="4">
        <v>0</v>
      </c>
    </row>
    <row r="1256" spans="1:15" x14ac:dyDescent="0.3">
      <c r="A1256" s="4">
        <v>305</v>
      </c>
      <c r="B1256" s="4">
        <v>305000</v>
      </c>
      <c r="C1256" s="4" t="s">
        <v>163</v>
      </c>
      <c r="D1256" s="4" t="s">
        <v>162</v>
      </c>
      <c r="E1256" s="4" t="s">
        <v>17</v>
      </c>
      <c r="F1256" s="4" t="s">
        <v>18</v>
      </c>
      <c r="G1256" s="5">
        <v>0.9</v>
      </c>
      <c r="H1256" s="5">
        <v>0.4</v>
      </c>
      <c r="I1256" s="5">
        <v>0.1166666666666667</v>
      </c>
      <c r="J1256" s="6">
        <v>0.36842105263157893</v>
      </c>
      <c r="K1256" s="6">
        <v>0.87999999999999989</v>
      </c>
      <c r="L1256" s="6">
        <v>0.79965860722228299</v>
      </c>
      <c r="M1256" s="4" t="s">
        <v>46</v>
      </c>
      <c r="N1256" s="4">
        <v>7.910416032287261E-2</v>
      </c>
      <c r="O1256" s="4">
        <v>0</v>
      </c>
    </row>
    <row r="1257" spans="1:15" x14ac:dyDescent="0.3">
      <c r="A1257" s="4">
        <v>306</v>
      </c>
      <c r="B1257" s="4">
        <v>306000</v>
      </c>
      <c r="C1257" s="4" t="s">
        <v>163</v>
      </c>
      <c r="D1257" s="4" t="s">
        <v>162</v>
      </c>
      <c r="E1257" s="4" t="s">
        <v>17</v>
      </c>
      <c r="F1257" s="4" t="s">
        <v>18</v>
      </c>
      <c r="G1257" s="5">
        <v>0.9</v>
      </c>
      <c r="H1257" s="5">
        <v>0.4</v>
      </c>
      <c r="I1257" s="5">
        <v>0.1166666666666667</v>
      </c>
      <c r="J1257" s="6">
        <v>0.36842105263157893</v>
      </c>
      <c r="K1257" s="6">
        <v>0.87999999999999989</v>
      </c>
      <c r="L1257" s="6">
        <v>0.79892050990799901</v>
      </c>
      <c r="M1257" s="4" t="s">
        <v>106</v>
      </c>
      <c r="N1257" s="4">
        <v>8.2177834137644679E-2</v>
      </c>
      <c r="O1257" s="4">
        <v>0</v>
      </c>
    </row>
    <row r="1258" spans="1:15" x14ac:dyDescent="0.3">
      <c r="A1258" s="4">
        <v>307</v>
      </c>
      <c r="B1258" s="4">
        <v>307000</v>
      </c>
      <c r="C1258" s="4" t="s">
        <v>163</v>
      </c>
      <c r="D1258" s="4" t="s">
        <v>162</v>
      </c>
      <c r="E1258" s="4" t="s">
        <v>17</v>
      </c>
      <c r="F1258" s="4" t="s">
        <v>18</v>
      </c>
      <c r="G1258" s="5">
        <v>0.9</v>
      </c>
      <c r="H1258" s="5">
        <v>0.4</v>
      </c>
      <c r="I1258" s="5">
        <v>0.1166666666666667</v>
      </c>
      <c r="J1258" s="6">
        <v>0.39285714285714279</v>
      </c>
      <c r="K1258" s="6">
        <v>0.88181818181818172</v>
      </c>
      <c r="L1258" s="6">
        <v>0.79627831106091973</v>
      </c>
      <c r="M1258" s="4" t="s">
        <v>21</v>
      </c>
      <c r="N1258" s="4">
        <v>8.4466420618536125E-2</v>
      </c>
      <c r="O1258" s="4">
        <v>0</v>
      </c>
    </row>
    <row r="1259" spans="1:15" x14ac:dyDescent="0.3">
      <c r="A1259" s="4">
        <v>308</v>
      </c>
      <c r="B1259" s="4">
        <v>308000</v>
      </c>
      <c r="C1259" s="4" t="s">
        <v>163</v>
      </c>
      <c r="D1259" s="4" t="s">
        <v>162</v>
      </c>
      <c r="E1259" s="4" t="s">
        <v>17</v>
      </c>
      <c r="F1259" s="4" t="s">
        <v>18</v>
      </c>
      <c r="G1259" s="5">
        <v>0.9</v>
      </c>
      <c r="H1259" s="5">
        <v>0.4</v>
      </c>
      <c r="I1259" s="5">
        <v>0.1166666666666667</v>
      </c>
      <c r="J1259" s="6">
        <v>0.38596491228070168</v>
      </c>
      <c r="K1259" s="6">
        <v>0.88318181818181818</v>
      </c>
      <c r="L1259" s="6">
        <v>0.79980885952031322</v>
      </c>
      <c r="M1259" s="4" t="s">
        <v>97</v>
      </c>
      <c r="N1259" s="4">
        <v>8.5983650676934406E-2</v>
      </c>
      <c r="O1259" s="4">
        <v>0</v>
      </c>
    </row>
    <row r="1260" spans="1:15" x14ac:dyDescent="0.3">
      <c r="A1260" s="4">
        <v>309</v>
      </c>
      <c r="B1260" s="4">
        <v>309000</v>
      </c>
      <c r="C1260" s="4" t="s">
        <v>163</v>
      </c>
      <c r="D1260" s="4" t="s">
        <v>162</v>
      </c>
      <c r="E1260" s="4" t="s">
        <v>17</v>
      </c>
      <c r="F1260" s="4" t="s">
        <v>18</v>
      </c>
      <c r="G1260" s="5">
        <v>0.9</v>
      </c>
      <c r="H1260" s="5">
        <v>0.4</v>
      </c>
      <c r="I1260" s="5">
        <v>0.1166666666666667</v>
      </c>
      <c r="J1260" s="6">
        <v>0.38596491228070168</v>
      </c>
      <c r="K1260" s="6">
        <v>0.88318181818181796</v>
      </c>
      <c r="L1260" s="6">
        <v>0.79727594743547692</v>
      </c>
      <c r="M1260" s="4" t="s">
        <v>50</v>
      </c>
      <c r="N1260" s="4">
        <v>8.5184653316507264E-2</v>
      </c>
      <c r="O1260" s="4">
        <v>0</v>
      </c>
    </row>
    <row r="1261" spans="1:15" x14ac:dyDescent="0.3">
      <c r="A1261" s="4">
        <v>310</v>
      </c>
      <c r="B1261" s="4">
        <v>310000</v>
      </c>
      <c r="C1261" s="4" t="s">
        <v>163</v>
      </c>
      <c r="D1261" s="4" t="s">
        <v>162</v>
      </c>
      <c r="E1261" s="4" t="s">
        <v>17</v>
      </c>
      <c r="F1261" s="4" t="s">
        <v>18</v>
      </c>
      <c r="G1261" s="5">
        <v>0.9</v>
      </c>
      <c r="H1261" s="5">
        <v>0.4</v>
      </c>
      <c r="I1261" s="5">
        <v>0.1166666666666667</v>
      </c>
      <c r="J1261" s="6">
        <v>0.38596491228070168</v>
      </c>
      <c r="K1261" s="6">
        <v>0.88272727272727269</v>
      </c>
      <c r="L1261" s="6">
        <v>0.79740661610226826</v>
      </c>
      <c r="M1261" s="4" t="s">
        <v>50</v>
      </c>
      <c r="N1261" s="4">
        <v>8.5227089927248798E-2</v>
      </c>
      <c r="O1261" s="4">
        <v>0</v>
      </c>
    </row>
    <row r="1262" spans="1:15" x14ac:dyDescent="0.3">
      <c r="A1262" s="4">
        <v>311</v>
      </c>
      <c r="B1262" s="4">
        <v>311000</v>
      </c>
      <c r="C1262" s="4" t="s">
        <v>163</v>
      </c>
      <c r="D1262" s="4" t="s">
        <v>162</v>
      </c>
      <c r="E1262" s="4" t="s">
        <v>17</v>
      </c>
      <c r="F1262" s="4" t="s">
        <v>18</v>
      </c>
      <c r="G1262" s="5">
        <v>0.9</v>
      </c>
      <c r="H1262" s="5">
        <v>0.4</v>
      </c>
      <c r="I1262" s="5">
        <v>0.1166666666666667</v>
      </c>
      <c r="J1262" s="6">
        <v>0.38596491228070168</v>
      </c>
      <c r="K1262" s="6">
        <v>0.88363636363636355</v>
      </c>
      <c r="L1262" s="6">
        <v>0.80061059511523913</v>
      </c>
      <c r="M1262" s="4" t="s">
        <v>118</v>
      </c>
      <c r="N1262" s="4">
        <v>8.7306293094315826E-2</v>
      </c>
      <c r="O1262" s="4">
        <v>0</v>
      </c>
    </row>
    <row r="1263" spans="1:15" x14ac:dyDescent="0.3">
      <c r="A1263" s="4">
        <v>312</v>
      </c>
      <c r="B1263" s="4">
        <v>312000</v>
      </c>
      <c r="C1263" s="4" t="s">
        <v>163</v>
      </c>
      <c r="D1263" s="4" t="s">
        <v>162</v>
      </c>
      <c r="E1263" s="4" t="s">
        <v>17</v>
      </c>
      <c r="F1263" s="4" t="s">
        <v>18</v>
      </c>
      <c r="G1263" s="5">
        <v>0.9</v>
      </c>
      <c r="H1263" s="5">
        <v>0.4</v>
      </c>
      <c r="I1263" s="5">
        <v>0.1166666666666667</v>
      </c>
      <c r="J1263" s="6">
        <v>0.37931034482758619</v>
      </c>
      <c r="K1263" s="6">
        <v>0.88363636363636366</v>
      </c>
      <c r="L1263" s="6">
        <v>0.79567515099223474</v>
      </c>
      <c r="M1263" s="4" t="s">
        <v>118</v>
      </c>
      <c r="N1263" s="4">
        <v>8.7128121960622501E-2</v>
      </c>
      <c r="O1263" s="4">
        <v>0</v>
      </c>
    </row>
    <row r="1264" spans="1:15" x14ac:dyDescent="0.3">
      <c r="A1264" s="4">
        <v>313</v>
      </c>
      <c r="B1264" s="4">
        <v>313000</v>
      </c>
      <c r="C1264" s="4" t="s">
        <v>163</v>
      </c>
      <c r="D1264" s="4" t="s">
        <v>162</v>
      </c>
      <c r="E1264" s="4" t="s">
        <v>17</v>
      </c>
      <c r="F1264" s="4" t="s">
        <v>18</v>
      </c>
      <c r="G1264" s="5">
        <v>0.9</v>
      </c>
      <c r="H1264" s="5">
        <v>0.4</v>
      </c>
      <c r="I1264" s="5">
        <v>0.1166666666666667</v>
      </c>
      <c r="J1264" s="6">
        <v>0.3728813559322034</v>
      </c>
      <c r="K1264" s="6">
        <v>0.88318181818181818</v>
      </c>
      <c r="L1264" s="6">
        <v>0.79194349998265268</v>
      </c>
      <c r="M1264" s="4" t="s">
        <v>118</v>
      </c>
      <c r="N1264" s="4">
        <v>8.663558180408204E-2</v>
      </c>
      <c r="O1264" s="4">
        <v>0</v>
      </c>
    </row>
    <row r="1265" spans="1:15" x14ac:dyDescent="0.3">
      <c r="A1265" s="4">
        <v>314</v>
      </c>
      <c r="B1265" s="4">
        <v>314000</v>
      </c>
      <c r="C1265" s="4" t="s">
        <v>163</v>
      </c>
      <c r="D1265" s="4" t="s">
        <v>162</v>
      </c>
      <c r="E1265" s="4" t="s">
        <v>17</v>
      </c>
      <c r="F1265" s="4" t="s">
        <v>18</v>
      </c>
      <c r="G1265" s="5">
        <v>0.9</v>
      </c>
      <c r="H1265" s="5">
        <v>0.4</v>
      </c>
      <c r="I1265" s="5">
        <v>0.1166666666666667</v>
      </c>
      <c r="J1265" s="6">
        <v>0.37931034482758619</v>
      </c>
      <c r="K1265" s="6">
        <v>0.88363636363636355</v>
      </c>
      <c r="L1265" s="6">
        <v>0.78747495919356247</v>
      </c>
      <c r="M1265" s="4" t="s">
        <v>49</v>
      </c>
      <c r="N1265" s="4">
        <v>8.9844582415424964E-2</v>
      </c>
      <c r="O1265" s="4">
        <v>0</v>
      </c>
    </row>
    <row r="1266" spans="1:15" x14ac:dyDescent="0.3">
      <c r="A1266" s="4">
        <v>315</v>
      </c>
      <c r="B1266" s="4">
        <v>315000</v>
      </c>
      <c r="C1266" s="4" t="s">
        <v>163</v>
      </c>
      <c r="D1266" s="4" t="s">
        <v>162</v>
      </c>
      <c r="E1266" s="4" t="s">
        <v>17</v>
      </c>
      <c r="F1266" s="4" t="s">
        <v>18</v>
      </c>
      <c r="G1266" s="5">
        <v>0.9</v>
      </c>
      <c r="H1266" s="5">
        <v>0.4</v>
      </c>
      <c r="I1266" s="5">
        <v>0.1166666666666667</v>
      </c>
      <c r="J1266" s="6">
        <v>0.38596491228070168</v>
      </c>
      <c r="K1266" s="6">
        <v>0.88272727272727269</v>
      </c>
      <c r="L1266" s="6">
        <v>0.78818921225104843</v>
      </c>
      <c r="M1266" s="4" t="s">
        <v>59</v>
      </c>
      <c r="N1266" s="4">
        <v>9.1174252617537241E-2</v>
      </c>
      <c r="O1266" s="4">
        <v>0</v>
      </c>
    </row>
    <row r="1267" spans="1:15" x14ac:dyDescent="0.3">
      <c r="A1267" s="4">
        <v>316</v>
      </c>
      <c r="B1267" s="4">
        <v>316000</v>
      </c>
      <c r="C1267" s="4" t="s">
        <v>163</v>
      </c>
      <c r="D1267" s="4" t="s">
        <v>162</v>
      </c>
      <c r="E1267" s="4" t="s">
        <v>17</v>
      </c>
      <c r="F1267" s="4" t="s">
        <v>18</v>
      </c>
      <c r="G1267" s="5">
        <v>0.9</v>
      </c>
      <c r="H1267" s="5">
        <v>0.4</v>
      </c>
      <c r="I1267" s="5">
        <v>0.1166666666666667</v>
      </c>
      <c r="J1267" s="6">
        <v>0.38596491228070168</v>
      </c>
      <c r="K1267" s="6">
        <v>0.8822727272727271</v>
      </c>
      <c r="L1267" s="6">
        <v>0.78985077942755577</v>
      </c>
      <c r="M1267" s="4" t="s">
        <v>39</v>
      </c>
      <c r="N1267" s="4">
        <v>9.2533324647101373E-2</v>
      </c>
      <c r="O1267" s="4">
        <v>0</v>
      </c>
    </row>
    <row r="1268" spans="1:15" x14ac:dyDescent="0.3">
      <c r="A1268" s="4">
        <v>317</v>
      </c>
      <c r="B1268" s="4">
        <v>317000</v>
      </c>
      <c r="C1268" s="4" t="s">
        <v>163</v>
      </c>
      <c r="D1268" s="4" t="s">
        <v>162</v>
      </c>
      <c r="E1268" s="4" t="s">
        <v>17</v>
      </c>
      <c r="F1268" s="4" t="s">
        <v>18</v>
      </c>
      <c r="G1268" s="5">
        <v>0.9</v>
      </c>
      <c r="H1268" s="5">
        <v>0.4</v>
      </c>
      <c r="I1268" s="5">
        <v>0.1166666666666667</v>
      </c>
      <c r="J1268" s="6">
        <v>0.38596491228070168</v>
      </c>
      <c r="K1268" s="6">
        <v>0.8822727272727271</v>
      </c>
      <c r="L1268" s="6">
        <v>0.79069356966352666</v>
      </c>
      <c r="M1268" s="4" t="s">
        <v>59</v>
      </c>
      <c r="N1268" s="4">
        <v>9.0805618199171739E-2</v>
      </c>
      <c r="O1268" s="4">
        <v>0</v>
      </c>
    </row>
    <row r="1269" spans="1:15" x14ac:dyDescent="0.3">
      <c r="A1269" s="4">
        <v>318</v>
      </c>
      <c r="B1269" s="4">
        <v>318000</v>
      </c>
      <c r="C1269" s="4" t="s">
        <v>163</v>
      </c>
      <c r="D1269" s="4" t="s">
        <v>162</v>
      </c>
      <c r="E1269" s="4" t="s">
        <v>17</v>
      </c>
      <c r="F1269" s="4" t="s">
        <v>18</v>
      </c>
      <c r="G1269" s="5">
        <v>0.9</v>
      </c>
      <c r="H1269" s="5">
        <v>0.4</v>
      </c>
      <c r="I1269" s="5">
        <v>0.1166666666666667</v>
      </c>
      <c r="J1269" s="6">
        <v>0.38596491228070168</v>
      </c>
      <c r="K1269" s="6">
        <v>0.88363636363636333</v>
      </c>
      <c r="L1269" s="6">
        <v>0.79216937876472171</v>
      </c>
      <c r="M1269" s="4" t="s">
        <v>73</v>
      </c>
      <c r="N1269" s="4">
        <v>9.196651237678187E-2</v>
      </c>
      <c r="O1269" s="4">
        <v>0</v>
      </c>
    </row>
    <row r="1270" spans="1:15" x14ac:dyDescent="0.3">
      <c r="A1270" s="4">
        <v>319</v>
      </c>
      <c r="B1270" s="4">
        <v>319000</v>
      </c>
      <c r="C1270" s="4" t="s">
        <v>163</v>
      </c>
      <c r="D1270" s="4" t="s">
        <v>162</v>
      </c>
      <c r="E1270" s="4" t="s">
        <v>17</v>
      </c>
      <c r="F1270" s="4" t="s">
        <v>18</v>
      </c>
      <c r="G1270" s="5">
        <v>0.9</v>
      </c>
      <c r="H1270" s="5">
        <v>0.4</v>
      </c>
      <c r="I1270" s="5">
        <v>0.1166666666666667</v>
      </c>
      <c r="J1270" s="6">
        <v>0.38596491228070168</v>
      </c>
      <c r="K1270" s="6">
        <v>0.88272727272727247</v>
      </c>
      <c r="L1270" s="6">
        <v>0.79038363543714063</v>
      </c>
      <c r="M1270" s="4" t="s">
        <v>150</v>
      </c>
      <c r="N1270" s="4">
        <v>9.5486693124097077E-2</v>
      </c>
      <c r="O1270" s="4">
        <v>0</v>
      </c>
    </row>
    <row r="1271" spans="1:15" x14ac:dyDescent="0.3">
      <c r="A1271" s="4">
        <v>320</v>
      </c>
      <c r="B1271" s="4">
        <v>320000</v>
      </c>
      <c r="C1271" s="4" t="s">
        <v>163</v>
      </c>
      <c r="D1271" s="4" t="s">
        <v>162</v>
      </c>
      <c r="E1271" s="4" t="s">
        <v>17</v>
      </c>
      <c r="F1271" s="4" t="s">
        <v>18</v>
      </c>
      <c r="G1271" s="5">
        <v>0.9</v>
      </c>
      <c r="H1271" s="5">
        <v>0.4</v>
      </c>
      <c r="I1271" s="5">
        <v>0.1166666666666667</v>
      </c>
      <c r="J1271" s="6">
        <v>0.37931034482758619</v>
      </c>
      <c r="K1271" s="6">
        <v>0.88181818181818172</v>
      </c>
      <c r="L1271" s="6">
        <v>0.78990671158331183</v>
      </c>
      <c r="M1271" s="4" t="s">
        <v>82</v>
      </c>
      <c r="N1271" s="4">
        <v>0.1022739159578798</v>
      </c>
      <c r="O1271" s="4">
        <v>0</v>
      </c>
    </row>
    <row r="1272" spans="1:15" x14ac:dyDescent="0.3">
      <c r="A1272" s="4">
        <v>321</v>
      </c>
      <c r="B1272" s="4">
        <v>321000</v>
      </c>
      <c r="C1272" s="4" t="s">
        <v>163</v>
      </c>
      <c r="D1272" s="4" t="s">
        <v>162</v>
      </c>
      <c r="E1272" s="4" t="s">
        <v>17</v>
      </c>
      <c r="F1272" s="4" t="s">
        <v>18</v>
      </c>
      <c r="G1272" s="5">
        <v>0.9</v>
      </c>
      <c r="H1272" s="5">
        <v>0.4</v>
      </c>
      <c r="I1272" s="5">
        <v>0.1166666666666667</v>
      </c>
      <c r="J1272" s="6">
        <v>0.37931034482758619</v>
      </c>
      <c r="K1272" s="6">
        <v>0.88181818181818172</v>
      </c>
      <c r="L1272" s="6">
        <v>0.79118486533957855</v>
      </c>
      <c r="M1272" s="4" t="s">
        <v>82</v>
      </c>
      <c r="N1272" s="4">
        <v>0.1016452870339586</v>
      </c>
      <c r="O1272" s="4">
        <v>0</v>
      </c>
    </row>
    <row r="1273" spans="1:15" x14ac:dyDescent="0.3">
      <c r="A1273" s="4">
        <v>322</v>
      </c>
      <c r="B1273" s="4">
        <v>322000</v>
      </c>
      <c r="C1273" s="4" t="s">
        <v>163</v>
      </c>
      <c r="D1273" s="4" t="s">
        <v>162</v>
      </c>
      <c r="E1273" s="4" t="s">
        <v>17</v>
      </c>
      <c r="F1273" s="4" t="s">
        <v>18</v>
      </c>
      <c r="G1273" s="5">
        <v>0.9</v>
      </c>
      <c r="H1273" s="5">
        <v>0.4</v>
      </c>
      <c r="I1273" s="5">
        <v>0.1166666666666667</v>
      </c>
      <c r="J1273" s="6">
        <v>0.3728813559322034</v>
      </c>
      <c r="K1273" s="6">
        <v>0.88318181818181818</v>
      </c>
      <c r="L1273" s="6">
        <v>0.7876385243511228</v>
      </c>
      <c r="M1273" s="4" t="s">
        <v>79</v>
      </c>
      <c r="N1273" s="4">
        <v>0.1037117766766783</v>
      </c>
      <c r="O1273" s="4">
        <v>0</v>
      </c>
    </row>
    <row r="1274" spans="1:15" x14ac:dyDescent="0.3">
      <c r="A1274" s="4">
        <v>323</v>
      </c>
      <c r="B1274" s="4">
        <v>323000</v>
      </c>
      <c r="C1274" s="4" t="s">
        <v>163</v>
      </c>
      <c r="D1274" s="4" t="s">
        <v>162</v>
      </c>
      <c r="E1274" s="4" t="s">
        <v>17</v>
      </c>
      <c r="F1274" s="4" t="s">
        <v>18</v>
      </c>
      <c r="G1274" s="5">
        <v>0.9</v>
      </c>
      <c r="H1274" s="5">
        <v>0.4</v>
      </c>
      <c r="I1274" s="5">
        <v>0.1166666666666667</v>
      </c>
      <c r="J1274" s="6">
        <v>0.38333333333333341</v>
      </c>
      <c r="K1274" s="6">
        <v>0.84434782608695658</v>
      </c>
      <c r="L1274" s="6">
        <v>0.71312789981018532</v>
      </c>
      <c r="M1274" s="4" t="s">
        <v>136</v>
      </c>
      <c r="N1274" s="4">
        <v>0.1055337255974506</v>
      </c>
      <c r="O1274" s="4">
        <v>0</v>
      </c>
    </row>
    <row r="1275" spans="1:15" x14ac:dyDescent="0.3">
      <c r="A1275" s="4">
        <v>324</v>
      </c>
      <c r="B1275" s="4">
        <v>324000</v>
      </c>
      <c r="C1275" s="4" t="s">
        <v>163</v>
      </c>
      <c r="D1275" s="4" t="s">
        <v>162</v>
      </c>
      <c r="E1275" s="4" t="s">
        <v>17</v>
      </c>
      <c r="F1275" s="4" t="s">
        <v>18</v>
      </c>
      <c r="G1275" s="5">
        <v>0.9</v>
      </c>
      <c r="H1275" s="5">
        <v>0.4</v>
      </c>
      <c r="I1275" s="5">
        <v>0.1166666666666667</v>
      </c>
      <c r="J1275" s="6">
        <v>0.37704918032786883</v>
      </c>
      <c r="K1275" s="6">
        <v>0.84347826086956534</v>
      </c>
      <c r="L1275" s="6">
        <v>0.71509234069022143</v>
      </c>
      <c r="M1275" s="4" t="s">
        <v>142</v>
      </c>
      <c r="N1275" s="4">
        <v>0.1103722050613479</v>
      </c>
      <c r="O1275" s="4">
        <v>0</v>
      </c>
    </row>
    <row r="1276" spans="1:15" x14ac:dyDescent="0.3">
      <c r="A1276" s="4">
        <v>325</v>
      </c>
      <c r="B1276" s="4">
        <v>325000</v>
      </c>
      <c r="C1276" s="4" t="s">
        <v>163</v>
      </c>
      <c r="D1276" s="4" t="s">
        <v>162</v>
      </c>
      <c r="E1276" s="4" t="s">
        <v>17</v>
      </c>
      <c r="F1276" s="4" t="s">
        <v>18</v>
      </c>
      <c r="G1276" s="5">
        <v>0.9</v>
      </c>
      <c r="H1276" s="5">
        <v>0.4</v>
      </c>
      <c r="I1276" s="5">
        <v>0.1166666666666667</v>
      </c>
      <c r="J1276" s="6">
        <v>0.34920634920634919</v>
      </c>
      <c r="K1276" s="6">
        <v>0.84045454545454557</v>
      </c>
      <c r="L1276" s="6">
        <v>0.62411487208479177</v>
      </c>
      <c r="M1276" s="4" t="s">
        <v>84</v>
      </c>
      <c r="N1276" s="4">
        <v>0.11363297580179781</v>
      </c>
      <c r="O1276" s="4">
        <v>0</v>
      </c>
    </row>
    <row r="1277" spans="1:15" x14ac:dyDescent="0.3">
      <c r="A1277" s="4">
        <v>326</v>
      </c>
      <c r="B1277" s="4">
        <v>326000</v>
      </c>
      <c r="C1277" s="4" t="s">
        <v>163</v>
      </c>
      <c r="D1277" s="4" t="s">
        <v>162</v>
      </c>
      <c r="E1277" s="4" t="s">
        <v>17</v>
      </c>
      <c r="F1277" s="4" t="s">
        <v>18</v>
      </c>
      <c r="G1277" s="5">
        <v>0.9</v>
      </c>
      <c r="H1277" s="5">
        <v>0.4</v>
      </c>
      <c r="I1277" s="5">
        <v>0.1166666666666667</v>
      </c>
      <c r="J1277" s="6">
        <v>0.33333333333333331</v>
      </c>
      <c r="K1277" s="6">
        <v>0.8376190476190476</v>
      </c>
      <c r="L1277" s="6">
        <v>0.58209876543209882</v>
      </c>
      <c r="M1277" s="4" t="s">
        <v>84</v>
      </c>
      <c r="N1277" s="4">
        <v>0.11412623071543131</v>
      </c>
      <c r="O1277" s="4">
        <v>0</v>
      </c>
    </row>
    <row r="1278" spans="1:15" x14ac:dyDescent="0.3">
      <c r="A1278" s="4">
        <v>327</v>
      </c>
      <c r="B1278" s="4">
        <v>327000</v>
      </c>
      <c r="C1278" s="4" t="s">
        <v>163</v>
      </c>
      <c r="D1278" s="4" t="s">
        <v>162</v>
      </c>
      <c r="E1278" s="4" t="s">
        <v>17</v>
      </c>
      <c r="F1278" s="4" t="s">
        <v>18</v>
      </c>
      <c r="G1278" s="5">
        <v>0.9</v>
      </c>
      <c r="H1278" s="5">
        <v>0.4</v>
      </c>
      <c r="I1278" s="5">
        <v>0.1166666666666667</v>
      </c>
      <c r="J1278" s="6">
        <v>0.328125</v>
      </c>
      <c r="K1278" s="6">
        <v>0.8376190476190476</v>
      </c>
      <c r="L1278" s="6">
        <v>0.58211059832822465</v>
      </c>
      <c r="M1278" s="4" t="s">
        <v>207</v>
      </c>
      <c r="N1278" s="4">
        <v>0.1166958320133043</v>
      </c>
      <c r="O1278" s="4">
        <v>0</v>
      </c>
    </row>
    <row r="1279" spans="1:15" x14ac:dyDescent="0.3">
      <c r="A1279" s="4">
        <v>328</v>
      </c>
      <c r="B1279" s="4">
        <v>328000</v>
      </c>
      <c r="C1279" s="4" t="s">
        <v>163</v>
      </c>
      <c r="D1279" s="4" t="s">
        <v>162</v>
      </c>
      <c r="E1279" s="4" t="s">
        <v>17</v>
      </c>
      <c r="F1279" s="4" t="s">
        <v>18</v>
      </c>
      <c r="G1279" s="5">
        <v>0.9</v>
      </c>
      <c r="H1279" s="5">
        <v>0.4</v>
      </c>
      <c r="I1279" s="5">
        <v>0.1166666666666667</v>
      </c>
      <c r="J1279" s="6">
        <v>0.35483870967741937</v>
      </c>
      <c r="K1279" s="6">
        <v>0.84090909090909094</v>
      </c>
      <c r="L1279" s="6">
        <v>0.70244555890179994</v>
      </c>
      <c r="M1279" s="4" t="s">
        <v>68</v>
      </c>
      <c r="N1279" s="4">
        <v>0.11768518628258801</v>
      </c>
      <c r="O1279" s="4">
        <v>0</v>
      </c>
    </row>
    <row r="1280" spans="1:15" x14ac:dyDescent="0.3">
      <c r="A1280" s="4">
        <v>329</v>
      </c>
      <c r="B1280" s="4">
        <v>329000</v>
      </c>
      <c r="C1280" s="4" t="s">
        <v>163</v>
      </c>
      <c r="D1280" s="4" t="s">
        <v>162</v>
      </c>
      <c r="E1280" s="4" t="s">
        <v>17</v>
      </c>
      <c r="F1280" s="4" t="s">
        <v>18</v>
      </c>
      <c r="G1280" s="5">
        <v>0.9</v>
      </c>
      <c r="H1280" s="5">
        <v>0.4</v>
      </c>
      <c r="I1280" s="5">
        <v>0.1166666666666667</v>
      </c>
      <c r="J1280" s="6">
        <v>0.34920634920634919</v>
      </c>
      <c r="K1280" s="6">
        <v>0.84045454545454534</v>
      </c>
      <c r="L1280" s="6">
        <v>0.68706683681532088</v>
      </c>
      <c r="M1280" s="4" t="s">
        <v>108</v>
      </c>
      <c r="N1280" s="4">
        <v>0.115057810863714</v>
      </c>
      <c r="O1280" s="4">
        <v>0</v>
      </c>
    </row>
    <row r="1281" spans="1:15" x14ac:dyDescent="0.3">
      <c r="A1281" s="4">
        <v>330</v>
      </c>
      <c r="B1281" s="4">
        <v>330000</v>
      </c>
      <c r="C1281" s="4" t="s">
        <v>163</v>
      </c>
      <c r="D1281" s="4" t="s">
        <v>162</v>
      </c>
      <c r="E1281" s="4" t="s">
        <v>17</v>
      </c>
      <c r="F1281" s="4" t="s">
        <v>18</v>
      </c>
      <c r="G1281" s="5">
        <v>0.9</v>
      </c>
      <c r="H1281" s="5">
        <v>0.4</v>
      </c>
      <c r="I1281" s="5">
        <v>0.1166666666666667</v>
      </c>
      <c r="J1281" s="6">
        <v>0.36507936507936511</v>
      </c>
      <c r="K1281" s="6">
        <v>0.84652173913043471</v>
      </c>
      <c r="L1281" s="6">
        <v>0.7647108145861462</v>
      </c>
      <c r="M1281" s="4" t="s">
        <v>36</v>
      </c>
      <c r="N1281" s="4">
        <v>0.11619539077842719</v>
      </c>
      <c r="O1281" s="4">
        <v>0</v>
      </c>
    </row>
    <row r="1282" spans="1:15" x14ac:dyDescent="0.3">
      <c r="A1282" s="4">
        <v>331</v>
      </c>
      <c r="B1282" s="4">
        <v>331000</v>
      </c>
      <c r="C1282" s="4" t="s">
        <v>163</v>
      </c>
      <c r="D1282" s="4" t="s">
        <v>162</v>
      </c>
      <c r="E1282" s="4" t="s">
        <v>17</v>
      </c>
      <c r="F1282" s="4" t="s">
        <v>18</v>
      </c>
      <c r="G1282" s="5">
        <v>0.9</v>
      </c>
      <c r="H1282" s="5">
        <v>0.4</v>
      </c>
      <c r="I1282" s="5">
        <v>0.1166666666666667</v>
      </c>
      <c r="J1282" s="6">
        <v>0.37096774193548387</v>
      </c>
      <c r="K1282" s="6">
        <v>0.84652173913043471</v>
      </c>
      <c r="L1282" s="6">
        <v>0.76605660089455374</v>
      </c>
      <c r="M1282" s="4" t="s">
        <v>29</v>
      </c>
      <c r="N1282" s="4">
        <v>0.1210447993139962</v>
      </c>
      <c r="O1282" s="4">
        <v>0</v>
      </c>
    </row>
    <row r="1283" spans="1:15" x14ac:dyDescent="0.3">
      <c r="A1283" s="4">
        <v>332</v>
      </c>
      <c r="B1283" s="4">
        <v>332000</v>
      </c>
      <c r="C1283" s="4" t="s">
        <v>163</v>
      </c>
      <c r="D1283" s="4" t="s">
        <v>162</v>
      </c>
      <c r="E1283" s="4" t="s">
        <v>17</v>
      </c>
      <c r="F1283" s="4" t="s">
        <v>18</v>
      </c>
      <c r="G1283" s="5">
        <v>0.9</v>
      </c>
      <c r="H1283" s="5">
        <v>0.4</v>
      </c>
      <c r="I1283" s="5">
        <v>0.1166666666666667</v>
      </c>
      <c r="J1283" s="6">
        <v>0.37096774193548387</v>
      </c>
      <c r="K1283" s="6">
        <v>0.84652173913043471</v>
      </c>
      <c r="L1283" s="6">
        <v>0.7653503532108471</v>
      </c>
      <c r="M1283" s="4" t="s">
        <v>29</v>
      </c>
      <c r="N1283" s="4">
        <v>0.12121923001424841</v>
      </c>
      <c r="O1283" s="4">
        <v>0</v>
      </c>
    </row>
    <row r="1284" spans="1:15" x14ac:dyDescent="0.3">
      <c r="A1284" s="4">
        <v>333</v>
      </c>
      <c r="B1284" s="4">
        <v>333000</v>
      </c>
      <c r="C1284" s="4" t="s">
        <v>163</v>
      </c>
      <c r="D1284" s="4" t="s">
        <v>162</v>
      </c>
      <c r="E1284" s="4" t="s">
        <v>17</v>
      </c>
      <c r="F1284" s="4" t="s">
        <v>18</v>
      </c>
      <c r="G1284" s="5">
        <v>0.9</v>
      </c>
      <c r="H1284" s="5">
        <v>0.4</v>
      </c>
      <c r="I1284" s="5">
        <v>0.1166666666666667</v>
      </c>
      <c r="J1284" s="6">
        <v>0.37096774193548387</v>
      </c>
      <c r="K1284" s="6">
        <v>0.84652173913043471</v>
      </c>
      <c r="L1284" s="6">
        <v>0.76556569623579929</v>
      </c>
      <c r="M1284" s="4" t="s">
        <v>112</v>
      </c>
      <c r="N1284" s="4">
        <v>0.1233924144370379</v>
      </c>
      <c r="O1284" s="4">
        <v>0</v>
      </c>
    </row>
    <row r="1285" spans="1:15" x14ac:dyDescent="0.3">
      <c r="A1285" s="4">
        <v>334</v>
      </c>
      <c r="B1285" s="4">
        <v>334000</v>
      </c>
      <c r="C1285" s="4" t="s">
        <v>163</v>
      </c>
      <c r="D1285" s="4" t="s">
        <v>162</v>
      </c>
      <c r="E1285" s="4" t="s">
        <v>17</v>
      </c>
      <c r="F1285" s="4" t="s">
        <v>18</v>
      </c>
      <c r="G1285" s="5">
        <v>0.9</v>
      </c>
      <c r="H1285" s="5">
        <v>0.4</v>
      </c>
      <c r="I1285" s="5">
        <v>0.1166666666666667</v>
      </c>
      <c r="J1285" s="6">
        <v>0.38333333333333341</v>
      </c>
      <c r="K1285" s="6">
        <v>0.85043478260869565</v>
      </c>
      <c r="L1285" s="6">
        <v>0.76571578846288146</v>
      </c>
      <c r="M1285" s="4" t="s">
        <v>112</v>
      </c>
      <c r="N1285" s="4">
        <v>0.1228325250900188</v>
      </c>
      <c r="O1285" s="4">
        <v>0</v>
      </c>
    </row>
    <row r="1286" spans="1:15" x14ac:dyDescent="0.3">
      <c r="A1286" s="4">
        <v>335</v>
      </c>
      <c r="B1286" s="4">
        <v>335000</v>
      </c>
      <c r="C1286" s="4" t="s">
        <v>163</v>
      </c>
      <c r="D1286" s="4" t="s">
        <v>162</v>
      </c>
      <c r="E1286" s="4" t="s">
        <v>17</v>
      </c>
      <c r="F1286" s="4" t="s">
        <v>18</v>
      </c>
      <c r="G1286" s="5">
        <v>0.9</v>
      </c>
      <c r="H1286" s="5">
        <v>0.4</v>
      </c>
      <c r="I1286" s="5">
        <v>0.1166666666666667</v>
      </c>
      <c r="J1286" s="6">
        <v>0.37704918032786883</v>
      </c>
      <c r="K1286" s="6">
        <v>0.84999999999999987</v>
      </c>
      <c r="L1286" s="6">
        <v>0.76558611333320636</v>
      </c>
      <c r="M1286" s="4" t="s">
        <v>29</v>
      </c>
      <c r="N1286" s="4">
        <v>0.12148338221947159</v>
      </c>
      <c r="O1286" s="4">
        <v>0</v>
      </c>
    </row>
    <row r="1287" spans="1:15" x14ac:dyDescent="0.3">
      <c r="A1287" s="4">
        <v>336</v>
      </c>
      <c r="B1287" s="4">
        <v>336000</v>
      </c>
      <c r="C1287" s="4" t="s">
        <v>163</v>
      </c>
      <c r="D1287" s="4" t="s">
        <v>162</v>
      </c>
      <c r="E1287" s="4" t="s">
        <v>17</v>
      </c>
      <c r="F1287" s="4" t="s">
        <v>18</v>
      </c>
      <c r="G1287" s="5">
        <v>0.9</v>
      </c>
      <c r="H1287" s="5">
        <v>0.4</v>
      </c>
      <c r="I1287" s="5">
        <v>0.1166666666666667</v>
      </c>
      <c r="J1287" s="6">
        <v>0.37704918032786883</v>
      </c>
      <c r="K1287" s="6">
        <v>0.84999999999999987</v>
      </c>
      <c r="L1287" s="6">
        <v>0.76458402708402706</v>
      </c>
      <c r="M1287" s="4" t="s">
        <v>64</v>
      </c>
      <c r="N1287" s="4">
        <v>0.12197068911911629</v>
      </c>
      <c r="O1287" s="4">
        <v>0</v>
      </c>
    </row>
    <row r="1288" spans="1:15" x14ac:dyDescent="0.3">
      <c r="A1288" s="4">
        <v>337</v>
      </c>
      <c r="B1288" s="4">
        <v>337000</v>
      </c>
      <c r="C1288" s="4" t="s">
        <v>163</v>
      </c>
      <c r="D1288" s="4" t="s">
        <v>162</v>
      </c>
      <c r="E1288" s="4" t="s">
        <v>17</v>
      </c>
      <c r="F1288" s="4" t="s">
        <v>18</v>
      </c>
      <c r="G1288" s="5">
        <v>0.9</v>
      </c>
      <c r="H1288" s="5">
        <v>0.4</v>
      </c>
      <c r="I1288" s="5">
        <v>0.1166666666666667</v>
      </c>
      <c r="J1288" s="6">
        <v>0.38983050847457629</v>
      </c>
      <c r="K1288" s="6">
        <v>0.85086956521739121</v>
      </c>
      <c r="L1288" s="6">
        <v>0.76433283983369893</v>
      </c>
      <c r="M1288" s="4" t="s">
        <v>58</v>
      </c>
      <c r="N1288" s="4">
        <v>0.12483518481516991</v>
      </c>
      <c r="O1288" s="4">
        <v>0</v>
      </c>
    </row>
    <row r="1289" spans="1:15" x14ac:dyDescent="0.3">
      <c r="A1289" s="4">
        <v>338</v>
      </c>
      <c r="B1289" s="4">
        <v>338000</v>
      </c>
      <c r="C1289" s="4" t="s">
        <v>163</v>
      </c>
      <c r="D1289" s="4" t="s">
        <v>162</v>
      </c>
      <c r="E1289" s="4" t="s">
        <v>17</v>
      </c>
      <c r="F1289" s="4" t="s">
        <v>18</v>
      </c>
      <c r="G1289" s="5">
        <v>0.9</v>
      </c>
      <c r="H1289" s="5">
        <v>0.4</v>
      </c>
      <c r="I1289" s="5">
        <v>0.1166666666666667</v>
      </c>
      <c r="J1289" s="6">
        <v>0.4</v>
      </c>
      <c r="K1289" s="6">
        <v>0.81499999999999995</v>
      </c>
      <c r="L1289" s="6">
        <v>0.60454450312427266</v>
      </c>
      <c r="M1289" s="4" t="s">
        <v>112</v>
      </c>
      <c r="N1289" s="4">
        <v>0.1234221461250347</v>
      </c>
      <c r="O1289" s="4">
        <v>0</v>
      </c>
    </row>
    <row r="1290" spans="1:15" x14ac:dyDescent="0.3">
      <c r="A1290" s="4">
        <v>339</v>
      </c>
      <c r="B1290" s="4">
        <v>339000</v>
      </c>
      <c r="C1290" s="4" t="s">
        <v>163</v>
      </c>
      <c r="D1290" s="4" t="s">
        <v>162</v>
      </c>
      <c r="E1290" s="4" t="s">
        <v>17</v>
      </c>
      <c r="F1290" s="4" t="s">
        <v>18</v>
      </c>
      <c r="G1290" s="5">
        <v>0.81111111111111112</v>
      </c>
      <c r="H1290" s="5">
        <v>0.8</v>
      </c>
      <c r="I1290" s="5">
        <v>0.1166666666666667</v>
      </c>
      <c r="J1290" s="6">
        <v>0.36842105263157893</v>
      </c>
      <c r="K1290" s="6">
        <v>0.93095238095238086</v>
      </c>
      <c r="L1290" s="6">
        <v>0.83041174072564206</v>
      </c>
      <c r="M1290" s="4" t="s">
        <v>19</v>
      </c>
      <c r="N1290" s="4">
        <v>1</v>
      </c>
      <c r="O1290" s="4">
        <v>1</v>
      </c>
    </row>
    <row r="1291" spans="1:15" x14ac:dyDescent="0.3">
      <c r="A1291" s="4">
        <v>340</v>
      </c>
      <c r="B1291" s="4">
        <v>340000</v>
      </c>
      <c r="C1291" s="4" t="s">
        <v>163</v>
      </c>
      <c r="D1291" s="4" t="s">
        <v>162</v>
      </c>
      <c r="E1291" s="4" t="s">
        <v>17</v>
      </c>
      <c r="F1291" s="4" t="s">
        <v>18</v>
      </c>
      <c r="G1291" s="5">
        <v>0.81111111111111112</v>
      </c>
      <c r="H1291" s="5">
        <v>0.8</v>
      </c>
      <c r="I1291" s="5">
        <v>0.1166666666666667</v>
      </c>
      <c r="J1291" s="6">
        <v>0.3559322033898305</v>
      </c>
      <c r="K1291" s="6">
        <v>0.9290476190476189</v>
      </c>
      <c r="L1291" s="6">
        <v>0.82754182754182748</v>
      </c>
      <c r="M1291" s="4" t="s">
        <v>212</v>
      </c>
      <c r="N1291" s="4">
        <v>2.9326570783646248E-2</v>
      </c>
      <c r="O1291" s="4">
        <v>0</v>
      </c>
    </row>
    <row r="1292" spans="1:15" x14ac:dyDescent="0.3">
      <c r="A1292" s="4">
        <v>341</v>
      </c>
      <c r="B1292" s="4">
        <v>341000</v>
      </c>
      <c r="C1292" s="4" t="s">
        <v>163</v>
      </c>
      <c r="D1292" s="4" t="s">
        <v>162</v>
      </c>
      <c r="E1292" s="4" t="s">
        <v>17</v>
      </c>
      <c r="F1292" s="4" t="s">
        <v>18</v>
      </c>
      <c r="G1292" s="5">
        <v>0.81111111111111112</v>
      </c>
      <c r="H1292" s="5">
        <v>0.8</v>
      </c>
      <c r="I1292" s="5">
        <v>0.1166666666666667</v>
      </c>
      <c r="J1292" s="6">
        <v>0.3728813559322034</v>
      </c>
      <c r="K1292" s="6">
        <v>0.92590909090909079</v>
      </c>
      <c r="L1292" s="6">
        <v>0.82507936507936508</v>
      </c>
      <c r="M1292" s="4" t="s">
        <v>165</v>
      </c>
      <c r="N1292" s="4">
        <v>3.4499452108247328E-2</v>
      </c>
      <c r="O1292" s="4">
        <v>0</v>
      </c>
    </row>
    <row r="1293" spans="1:15" x14ac:dyDescent="0.3">
      <c r="A1293" s="4">
        <v>342</v>
      </c>
      <c r="B1293" s="4">
        <v>342000</v>
      </c>
      <c r="C1293" s="4" t="s">
        <v>163</v>
      </c>
      <c r="D1293" s="4" t="s">
        <v>162</v>
      </c>
      <c r="E1293" s="4" t="s">
        <v>17</v>
      </c>
      <c r="F1293" s="4" t="s">
        <v>18</v>
      </c>
      <c r="G1293" s="5">
        <v>0.81111111111111112</v>
      </c>
      <c r="H1293" s="5">
        <v>0.8</v>
      </c>
      <c r="I1293" s="5">
        <v>0.1166666666666667</v>
      </c>
      <c r="J1293" s="6">
        <v>0.3728813559322034</v>
      </c>
      <c r="K1293" s="6">
        <v>0.92590909090909079</v>
      </c>
      <c r="L1293" s="6">
        <v>0.82785529715762274</v>
      </c>
      <c r="M1293" s="4" t="s">
        <v>174</v>
      </c>
      <c r="N1293" s="4">
        <v>4.0005475809567689E-2</v>
      </c>
      <c r="O1293" s="4">
        <v>0</v>
      </c>
    </row>
    <row r="1294" spans="1:15" x14ac:dyDescent="0.3">
      <c r="A1294" s="4">
        <v>343</v>
      </c>
      <c r="B1294" s="4">
        <v>343000</v>
      </c>
      <c r="C1294" s="4" t="s">
        <v>163</v>
      </c>
      <c r="D1294" s="4" t="s">
        <v>162</v>
      </c>
      <c r="E1294" s="4" t="s">
        <v>17</v>
      </c>
      <c r="F1294" s="4" t="s">
        <v>18</v>
      </c>
      <c r="G1294" s="5">
        <v>0.81111111111111112</v>
      </c>
      <c r="H1294" s="5">
        <v>0.8</v>
      </c>
      <c r="I1294" s="5">
        <v>0.1166666666666667</v>
      </c>
      <c r="J1294" s="6">
        <v>0.35</v>
      </c>
      <c r="K1294" s="6">
        <v>0.92857142857142838</v>
      </c>
      <c r="L1294" s="6">
        <v>0.82444444444444442</v>
      </c>
      <c r="M1294" s="4" t="s">
        <v>210</v>
      </c>
      <c r="N1294" s="4">
        <v>4.1608038630684942E-2</v>
      </c>
      <c r="O1294" s="4">
        <v>0</v>
      </c>
    </row>
    <row r="1295" spans="1:15" x14ac:dyDescent="0.3">
      <c r="A1295" s="4">
        <v>344</v>
      </c>
      <c r="B1295" s="4">
        <v>344000</v>
      </c>
      <c r="C1295" s="4" t="s">
        <v>163</v>
      </c>
      <c r="D1295" s="4" t="s">
        <v>162</v>
      </c>
      <c r="E1295" s="4" t="s">
        <v>17</v>
      </c>
      <c r="F1295" s="4" t="s">
        <v>18</v>
      </c>
      <c r="G1295" s="5">
        <v>0.9</v>
      </c>
      <c r="H1295" s="5">
        <v>0.8</v>
      </c>
      <c r="I1295" s="5">
        <v>0.1166666666666667</v>
      </c>
      <c r="J1295" s="6">
        <v>0.31746031746031739</v>
      </c>
      <c r="K1295" s="6">
        <v>0.93049999999999977</v>
      </c>
      <c r="L1295" s="6">
        <v>0.81956388206388198</v>
      </c>
      <c r="M1295" s="4" t="s">
        <v>19</v>
      </c>
      <c r="N1295" s="4">
        <v>1</v>
      </c>
      <c r="O1295" s="4">
        <v>1</v>
      </c>
    </row>
    <row r="1296" spans="1:15" x14ac:dyDescent="0.3">
      <c r="A1296" s="4">
        <v>345</v>
      </c>
      <c r="B1296" s="4">
        <v>345000</v>
      </c>
      <c r="C1296" s="4" t="s">
        <v>163</v>
      </c>
      <c r="D1296" s="4" t="s">
        <v>162</v>
      </c>
      <c r="E1296" s="4" t="s">
        <v>17</v>
      </c>
      <c r="F1296" s="4" t="s">
        <v>18</v>
      </c>
      <c r="G1296" s="5">
        <v>0.9</v>
      </c>
      <c r="H1296" s="5">
        <v>0.8</v>
      </c>
      <c r="I1296" s="5">
        <v>0.1166666666666667</v>
      </c>
      <c r="J1296" s="6">
        <v>0.32258064516129031</v>
      </c>
      <c r="K1296" s="6">
        <v>0.93149999999999977</v>
      </c>
      <c r="L1296" s="6">
        <v>0.81800346514472078</v>
      </c>
      <c r="M1296" s="4" t="s">
        <v>213</v>
      </c>
      <c r="N1296" s="4">
        <v>2.424750151967859E-2</v>
      </c>
      <c r="O1296" s="4">
        <v>0</v>
      </c>
    </row>
    <row r="1297" spans="1:15" x14ac:dyDescent="0.3">
      <c r="A1297" s="4">
        <v>346</v>
      </c>
      <c r="B1297" s="4">
        <v>346000</v>
      </c>
      <c r="C1297" s="4" t="s">
        <v>163</v>
      </c>
      <c r="D1297" s="4" t="s">
        <v>162</v>
      </c>
      <c r="E1297" s="4" t="s">
        <v>17</v>
      </c>
      <c r="F1297" s="4" t="s">
        <v>18</v>
      </c>
      <c r="G1297" s="5">
        <v>0.9</v>
      </c>
      <c r="H1297" s="5">
        <v>0.8</v>
      </c>
      <c r="I1297" s="5">
        <v>0.1166666666666667</v>
      </c>
      <c r="J1297" s="6">
        <v>0.32786885245901642</v>
      </c>
      <c r="K1297" s="6">
        <v>0.93149999999999977</v>
      </c>
      <c r="L1297" s="6">
        <v>0.81582952815829524</v>
      </c>
      <c r="M1297" s="4" t="s">
        <v>178</v>
      </c>
      <c r="N1297" s="4">
        <v>3.195535200982532E-2</v>
      </c>
      <c r="O1297" s="4">
        <v>0</v>
      </c>
    </row>
    <row r="1298" spans="1:15" x14ac:dyDescent="0.3">
      <c r="A1298" s="4">
        <v>347</v>
      </c>
      <c r="B1298" s="4">
        <v>347000</v>
      </c>
      <c r="C1298" s="4" t="s">
        <v>163</v>
      </c>
      <c r="D1298" s="4" t="s">
        <v>162</v>
      </c>
      <c r="E1298" s="4" t="s">
        <v>17</v>
      </c>
      <c r="F1298" s="4" t="s">
        <v>18</v>
      </c>
      <c r="G1298" s="5">
        <v>0.9</v>
      </c>
      <c r="H1298" s="5">
        <v>0.8</v>
      </c>
      <c r="I1298" s="5">
        <v>0.1166666666666667</v>
      </c>
      <c r="J1298" s="6">
        <v>0.31746031746031739</v>
      </c>
      <c r="K1298" s="6">
        <v>0.93149999999999977</v>
      </c>
      <c r="L1298" s="6">
        <v>0.80576339737108182</v>
      </c>
      <c r="M1298" s="4" t="s">
        <v>191</v>
      </c>
      <c r="N1298" s="4">
        <v>4.1083204862885143E-2</v>
      </c>
      <c r="O1298" s="4">
        <v>0</v>
      </c>
    </row>
    <row r="1299" spans="1:15" x14ac:dyDescent="0.3">
      <c r="A1299" s="4">
        <v>348</v>
      </c>
      <c r="B1299" s="4">
        <v>348000</v>
      </c>
      <c r="C1299" s="4" t="s">
        <v>163</v>
      </c>
      <c r="D1299" s="4" t="s">
        <v>162</v>
      </c>
      <c r="E1299" s="4" t="s">
        <v>17</v>
      </c>
      <c r="F1299" s="4" t="s">
        <v>18</v>
      </c>
      <c r="G1299" s="5">
        <v>0.9</v>
      </c>
      <c r="H1299" s="5">
        <v>0.8</v>
      </c>
      <c r="I1299" s="5">
        <v>0.1166666666666667</v>
      </c>
      <c r="J1299" s="6">
        <v>0.30158730158730163</v>
      </c>
      <c r="K1299" s="6">
        <v>0.97999999999999987</v>
      </c>
      <c r="L1299" s="6">
        <v>0.81134259259259256</v>
      </c>
      <c r="M1299" s="4" t="s">
        <v>191</v>
      </c>
      <c r="N1299" s="4">
        <v>4.0645831174495203E-2</v>
      </c>
      <c r="O1299" s="4">
        <v>0</v>
      </c>
    </row>
    <row r="1300" spans="1:15" x14ac:dyDescent="0.3">
      <c r="A1300" s="4">
        <v>349</v>
      </c>
      <c r="B1300" s="4">
        <v>349000</v>
      </c>
      <c r="C1300" s="4" t="s">
        <v>163</v>
      </c>
      <c r="D1300" s="4" t="s">
        <v>162</v>
      </c>
      <c r="E1300" s="4" t="s">
        <v>17</v>
      </c>
      <c r="F1300" s="4" t="s">
        <v>18</v>
      </c>
      <c r="G1300" s="5">
        <v>0.9</v>
      </c>
      <c r="H1300" s="5">
        <v>0.8</v>
      </c>
      <c r="I1300" s="5">
        <v>0.1166666666666667</v>
      </c>
      <c r="J1300" s="6">
        <v>0.31746031746031739</v>
      </c>
      <c r="K1300" s="6">
        <v>0.92999999999999994</v>
      </c>
      <c r="L1300" s="6">
        <v>0.81267970097757336</v>
      </c>
      <c r="M1300" s="4" t="s">
        <v>191</v>
      </c>
      <c r="N1300" s="4">
        <v>4.1045962199182107E-2</v>
      </c>
      <c r="O1300" s="4">
        <v>0</v>
      </c>
    </row>
    <row r="1301" spans="1:15" x14ac:dyDescent="0.3">
      <c r="A1301" s="4">
        <v>350</v>
      </c>
      <c r="B1301" s="4">
        <v>350000</v>
      </c>
      <c r="C1301" s="4" t="s">
        <v>163</v>
      </c>
      <c r="D1301" s="4" t="s">
        <v>162</v>
      </c>
      <c r="E1301" s="4" t="s">
        <v>17</v>
      </c>
      <c r="F1301" s="4" t="s">
        <v>18</v>
      </c>
      <c r="G1301" s="5">
        <v>0.9</v>
      </c>
      <c r="H1301" s="5">
        <v>0.8</v>
      </c>
      <c r="I1301" s="5">
        <v>0.1166666666666667</v>
      </c>
      <c r="J1301" s="6">
        <v>0.32258064516129031</v>
      </c>
      <c r="K1301" s="6">
        <v>0.92999999999999994</v>
      </c>
      <c r="L1301" s="6">
        <v>0.80789870080964032</v>
      </c>
      <c r="M1301" s="4" t="s">
        <v>193</v>
      </c>
      <c r="N1301" s="4">
        <v>4.7851183074495457E-2</v>
      </c>
      <c r="O1301" s="4">
        <v>0</v>
      </c>
    </row>
    <row r="1302" spans="1:15" x14ac:dyDescent="0.3">
      <c r="A1302" s="4">
        <v>351</v>
      </c>
      <c r="B1302" s="4">
        <v>351000</v>
      </c>
      <c r="C1302" s="4" t="s">
        <v>163</v>
      </c>
      <c r="D1302" s="4" t="s">
        <v>162</v>
      </c>
      <c r="E1302" s="4" t="s">
        <v>17</v>
      </c>
      <c r="F1302" s="4" t="s">
        <v>18</v>
      </c>
      <c r="G1302" s="5">
        <v>0.9</v>
      </c>
      <c r="H1302" s="5">
        <v>0.8</v>
      </c>
      <c r="I1302" s="5">
        <v>0.1166666666666667</v>
      </c>
      <c r="J1302" s="6">
        <v>0.32786885245901642</v>
      </c>
      <c r="K1302" s="6">
        <v>0.93049999999999977</v>
      </c>
      <c r="L1302" s="6">
        <v>0.80908408408408405</v>
      </c>
      <c r="M1302" s="4" t="s">
        <v>211</v>
      </c>
      <c r="N1302" s="4">
        <v>4.9392798201403937E-2</v>
      </c>
      <c r="O1302" s="4">
        <v>0</v>
      </c>
    </row>
    <row r="1303" spans="1:15" x14ac:dyDescent="0.3">
      <c r="A1303" s="4">
        <v>352</v>
      </c>
      <c r="B1303" s="4">
        <v>352000</v>
      </c>
      <c r="C1303" s="4" t="s">
        <v>163</v>
      </c>
      <c r="D1303" s="4" t="s">
        <v>162</v>
      </c>
      <c r="E1303" s="4" t="s">
        <v>17</v>
      </c>
      <c r="F1303" s="4" t="s">
        <v>18</v>
      </c>
      <c r="G1303" s="5">
        <v>0.9</v>
      </c>
      <c r="H1303" s="5">
        <v>0.8</v>
      </c>
      <c r="I1303" s="5">
        <v>0.1166666666666667</v>
      </c>
      <c r="J1303" s="6">
        <v>0.32258064516129031</v>
      </c>
      <c r="K1303" s="6">
        <v>0.93049999999999977</v>
      </c>
      <c r="L1303" s="6">
        <v>0.80629459734964326</v>
      </c>
      <c r="M1303" s="4" t="s">
        <v>214</v>
      </c>
      <c r="N1303" s="4">
        <v>5.129783449010171E-2</v>
      </c>
      <c r="O1303" s="4">
        <v>0</v>
      </c>
    </row>
    <row r="1304" spans="1:15" x14ac:dyDescent="0.3">
      <c r="A1304" s="4">
        <v>353</v>
      </c>
      <c r="B1304" s="4">
        <v>353000</v>
      </c>
      <c r="C1304" s="4" t="s">
        <v>163</v>
      </c>
      <c r="D1304" s="4" t="s">
        <v>162</v>
      </c>
      <c r="E1304" s="4" t="s">
        <v>17</v>
      </c>
      <c r="F1304" s="4" t="s">
        <v>18</v>
      </c>
      <c r="G1304" s="5">
        <v>0.9</v>
      </c>
      <c r="H1304" s="5">
        <v>0.8</v>
      </c>
      <c r="I1304" s="5">
        <v>0.1166666666666667</v>
      </c>
      <c r="J1304" s="6">
        <v>0.32258064516129031</v>
      </c>
      <c r="K1304" s="6">
        <v>0.93099999999999983</v>
      </c>
      <c r="L1304" s="6">
        <v>0.80474708952228013</v>
      </c>
      <c r="M1304" s="4" t="s">
        <v>164</v>
      </c>
      <c r="N1304" s="4">
        <v>5.2661051131022221E-2</v>
      </c>
      <c r="O1304" s="4">
        <v>0</v>
      </c>
    </row>
    <row r="1305" spans="1:15" x14ac:dyDescent="0.3">
      <c r="A1305" s="4">
        <v>354</v>
      </c>
      <c r="B1305" s="4">
        <v>354000</v>
      </c>
      <c r="C1305" s="4" t="s">
        <v>163</v>
      </c>
      <c r="D1305" s="4" t="s">
        <v>162</v>
      </c>
      <c r="E1305" s="4" t="s">
        <v>17</v>
      </c>
      <c r="F1305" s="4" t="s">
        <v>18</v>
      </c>
      <c r="G1305" s="5">
        <v>0.9</v>
      </c>
      <c r="H1305" s="5">
        <v>0.8</v>
      </c>
      <c r="I1305" s="5">
        <v>0.1166666666666667</v>
      </c>
      <c r="J1305" s="6">
        <v>0.31746031746031739</v>
      </c>
      <c r="K1305" s="6">
        <v>0.93049999999999977</v>
      </c>
      <c r="L1305" s="6">
        <v>0.80583138629283479</v>
      </c>
      <c r="M1305" s="4" t="s">
        <v>211</v>
      </c>
      <c r="N1305" s="4">
        <v>4.881100202029813E-2</v>
      </c>
      <c r="O1305" s="4">
        <v>0</v>
      </c>
    </row>
    <row r="1306" spans="1:15" x14ac:dyDescent="0.3">
      <c r="A1306" s="4">
        <v>355</v>
      </c>
      <c r="B1306" s="4">
        <v>355000</v>
      </c>
      <c r="C1306" s="4" t="s">
        <v>163</v>
      </c>
      <c r="D1306" s="4" t="s">
        <v>162</v>
      </c>
      <c r="E1306" s="4" t="s">
        <v>17</v>
      </c>
      <c r="F1306" s="4" t="s">
        <v>18</v>
      </c>
      <c r="G1306" s="5">
        <v>0.9</v>
      </c>
      <c r="H1306" s="5">
        <v>0.8</v>
      </c>
      <c r="I1306" s="5">
        <v>0.1166666666666667</v>
      </c>
      <c r="J1306" s="6">
        <v>0.30769230769230771</v>
      </c>
      <c r="K1306" s="6">
        <v>0.93099999999999983</v>
      </c>
      <c r="L1306" s="6">
        <v>0.80583138629283479</v>
      </c>
      <c r="M1306" s="4" t="s">
        <v>185</v>
      </c>
      <c r="N1306" s="4">
        <v>5.9924442262459257E-2</v>
      </c>
      <c r="O1306" s="4">
        <v>0</v>
      </c>
    </row>
    <row r="1307" spans="1:15" x14ac:dyDescent="0.3">
      <c r="A1307" s="4">
        <v>356</v>
      </c>
      <c r="B1307" s="4">
        <v>356000</v>
      </c>
      <c r="C1307" s="4" t="s">
        <v>163</v>
      </c>
      <c r="D1307" s="4" t="s">
        <v>162</v>
      </c>
      <c r="E1307" s="4" t="s">
        <v>17</v>
      </c>
      <c r="F1307" s="4" t="s">
        <v>18</v>
      </c>
      <c r="G1307" s="5">
        <v>0.9</v>
      </c>
      <c r="H1307" s="5">
        <v>0.8</v>
      </c>
      <c r="I1307" s="5">
        <v>0.1166666666666667</v>
      </c>
      <c r="J1307" s="6">
        <v>0.3125</v>
      </c>
      <c r="K1307" s="6">
        <v>0.92999999999999994</v>
      </c>
      <c r="L1307" s="6">
        <v>0.80918604651162784</v>
      </c>
      <c r="M1307" s="4" t="s">
        <v>186</v>
      </c>
      <c r="N1307" s="4">
        <v>6.5049724445928811E-2</v>
      </c>
      <c r="O1307" s="4">
        <v>0</v>
      </c>
    </row>
    <row r="1308" spans="1:15" x14ac:dyDescent="0.3">
      <c r="A1308" s="4">
        <v>357</v>
      </c>
      <c r="B1308" s="4">
        <v>357000</v>
      </c>
      <c r="C1308" s="4" t="s">
        <v>163</v>
      </c>
      <c r="D1308" s="4" t="s">
        <v>162</v>
      </c>
      <c r="E1308" s="4" t="s">
        <v>17</v>
      </c>
      <c r="F1308" s="4" t="s">
        <v>18</v>
      </c>
      <c r="G1308" s="5">
        <v>0.9</v>
      </c>
      <c r="H1308" s="5">
        <v>0.8</v>
      </c>
      <c r="I1308" s="5">
        <v>0.1166666666666667</v>
      </c>
      <c r="J1308" s="6">
        <v>0.31746031746031739</v>
      </c>
      <c r="K1308" s="6">
        <v>0.92999999999999994</v>
      </c>
      <c r="L1308" s="6">
        <v>0.81103511171910625</v>
      </c>
      <c r="M1308" s="4" t="s">
        <v>195</v>
      </c>
      <c r="N1308" s="4">
        <v>6.9395902581364924E-2</v>
      </c>
      <c r="O1308" s="4">
        <v>0</v>
      </c>
    </row>
    <row r="1309" spans="1:15" x14ac:dyDescent="0.3">
      <c r="A1309" s="4">
        <v>358</v>
      </c>
      <c r="B1309" s="4">
        <v>358000</v>
      </c>
      <c r="C1309" s="4" t="s">
        <v>163</v>
      </c>
      <c r="D1309" s="4" t="s">
        <v>162</v>
      </c>
      <c r="E1309" s="4" t="s">
        <v>17</v>
      </c>
      <c r="F1309" s="4" t="s">
        <v>18</v>
      </c>
      <c r="G1309" s="5">
        <v>0.9</v>
      </c>
      <c r="H1309" s="5">
        <v>0.8</v>
      </c>
      <c r="I1309" s="5">
        <v>0.1166666666666667</v>
      </c>
      <c r="J1309" s="6">
        <v>0.3125</v>
      </c>
      <c r="K1309" s="6">
        <v>0.92949999999999999</v>
      </c>
      <c r="L1309" s="6">
        <v>0.80987232102143181</v>
      </c>
      <c r="M1309" s="4" t="s">
        <v>176</v>
      </c>
      <c r="N1309" s="4">
        <v>7.3806973542497781E-2</v>
      </c>
      <c r="O1309" s="4">
        <v>0</v>
      </c>
    </row>
    <row r="1310" spans="1:15" x14ac:dyDescent="0.3">
      <c r="A1310" s="4">
        <v>359</v>
      </c>
      <c r="B1310" s="4">
        <v>359000</v>
      </c>
      <c r="C1310" s="4" t="s">
        <v>163</v>
      </c>
      <c r="D1310" s="4" t="s">
        <v>162</v>
      </c>
      <c r="E1310" s="4" t="s">
        <v>17</v>
      </c>
      <c r="F1310" s="4" t="s">
        <v>18</v>
      </c>
      <c r="G1310" s="5">
        <v>0.9</v>
      </c>
      <c r="H1310" s="5">
        <v>0.8</v>
      </c>
      <c r="I1310" s="5">
        <v>0.1166666666666667</v>
      </c>
      <c r="J1310" s="6">
        <v>0.3125</v>
      </c>
      <c r="K1310" s="6">
        <v>0.93049999999999977</v>
      </c>
      <c r="L1310" s="6">
        <v>0.80928817024440103</v>
      </c>
      <c r="M1310" s="4" t="s">
        <v>140</v>
      </c>
      <c r="N1310" s="4">
        <v>7.776526645019062E-2</v>
      </c>
      <c r="O1310" s="4">
        <v>0</v>
      </c>
    </row>
    <row r="1311" spans="1:15" x14ac:dyDescent="0.3">
      <c r="A1311" s="4">
        <v>360</v>
      </c>
      <c r="B1311" s="4">
        <v>360000</v>
      </c>
      <c r="C1311" s="4" t="s">
        <v>163</v>
      </c>
      <c r="D1311" s="4" t="s">
        <v>162</v>
      </c>
      <c r="E1311" s="4" t="s">
        <v>17</v>
      </c>
      <c r="F1311" s="4" t="s">
        <v>18</v>
      </c>
      <c r="G1311" s="5">
        <v>0.9</v>
      </c>
      <c r="H1311" s="5">
        <v>0.8</v>
      </c>
      <c r="I1311" s="5">
        <v>0.1166666666666667</v>
      </c>
      <c r="J1311" s="6">
        <v>0.31746031746031739</v>
      </c>
      <c r="K1311" s="6">
        <v>0.93149999999999999</v>
      </c>
      <c r="L1311" s="6">
        <v>0.80158585490339052</v>
      </c>
      <c r="M1311" s="4" t="s">
        <v>170</v>
      </c>
      <c r="N1311" s="4">
        <v>8.0532828154469688E-2</v>
      </c>
      <c r="O1311" s="4">
        <v>0</v>
      </c>
    </row>
    <row r="1312" spans="1:15" x14ac:dyDescent="0.3">
      <c r="A1312" s="4">
        <v>361</v>
      </c>
      <c r="B1312" s="4">
        <v>361000</v>
      </c>
      <c r="C1312" s="4" t="s">
        <v>163</v>
      </c>
      <c r="D1312" s="4" t="s">
        <v>162</v>
      </c>
      <c r="E1312" s="4" t="s">
        <v>17</v>
      </c>
      <c r="F1312" s="4" t="s">
        <v>18</v>
      </c>
      <c r="G1312" s="5">
        <v>0.9</v>
      </c>
      <c r="H1312" s="5">
        <v>0.8</v>
      </c>
      <c r="I1312" s="5">
        <v>0.1166666666666667</v>
      </c>
      <c r="J1312" s="6">
        <v>0.30769230769230771</v>
      </c>
      <c r="K1312" s="6">
        <v>0.93149999999999999</v>
      </c>
      <c r="L1312" s="6">
        <v>0.80606186136426405</v>
      </c>
      <c r="M1312" s="4" t="s">
        <v>106</v>
      </c>
      <c r="N1312" s="4">
        <v>8.2295468985214934E-2</v>
      </c>
      <c r="O1312" s="4">
        <v>0</v>
      </c>
    </row>
    <row r="1313" spans="1:15" x14ac:dyDescent="0.3">
      <c r="A1313" s="4">
        <v>362</v>
      </c>
      <c r="B1313" s="4">
        <v>362000</v>
      </c>
      <c r="C1313" s="4" t="s">
        <v>163</v>
      </c>
      <c r="D1313" s="4" t="s">
        <v>162</v>
      </c>
      <c r="E1313" s="4" t="s">
        <v>17</v>
      </c>
      <c r="F1313" s="4" t="s">
        <v>18</v>
      </c>
      <c r="G1313" s="5">
        <v>0.9</v>
      </c>
      <c r="H1313" s="5">
        <v>0.8</v>
      </c>
      <c r="I1313" s="5">
        <v>0.1166666666666667</v>
      </c>
      <c r="J1313" s="6">
        <v>0.30303030303030298</v>
      </c>
      <c r="K1313" s="6">
        <v>0.93099999999999983</v>
      </c>
      <c r="L1313" s="6">
        <v>0.80937328202308967</v>
      </c>
      <c r="M1313" s="4" t="s">
        <v>170</v>
      </c>
      <c r="N1313" s="4">
        <v>8.0635268200058979E-2</v>
      </c>
      <c r="O1313" s="4">
        <v>0</v>
      </c>
    </row>
    <row r="1314" spans="1:15" x14ac:dyDescent="0.3">
      <c r="A1314" s="4">
        <v>363</v>
      </c>
      <c r="B1314" s="4">
        <v>363000</v>
      </c>
      <c r="C1314" s="4" t="s">
        <v>163</v>
      </c>
      <c r="D1314" s="4" t="s">
        <v>162</v>
      </c>
      <c r="E1314" s="4" t="s">
        <v>17</v>
      </c>
      <c r="F1314" s="4" t="s">
        <v>18</v>
      </c>
      <c r="G1314" s="5">
        <v>0.9</v>
      </c>
      <c r="H1314" s="5">
        <v>0.8</v>
      </c>
      <c r="I1314" s="5">
        <v>0.1166666666666667</v>
      </c>
      <c r="J1314" s="6">
        <v>0.30303030303030298</v>
      </c>
      <c r="K1314" s="6">
        <v>0.93249999999999988</v>
      </c>
      <c r="L1314" s="6">
        <v>0.81021485961903039</v>
      </c>
      <c r="M1314" s="4" t="s">
        <v>21</v>
      </c>
      <c r="N1314" s="4">
        <v>8.4109063180659444E-2</v>
      </c>
      <c r="O1314" s="4">
        <v>0</v>
      </c>
    </row>
    <row r="1315" spans="1:15" x14ac:dyDescent="0.3">
      <c r="A1315" s="4">
        <v>364</v>
      </c>
      <c r="B1315" s="4">
        <v>364000</v>
      </c>
      <c r="C1315" s="4" t="s">
        <v>163</v>
      </c>
      <c r="D1315" s="4" t="s">
        <v>162</v>
      </c>
      <c r="E1315" s="4" t="s">
        <v>17</v>
      </c>
      <c r="F1315" s="4" t="s">
        <v>18</v>
      </c>
      <c r="G1315" s="5">
        <v>0.9</v>
      </c>
      <c r="H1315" s="5">
        <v>0.8</v>
      </c>
      <c r="I1315" s="5">
        <v>0.1166666666666667</v>
      </c>
      <c r="J1315" s="6">
        <v>0.31343283582089548</v>
      </c>
      <c r="K1315" s="6">
        <v>0.93142857142857116</v>
      </c>
      <c r="L1315" s="6">
        <v>0.80880758807588071</v>
      </c>
      <c r="M1315" s="4" t="s">
        <v>97</v>
      </c>
      <c r="N1315" s="4">
        <v>8.6104511163083458E-2</v>
      </c>
      <c r="O1315" s="4">
        <v>0</v>
      </c>
    </row>
    <row r="1316" spans="1:15" x14ac:dyDescent="0.3">
      <c r="A1316" s="4">
        <v>365</v>
      </c>
      <c r="B1316" s="4">
        <v>365000</v>
      </c>
      <c r="C1316" s="4" t="s">
        <v>163</v>
      </c>
      <c r="D1316" s="4" t="s">
        <v>162</v>
      </c>
      <c r="E1316" s="4" t="s">
        <v>17</v>
      </c>
      <c r="F1316" s="4" t="s">
        <v>18</v>
      </c>
      <c r="G1316" s="5">
        <v>0.9</v>
      </c>
      <c r="H1316" s="5">
        <v>0.8</v>
      </c>
      <c r="I1316" s="5">
        <v>0.1166666666666667</v>
      </c>
      <c r="J1316" s="6">
        <v>0.31343283582089548</v>
      </c>
      <c r="K1316" s="6">
        <v>0.93142857142857116</v>
      </c>
      <c r="L1316" s="6">
        <v>0.8036781179985063</v>
      </c>
      <c r="M1316" s="4" t="s">
        <v>97</v>
      </c>
      <c r="N1316" s="4">
        <v>8.5991998527447266E-2</v>
      </c>
      <c r="O1316" s="4">
        <v>0</v>
      </c>
    </row>
    <row r="1317" spans="1:15" x14ac:dyDescent="0.3">
      <c r="A1317" s="4">
        <v>366</v>
      </c>
      <c r="B1317" s="4">
        <v>366000</v>
      </c>
      <c r="C1317" s="4" t="s">
        <v>163</v>
      </c>
      <c r="D1317" s="4" t="s">
        <v>162</v>
      </c>
      <c r="E1317" s="4" t="s">
        <v>17</v>
      </c>
      <c r="F1317" s="4" t="s">
        <v>18</v>
      </c>
      <c r="G1317" s="5">
        <v>0.9</v>
      </c>
      <c r="H1317" s="5">
        <v>0.8</v>
      </c>
      <c r="I1317" s="5">
        <v>0.1166666666666667</v>
      </c>
      <c r="J1317" s="6">
        <v>0.31343283582089548</v>
      </c>
      <c r="K1317" s="6">
        <v>0.93190476190476179</v>
      </c>
      <c r="L1317" s="6">
        <v>0.81131067961165049</v>
      </c>
      <c r="M1317" s="4" t="s">
        <v>97</v>
      </c>
      <c r="N1317" s="4">
        <v>8.621433580574675E-2</v>
      </c>
      <c r="O1317" s="4">
        <v>0</v>
      </c>
    </row>
    <row r="1318" spans="1:15" x14ac:dyDescent="0.3">
      <c r="A1318" s="4">
        <v>367</v>
      </c>
      <c r="B1318" s="4">
        <v>367000</v>
      </c>
      <c r="C1318" s="4" t="s">
        <v>163</v>
      </c>
      <c r="D1318" s="4" t="s">
        <v>162</v>
      </c>
      <c r="E1318" s="4" t="s">
        <v>17</v>
      </c>
      <c r="F1318" s="4" t="s">
        <v>18</v>
      </c>
      <c r="G1318" s="5">
        <v>0.9</v>
      </c>
      <c r="H1318" s="5">
        <v>0.8</v>
      </c>
      <c r="I1318" s="5">
        <v>0.1166666666666667</v>
      </c>
      <c r="J1318" s="6">
        <v>0.29850746268656708</v>
      </c>
      <c r="K1318" s="6">
        <v>0.92999999999999994</v>
      </c>
      <c r="L1318" s="6">
        <v>0.74576923076923085</v>
      </c>
      <c r="M1318" s="4" t="s">
        <v>49</v>
      </c>
      <c r="N1318" s="4">
        <v>8.9752119291166402E-2</v>
      </c>
      <c r="O1318" s="4">
        <v>0</v>
      </c>
    </row>
    <row r="1319" spans="1:15" x14ac:dyDescent="0.3">
      <c r="A1319" s="4">
        <v>368</v>
      </c>
      <c r="B1319" s="4">
        <v>368000</v>
      </c>
      <c r="C1319" s="4" t="s">
        <v>163</v>
      </c>
      <c r="D1319" s="4" t="s">
        <v>162</v>
      </c>
      <c r="E1319" s="4" t="s">
        <v>17</v>
      </c>
      <c r="F1319" s="4" t="s">
        <v>18</v>
      </c>
      <c r="G1319" s="5">
        <v>0.9</v>
      </c>
      <c r="H1319" s="5">
        <v>0.8</v>
      </c>
      <c r="I1319" s="5">
        <v>0.1166666666666667</v>
      </c>
      <c r="J1319" s="6">
        <v>0.29850746268656708</v>
      </c>
      <c r="K1319" s="6">
        <v>0.92949999999999977</v>
      </c>
      <c r="L1319" s="6">
        <v>0.74305977710233029</v>
      </c>
      <c r="M1319" s="4" t="s">
        <v>74</v>
      </c>
      <c r="N1319" s="4">
        <v>8.9264930768587866E-2</v>
      </c>
      <c r="O1319" s="4">
        <v>0</v>
      </c>
    </row>
    <row r="1320" spans="1:15" x14ac:dyDescent="0.3">
      <c r="A1320" s="4">
        <v>369</v>
      </c>
      <c r="B1320" s="4">
        <v>369000</v>
      </c>
      <c r="C1320" s="4" t="s">
        <v>163</v>
      </c>
      <c r="D1320" s="4" t="s">
        <v>162</v>
      </c>
      <c r="E1320" s="4" t="s">
        <v>17</v>
      </c>
      <c r="F1320" s="4" t="s">
        <v>18</v>
      </c>
      <c r="G1320" s="5">
        <v>0.9</v>
      </c>
      <c r="H1320" s="5">
        <v>0.8</v>
      </c>
      <c r="I1320" s="5">
        <v>0.1166666666666667</v>
      </c>
      <c r="J1320" s="6">
        <v>0.30303030303030298</v>
      </c>
      <c r="K1320" s="6">
        <v>0.92999999999999994</v>
      </c>
      <c r="L1320" s="6">
        <v>0.75111111111111117</v>
      </c>
      <c r="M1320" s="4" t="s">
        <v>49</v>
      </c>
      <c r="N1320" s="4">
        <v>9.0072172397283962E-2</v>
      </c>
      <c r="O1320" s="4">
        <v>0</v>
      </c>
    </row>
    <row r="1321" spans="1:15" x14ac:dyDescent="0.3">
      <c r="A1321" s="4">
        <v>370</v>
      </c>
      <c r="B1321" s="4">
        <v>370000</v>
      </c>
      <c r="C1321" s="4" t="s">
        <v>163</v>
      </c>
      <c r="D1321" s="4" t="s">
        <v>162</v>
      </c>
      <c r="E1321" s="4" t="s">
        <v>17</v>
      </c>
      <c r="F1321" s="4" t="s">
        <v>18</v>
      </c>
      <c r="G1321" s="5">
        <v>0.9</v>
      </c>
      <c r="H1321" s="5">
        <v>0.8</v>
      </c>
      <c r="I1321" s="5">
        <v>0.1166666666666667</v>
      </c>
      <c r="J1321" s="6">
        <v>0.30769230769230771</v>
      </c>
      <c r="K1321" s="6">
        <v>0.92949999999999977</v>
      </c>
      <c r="L1321" s="6">
        <v>0.75217336125388667</v>
      </c>
      <c r="M1321" s="4" t="s">
        <v>73</v>
      </c>
      <c r="N1321" s="4">
        <v>9.2243639346206885E-2</v>
      </c>
      <c r="O1321" s="4">
        <v>0</v>
      </c>
    </row>
    <row r="1322" spans="1:15" x14ac:dyDescent="0.3">
      <c r="A1322" s="4">
        <v>371</v>
      </c>
      <c r="B1322" s="4">
        <v>371000</v>
      </c>
      <c r="C1322" s="4" t="s">
        <v>163</v>
      </c>
      <c r="D1322" s="4" t="s">
        <v>162</v>
      </c>
      <c r="E1322" s="4" t="s">
        <v>17</v>
      </c>
      <c r="F1322" s="4" t="s">
        <v>18</v>
      </c>
      <c r="G1322" s="5">
        <v>0.9</v>
      </c>
      <c r="H1322" s="5">
        <v>0.8</v>
      </c>
      <c r="I1322" s="5">
        <v>0.1166666666666667</v>
      </c>
      <c r="J1322" s="6">
        <v>0.31746031746031739</v>
      </c>
      <c r="K1322" s="6">
        <v>0.92949999999999977</v>
      </c>
      <c r="L1322" s="6">
        <v>0.7521507827937377</v>
      </c>
      <c r="M1322" s="4" t="s">
        <v>73</v>
      </c>
      <c r="N1322" s="4">
        <v>9.2009868496999797E-2</v>
      </c>
      <c r="O1322" s="4">
        <v>0</v>
      </c>
    </row>
    <row r="1323" spans="1:15" x14ac:dyDescent="0.3">
      <c r="A1323" s="4">
        <v>372</v>
      </c>
      <c r="B1323" s="4">
        <v>372000</v>
      </c>
      <c r="C1323" s="4" t="s">
        <v>163</v>
      </c>
      <c r="D1323" s="4" t="s">
        <v>162</v>
      </c>
      <c r="E1323" s="4" t="s">
        <v>17</v>
      </c>
      <c r="F1323" s="4" t="s">
        <v>18</v>
      </c>
      <c r="G1323" s="5">
        <v>0.9</v>
      </c>
      <c r="H1323" s="5">
        <v>0.8</v>
      </c>
      <c r="I1323" s="5">
        <v>0.1166666666666667</v>
      </c>
      <c r="J1323" s="6">
        <v>0.31746031746031739</v>
      </c>
      <c r="K1323" s="6">
        <v>0.92949999999999977</v>
      </c>
      <c r="L1323" s="6">
        <v>0.75003038036213399</v>
      </c>
      <c r="M1323" s="4" t="s">
        <v>22</v>
      </c>
      <c r="N1323" s="4">
        <v>9.4472394917221397E-2</v>
      </c>
      <c r="O1323" s="4">
        <v>0</v>
      </c>
    </row>
    <row r="1324" spans="1:15" x14ac:dyDescent="0.3">
      <c r="A1324" s="4">
        <v>373</v>
      </c>
      <c r="B1324" s="4">
        <v>373000</v>
      </c>
      <c r="C1324" s="4" t="s">
        <v>163</v>
      </c>
      <c r="D1324" s="4" t="s">
        <v>162</v>
      </c>
      <c r="E1324" s="4" t="s">
        <v>17</v>
      </c>
      <c r="F1324" s="4" t="s">
        <v>18</v>
      </c>
      <c r="G1324" s="5">
        <v>0.9</v>
      </c>
      <c r="H1324" s="5">
        <v>0.8</v>
      </c>
      <c r="I1324" s="5">
        <v>0.1166666666666667</v>
      </c>
      <c r="J1324" s="6">
        <v>0.32258064516129031</v>
      </c>
      <c r="K1324" s="6">
        <v>0.92949999999999977</v>
      </c>
      <c r="L1324" s="6">
        <v>0.74952761515348643</v>
      </c>
      <c r="M1324" s="4" t="s">
        <v>150</v>
      </c>
      <c r="N1324" s="4">
        <v>9.5230294669032461E-2</v>
      </c>
      <c r="O1324" s="4">
        <v>0</v>
      </c>
    </row>
    <row r="1325" spans="1:15" x14ac:dyDescent="0.3">
      <c r="A1325" s="4">
        <v>374</v>
      </c>
      <c r="B1325" s="4">
        <v>374000</v>
      </c>
      <c r="C1325" s="4" t="s">
        <v>163</v>
      </c>
      <c r="D1325" s="4" t="s">
        <v>162</v>
      </c>
      <c r="E1325" s="4" t="s">
        <v>17</v>
      </c>
      <c r="F1325" s="4" t="s">
        <v>18</v>
      </c>
      <c r="G1325" s="5">
        <v>0.9</v>
      </c>
      <c r="H1325" s="5">
        <v>0.8</v>
      </c>
      <c r="I1325" s="5">
        <v>0.1166666666666667</v>
      </c>
      <c r="J1325" s="6">
        <v>0.32786885245901642</v>
      </c>
      <c r="K1325" s="6">
        <v>0.93049999999999999</v>
      </c>
      <c r="L1325" s="6">
        <v>0.75532385466034757</v>
      </c>
      <c r="M1325" s="4" t="s">
        <v>154</v>
      </c>
      <c r="N1325" s="4">
        <v>9.7793280961553847E-2</v>
      </c>
      <c r="O1325" s="4">
        <v>0</v>
      </c>
    </row>
    <row r="1326" spans="1:15" x14ac:dyDescent="0.3">
      <c r="A1326" s="4">
        <v>375</v>
      </c>
      <c r="B1326" s="4">
        <v>375000</v>
      </c>
      <c r="C1326" s="4" t="s">
        <v>163</v>
      </c>
      <c r="D1326" s="4" t="s">
        <v>162</v>
      </c>
      <c r="E1326" s="4" t="s">
        <v>17</v>
      </c>
      <c r="F1326" s="4" t="s">
        <v>18</v>
      </c>
      <c r="G1326" s="5">
        <v>0.9</v>
      </c>
      <c r="H1326" s="5">
        <v>0.8</v>
      </c>
      <c r="I1326" s="5">
        <v>0.1166666666666667</v>
      </c>
      <c r="J1326" s="6">
        <v>0.32786885245901642</v>
      </c>
      <c r="K1326" s="6">
        <v>0.93049999999999999</v>
      </c>
      <c r="L1326" s="6">
        <v>0.7558059467918623</v>
      </c>
      <c r="M1326" s="4" t="s">
        <v>154</v>
      </c>
      <c r="N1326" s="4">
        <v>9.7780247720005098E-2</v>
      </c>
      <c r="O1326" s="4">
        <v>0</v>
      </c>
    </row>
    <row r="1327" spans="1:15" x14ac:dyDescent="0.3">
      <c r="A1327" s="4">
        <v>376</v>
      </c>
      <c r="B1327" s="4">
        <v>376000</v>
      </c>
      <c r="C1327" s="4" t="s">
        <v>163</v>
      </c>
      <c r="D1327" s="4" t="s">
        <v>162</v>
      </c>
      <c r="E1327" s="4" t="s">
        <v>17</v>
      </c>
      <c r="F1327" s="4" t="s">
        <v>18</v>
      </c>
      <c r="G1327" s="5">
        <v>0.9</v>
      </c>
      <c r="H1327" s="5">
        <v>0.8</v>
      </c>
      <c r="I1327" s="5">
        <v>0.1166666666666667</v>
      </c>
      <c r="J1327" s="6">
        <v>0.32786885245901642</v>
      </c>
      <c r="K1327" s="6">
        <v>0.93049999999999999</v>
      </c>
      <c r="L1327" s="6">
        <v>0.75477963697327277</v>
      </c>
      <c r="M1327" s="4" t="s">
        <v>129</v>
      </c>
      <c r="N1327" s="4">
        <v>9.6570716109835739E-2</v>
      </c>
      <c r="O1327" s="4">
        <v>0</v>
      </c>
    </row>
    <row r="1328" spans="1:15" x14ac:dyDescent="0.3">
      <c r="A1328" s="4">
        <v>377</v>
      </c>
      <c r="B1328" s="4">
        <v>377000</v>
      </c>
      <c r="C1328" s="4" t="s">
        <v>163</v>
      </c>
      <c r="D1328" s="4" t="s">
        <v>162</v>
      </c>
      <c r="E1328" s="4" t="s">
        <v>17</v>
      </c>
      <c r="F1328" s="4" t="s">
        <v>18</v>
      </c>
      <c r="G1328" s="5">
        <v>0.9</v>
      </c>
      <c r="H1328" s="5">
        <v>0.8</v>
      </c>
      <c r="I1328" s="5">
        <v>0.1166666666666667</v>
      </c>
      <c r="J1328" s="6">
        <v>0.32786885245901642</v>
      </c>
      <c r="K1328" s="6">
        <v>0.92999999999999994</v>
      </c>
      <c r="L1328" s="6">
        <v>0.75153551189385448</v>
      </c>
      <c r="M1328" s="4" t="s">
        <v>156</v>
      </c>
      <c r="N1328" s="4">
        <v>9.9336006795498699E-2</v>
      </c>
      <c r="O1328" s="4">
        <v>0</v>
      </c>
    </row>
    <row r="1329" spans="1:15" x14ac:dyDescent="0.3">
      <c r="A1329" s="4">
        <v>378</v>
      </c>
      <c r="B1329" s="4">
        <v>378000</v>
      </c>
      <c r="C1329" s="4" t="s">
        <v>163</v>
      </c>
      <c r="D1329" s="4" t="s">
        <v>162</v>
      </c>
      <c r="E1329" s="4" t="s">
        <v>17</v>
      </c>
      <c r="F1329" s="4" t="s">
        <v>18</v>
      </c>
      <c r="G1329" s="5">
        <v>0.9</v>
      </c>
      <c r="H1329" s="5">
        <v>0.8</v>
      </c>
      <c r="I1329" s="5">
        <v>0.1166666666666667</v>
      </c>
      <c r="J1329" s="6">
        <v>0.33898305084745761</v>
      </c>
      <c r="K1329" s="6">
        <v>0.92999999999999994</v>
      </c>
      <c r="L1329" s="6">
        <v>0.75734549138804452</v>
      </c>
      <c r="M1329" s="4" t="s">
        <v>156</v>
      </c>
      <c r="N1329" s="4">
        <v>9.8720422096618549E-2</v>
      </c>
      <c r="O1329" s="4">
        <v>0</v>
      </c>
    </row>
    <row r="1330" spans="1:15" x14ac:dyDescent="0.3">
      <c r="A1330" s="4">
        <v>379</v>
      </c>
      <c r="B1330" s="4">
        <v>379000</v>
      </c>
      <c r="C1330" s="4" t="s">
        <v>163</v>
      </c>
      <c r="D1330" s="4" t="s">
        <v>162</v>
      </c>
      <c r="E1330" s="4" t="s">
        <v>17</v>
      </c>
      <c r="F1330" s="4" t="s">
        <v>18</v>
      </c>
      <c r="G1330" s="5">
        <v>0.9</v>
      </c>
      <c r="H1330" s="5">
        <v>0.8</v>
      </c>
      <c r="I1330" s="5">
        <v>0.1166666666666667</v>
      </c>
      <c r="J1330" s="6">
        <v>0.33333333333333331</v>
      </c>
      <c r="K1330" s="6">
        <v>0.92949999999999977</v>
      </c>
      <c r="L1330" s="6">
        <v>0.77082675092153774</v>
      </c>
      <c r="M1330" s="4" t="s">
        <v>160</v>
      </c>
      <c r="N1330" s="4">
        <v>9.9688697662211709E-2</v>
      </c>
      <c r="O1330" s="4">
        <v>0</v>
      </c>
    </row>
    <row r="1331" spans="1:15" x14ac:dyDescent="0.3">
      <c r="A1331" s="4">
        <v>380</v>
      </c>
      <c r="B1331" s="4">
        <v>380000</v>
      </c>
      <c r="C1331" s="4" t="s">
        <v>163</v>
      </c>
      <c r="D1331" s="4" t="s">
        <v>162</v>
      </c>
      <c r="E1331" s="4" t="s">
        <v>17</v>
      </c>
      <c r="F1331" s="4" t="s">
        <v>18</v>
      </c>
      <c r="G1331" s="5">
        <v>0.9</v>
      </c>
      <c r="H1331" s="5">
        <v>0.8</v>
      </c>
      <c r="I1331" s="5">
        <v>0.1166666666666667</v>
      </c>
      <c r="J1331" s="6">
        <v>0.35</v>
      </c>
      <c r="K1331" s="6">
        <v>0.88476190476190464</v>
      </c>
      <c r="L1331" s="6">
        <v>0.69830130095627718</v>
      </c>
      <c r="M1331" s="4" t="s">
        <v>156</v>
      </c>
      <c r="N1331" s="4">
        <v>9.9250460907746349E-2</v>
      </c>
      <c r="O1331" s="4">
        <v>0</v>
      </c>
    </row>
    <row r="1332" spans="1:15" x14ac:dyDescent="0.3">
      <c r="A1332" s="4">
        <v>381</v>
      </c>
      <c r="B1332" s="4">
        <v>381000</v>
      </c>
      <c r="C1332" s="4" t="s">
        <v>163</v>
      </c>
      <c r="D1332" s="4" t="s">
        <v>162</v>
      </c>
      <c r="E1332" s="4" t="s">
        <v>17</v>
      </c>
      <c r="F1332" s="4" t="s">
        <v>18</v>
      </c>
      <c r="G1332" s="5">
        <v>0.9</v>
      </c>
      <c r="H1332" s="5">
        <v>0.8</v>
      </c>
      <c r="I1332" s="5">
        <v>0.1166666666666667</v>
      </c>
      <c r="J1332" s="6">
        <v>0.3559322033898305</v>
      </c>
      <c r="K1332" s="6">
        <v>0.88523809523809505</v>
      </c>
      <c r="L1332" s="6">
        <v>0.70632765096523265</v>
      </c>
      <c r="M1332" s="4" t="s">
        <v>129</v>
      </c>
      <c r="N1332" s="4">
        <v>9.6709435142421307E-2</v>
      </c>
      <c r="O1332" s="4">
        <v>0</v>
      </c>
    </row>
    <row r="1333" spans="1:15" x14ac:dyDescent="0.3">
      <c r="A1333" s="4">
        <v>382</v>
      </c>
      <c r="B1333" s="4">
        <v>382000</v>
      </c>
      <c r="C1333" s="4" t="s">
        <v>163</v>
      </c>
      <c r="D1333" s="4" t="s">
        <v>162</v>
      </c>
      <c r="E1333" s="4" t="s">
        <v>17</v>
      </c>
      <c r="F1333" s="4" t="s">
        <v>18</v>
      </c>
      <c r="G1333" s="5">
        <v>0.9</v>
      </c>
      <c r="H1333" s="5">
        <v>0.8</v>
      </c>
      <c r="I1333" s="5">
        <v>0.1166666666666667</v>
      </c>
      <c r="J1333" s="6">
        <v>0.3559322033898305</v>
      </c>
      <c r="K1333" s="6">
        <v>0.88523809523809505</v>
      </c>
      <c r="L1333" s="6">
        <v>0.70533067629413815</v>
      </c>
      <c r="M1333" s="4" t="s">
        <v>78</v>
      </c>
      <c r="N1333" s="4">
        <v>9.6395800927672345E-2</v>
      </c>
      <c r="O1333" s="4">
        <v>0</v>
      </c>
    </row>
    <row r="1334" spans="1:15" x14ac:dyDescent="0.3">
      <c r="A1334" s="4">
        <v>383</v>
      </c>
      <c r="B1334" s="4">
        <v>383000</v>
      </c>
      <c r="C1334" s="4" t="s">
        <v>163</v>
      </c>
      <c r="D1334" s="4" t="s">
        <v>162</v>
      </c>
      <c r="E1334" s="4" t="s">
        <v>17</v>
      </c>
      <c r="F1334" s="4" t="s">
        <v>18</v>
      </c>
      <c r="G1334" s="5">
        <v>0.9</v>
      </c>
      <c r="H1334" s="5">
        <v>0.8</v>
      </c>
      <c r="I1334" s="5">
        <v>0.1166666666666667</v>
      </c>
      <c r="J1334" s="6">
        <v>0.3559322033898305</v>
      </c>
      <c r="K1334" s="6">
        <v>0.88523809523809505</v>
      </c>
      <c r="L1334" s="6">
        <v>0.70409634582626357</v>
      </c>
      <c r="M1334" s="4" t="s">
        <v>129</v>
      </c>
      <c r="N1334" s="4">
        <v>9.679626729839326E-2</v>
      </c>
      <c r="O1334" s="4">
        <v>0</v>
      </c>
    </row>
    <row r="1335" spans="1:15" x14ac:dyDescent="0.3">
      <c r="A1335" s="4">
        <v>384</v>
      </c>
      <c r="B1335" s="4">
        <v>384000</v>
      </c>
      <c r="C1335" s="4" t="s">
        <v>163</v>
      </c>
      <c r="D1335" s="4" t="s">
        <v>162</v>
      </c>
      <c r="E1335" s="4" t="s">
        <v>17</v>
      </c>
      <c r="F1335" s="4" t="s">
        <v>18</v>
      </c>
      <c r="G1335" s="5">
        <v>0.9</v>
      </c>
      <c r="H1335" s="5">
        <v>0.8</v>
      </c>
      <c r="I1335" s="5">
        <v>0.1166666666666667</v>
      </c>
      <c r="J1335" s="6">
        <v>0.35</v>
      </c>
      <c r="K1335" s="6">
        <v>0.88476190476190464</v>
      </c>
      <c r="L1335" s="6">
        <v>0.70680451656828336</v>
      </c>
      <c r="M1335" s="4" t="s">
        <v>154</v>
      </c>
      <c r="N1335" s="4">
        <v>9.8303496710009236E-2</v>
      </c>
      <c r="O1335" s="4">
        <v>0</v>
      </c>
    </row>
    <row r="1336" spans="1:15" x14ac:dyDescent="0.3">
      <c r="A1336" s="4">
        <v>385</v>
      </c>
      <c r="B1336" s="4">
        <v>385000</v>
      </c>
      <c r="C1336" s="4" t="s">
        <v>163</v>
      </c>
      <c r="D1336" s="4" t="s">
        <v>162</v>
      </c>
      <c r="E1336" s="4" t="s">
        <v>17</v>
      </c>
      <c r="F1336" s="4" t="s">
        <v>18</v>
      </c>
      <c r="G1336" s="5">
        <v>0.9</v>
      </c>
      <c r="H1336" s="5">
        <v>0.8</v>
      </c>
      <c r="I1336" s="5">
        <v>0.1166666666666667</v>
      </c>
      <c r="J1336" s="6">
        <v>0.35</v>
      </c>
      <c r="K1336" s="6">
        <v>0.88428571428571412</v>
      </c>
      <c r="L1336" s="6">
        <v>0.70688178835892834</v>
      </c>
      <c r="M1336" s="4" t="s">
        <v>160</v>
      </c>
      <c r="N1336" s="4">
        <v>0.1002608887235934</v>
      </c>
      <c r="O1336" s="4">
        <v>0</v>
      </c>
    </row>
    <row r="1337" spans="1:15" x14ac:dyDescent="0.3">
      <c r="A1337" s="4">
        <v>386</v>
      </c>
      <c r="B1337" s="4">
        <v>386000</v>
      </c>
      <c r="C1337" s="4" t="s">
        <v>163</v>
      </c>
      <c r="D1337" s="4" t="s">
        <v>162</v>
      </c>
      <c r="E1337" s="4" t="s">
        <v>17</v>
      </c>
      <c r="F1337" s="4" t="s">
        <v>18</v>
      </c>
      <c r="G1337" s="5">
        <v>0.9</v>
      </c>
      <c r="H1337" s="5">
        <v>0.8</v>
      </c>
      <c r="I1337" s="5">
        <v>0.1166666666666667</v>
      </c>
      <c r="J1337" s="6">
        <v>0.33333333333333331</v>
      </c>
      <c r="K1337" s="6">
        <v>0.88349999999999995</v>
      </c>
      <c r="L1337" s="6">
        <v>0.71516911268169414</v>
      </c>
      <c r="M1337" s="4" t="s">
        <v>60</v>
      </c>
      <c r="N1337" s="4">
        <v>0.10688633280176529</v>
      </c>
      <c r="O1337" s="4">
        <v>0</v>
      </c>
    </row>
    <row r="1338" spans="1:15" x14ac:dyDescent="0.3">
      <c r="A1338" s="4">
        <v>387</v>
      </c>
      <c r="B1338" s="4">
        <v>387000</v>
      </c>
      <c r="C1338" s="4" t="s">
        <v>163</v>
      </c>
      <c r="D1338" s="4" t="s">
        <v>162</v>
      </c>
      <c r="E1338" s="4" t="s">
        <v>17</v>
      </c>
      <c r="F1338" s="4" t="s">
        <v>18</v>
      </c>
      <c r="G1338" s="5">
        <v>0.9</v>
      </c>
      <c r="H1338" s="5">
        <v>0.8</v>
      </c>
      <c r="I1338" s="5">
        <v>0.1166666666666667</v>
      </c>
      <c r="J1338" s="6">
        <v>0.35</v>
      </c>
      <c r="K1338" s="6">
        <v>0.88428571428571412</v>
      </c>
      <c r="L1338" s="6">
        <v>0.71516911268169414</v>
      </c>
      <c r="M1338" s="4" t="s">
        <v>93</v>
      </c>
      <c r="N1338" s="4">
        <v>0.10544621484760459</v>
      </c>
      <c r="O1338" s="4">
        <v>0</v>
      </c>
    </row>
    <row r="1339" spans="1:15" x14ac:dyDescent="0.3">
      <c r="A1339" s="4">
        <v>388</v>
      </c>
      <c r="B1339" s="4">
        <v>388000</v>
      </c>
      <c r="C1339" s="4" t="s">
        <v>163</v>
      </c>
      <c r="D1339" s="4" t="s">
        <v>162</v>
      </c>
      <c r="E1339" s="4" t="s">
        <v>17</v>
      </c>
      <c r="F1339" s="4" t="s">
        <v>18</v>
      </c>
      <c r="G1339" s="5">
        <v>0.9</v>
      </c>
      <c r="H1339" s="5">
        <v>0.8</v>
      </c>
      <c r="I1339" s="5">
        <v>0.1166666666666667</v>
      </c>
      <c r="J1339" s="6">
        <v>0.35</v>
      </c>
      <c r="K1339" s="6">
        <v>0.8838095238095236</v>
      </c>
      <c r="L1339" s="6">
        <v>0.71521320974762581</v>
      </c>
      <c r="M1339" s="4" t="s">
        <v>136</v>
      </c>
      <c r="N1339" s="4">
        <v>0.1055210546534622</v>
      </c>
      <c r="O1339" s="4">
        <v>0</v>
      </c>
    </row>
    <row r="1340" spans="1:15" x14ac:dyDescent="0.3">
      <c r="A1340" s="4">
        <v>389</v>
      </c>
      <c r="B1340" s="4">
        <v>389000</v>
      </c>
      <c r="C1340" s="4" t="s">
        <v>163</v>
      </c>
      <c r="D1340" s="4" t="s">
        <v>162</v>
      </c>
      <c r="E1340" s="4" t="s">
        <v>17</v>
      </c>
      <c r="F1340" s="4" t="s">
        <v>18</v>
      </c>
      <c r="G1340" s="5">
        <v>0.9</v>
      </c>
      <c r="H1340" s="5">
        <v>0.8</v>
      </c>
      <c r="I1340" s="5">
        <v>0.1166666666666667</v>
      </c>
      <c r="J1340" s="6">
        <v>0.3559322033898305</v>
      </c>
      <c r="K1340" s="6">
        <v>0.88428571428571412</v>
      </c>
      <c r="L1340" s="6">
        <v>0.69972778161183957</v>
      </c>
      <c r="M1340" s="4" t="s">
        <v>160</v>
      </c>
      <c r="N1340" s="4">
        <v>0.1004547437020387</v>
      </c>
      <c r="O1340" s="4">
        <v>0</v>
      </c>
    </row>
    <row r="1341" spans="1:15" x14ac:dyDescent="0.3">
      <c r="A1341" s="4">
        <v>390</v>
      </c>
      <c r="B1341" s="4">
        <v>390000</v>
      </c>
      <c r="C1341" s="4" t="s">
        <v>163</v>
      </c>
      <c r="D1341" s="4" t="s">
        <v>162</v>
      </c>
      <c r="E1341" s="4" t="s">
        <v>17</v>
      </c>
      <c r="F1341" s="4" t="s">
        <v>18</v>
      </c>
      <c r="G1341" s="5">
        <v>0.9</v>
      </c>
      <c r="H1341" s="5">
        <v>0.8</v>
      </c>
      <c r="I1341" s="5">
        <v>0.1166666666666667</v>
      </c>
      <c r="J1341" s="6">
        <v>0.34426229508196721</v>
      </c>
      <c r="K1341" s="6">
        <v>0.88428571428571412</v>
      </c>
      <c r="L1341" s="6">
        <v>0.69668263020642929</v>
      </c>
      <c r="M1341" s="4" t="s">
        <v>160</v>
      </c>
      <c r="N1341" s="4">
        <v>0.1000760988644824</v>
      </c>
      <c r="O1341" s="4">
        <v>0</v>
      </c>
    </row>
    <row r="1342" spans="1:15" x14ac:dyDescent="0.3">
      <c r="A1342" s="4">
        <v>391</v>
      </c>
      <c r="B1342" s="4">
        <v>391000</v>
      </c>
      <c r="C1342" s="4" t="s">
        <v>163</v>
      </c>
      <c r="D1342" s="4" t="s">
        <v>162</v>
      </c>
      <c r="E1342" s="4" t="s">
        <v>17</v>
      </c>
      <c r="F1342" s="4" t="s">
        <v>18</v>
      </c>
      <c r="G1342" s="5">
        <v>0.9</v>
      </c>
      <c r="H1342" s="5">
        <v>0.8</v>
      </c>
      <c r="I1342" s="5">
        <v>0.1166666666666667</v>
      </c>
      <c r="J1342" s="6">
        <v>0.35</v>
      </c>
      <c r="K1342" s="6">
        <v>0.88428571428571412</v>
      </c>
      <c r="L1342" s="6">
        <v>0.69823762205876028</v>
      </c>
      <c r="M1342" s="4" t="s">
        <v>78</v>
      </c>
      <c r="N1342" s="4">
        <v>9.629864293702492E-2</v>
      </c>
      <c r="O1342" s="4">
        <v>0</v>
      </c>
    </row>
    <row r="1343" spans="1:15" x14ac:dyDescent="0.3">
      <c r="A1343" s="4">
        <v>392</v>
      </c>
      <c r="B1343" s="4">
        <v>392000</v>
      </c>
      <c r="C1343" s="4" t="s">
        <v>163</v>
      </c>
      <c r="D1343" s="4" t="s">
        <v>162</v>
      </c>
      <c r="E1343" s="4" t="s">
        <v>17</v>
      </c>
      <c r="F1343" s="4" t="s">
        <v>18</v>
      </c>
      <c r="G1343" s="5">
        <v>0.9</v>
      </c>
      <c r="H1343" s="5">
        <v>0.8</v>
      </c>
      <c r="I1343" s="5">
        <v>0.1166666666666667</v>
      </c>
      <c r="J1343" s="6">
        <v>0.33898305084745761</v>
      </c>
      <c r="K1343" s="6">
        <v>0.88299999999999979</v>
      </c>
      <c r="L1343" s="6">
        <v>0.69785742834303977</v>
      </c>
      <c r="M1343" s="4" t="s">
        <v>39</v>
      </c>
      <c r="N1343" s="4">
        <v>9.3459885264362427E-2</v>
      </c>
      <c r="O1343" s="4">
        <v>0</v>
      </c>
    </row>
    <row r="1344" spans="1:15" x14ac:dyDescent="0.3">
      <c r="A1344" s="4">
        <v>393</v>
      </c>
      <c r="B1344" s="4">
        <v>393000</v>
      </c>
      <c r="C1344" s="4" t="s">
        <v>163</v>
      </c>
      <c r="D1344" s="4" t="s">
        <v>162</v>
      </c>
      <c r="E1344" s="4" t="s">
        <v>17</v>
      </c>
      <c r="F1344" s="4" t="s">
        <v>18</v>
      </c>
      <c r="G1344" s="5">
        <v>0.9</v>
      </c>
      <c r="H1344" s="5">
        <v>0.8</v>
      </c>
      <c r="I1344" s="5">
        <v>0.1166666666666667</v>
      </c>
      <c r="J1344" s="6">
        <v>0.34482758620689657</v>
      </c>
      <c r="K1344" s="6">
        <v>0.88299999999999979</v>
      </c>
      <c r="L1344" s="6">
        <v>0.69681037312616256</v>
      </c>
      <c r="M1344" s="4" t="s">
        <v>22</v>
      </c>
      <c r="N1344" s="4">
        <v>9.4190904465548106E-2</v>
      </c>
      <c r="O1344" s="4">
        <v>0</v>
      </c>
    </row>
    <row r="1345" spans="1:15" x14ac:dyDescent="0.3">
      <c r="A1345" s="4">
        <v>394</v>
      </c>
      <c r="B1345" s="4">
        <v>394000</v>
      </c>
      <c r="C1345" s="4" t="s">
        <v>163</v>
      </c>
      <c r="D1345" s="4" t="s">
        <v>162</v>
      </c>
      <c r="E1345" s="4" t="s">
        <v>17</v>
      </c>
      <c r="F1345" s="4" t="s">
        <v>18</v>
      </c>
      <c r="G1345" s="5">
        <v>0.9</v>
      </c>
      <c r="H1345" s="5">
        <v>0.8</v>
      </c>
      <c r="I1345" s="5">
        <v>0.1166666666666667</v>
      </c>
      <c r="J1345" s="6">
        <v>0.3559322033898305</v>
      </c>
      <c r="K1345" s="6">
        <v>0.8838095238095236</v>
      </c>
      <c r="L1345" s="6">
        <v>0.69861278986480446</v>
      </c>
      <c r="M1345" s="4" t="s">
        <v>22</v>
      </c>
      <c r="N1345" s="4">
        <v>9.3738445586726282E-2</v>
      </c>
      <c r="O1345" s="4">
        <v>0</v>
      </c>
    </row>
    <row r="1346" spans="1:15" x14ac:dyDescent="0.3">
      <c r="A1346" s="4">
        <v>395</v>
      </c>
      <c r="B1346" s="4">
        <v>395000</v>
      </c>
      <c r="C1346" s="4" t="s">
        <v>163</v>
      </c>
      <c r="D1346" s="4" t="s">
        <v>162</v>
      </c>
      <c r="E1346" s="4" t="s">
        <v>17</v>
      </c>
      <c r="F1346" s="4" t="s">
        <v>18</v>
      </c>
      <c r="G1346" s="5">
        <v>0.9</v>
      </c>
      <c r="H1346" s="5">
        <v>0.8</v>
      </c>
      <c r="I1346" s="5">
        <v>0.1166666666666667</v>
      </c>
      <c r="J1346" s="6">
        <v>0.3559322033898305</v>
      </c>
      <c r="K1346" s="6">
        <v>0.8838095238095236</v>
      </c>
      <c r="L1346" s="6">
        <v>0.69850903608446979</v>
      </c>
      <c r="M1346" s="4" t="s">
        <v>73</v>
      </c>
      <c r="N1346" s="4">
        <v>9.1683396148126831E-2</v>
      </c>
      <c r="O1346" s="4">
        <v>0</v>
      </c>
    </row>
    <row r="1347" spans="1:15" x14ac:dyDescent="0.3">
      <c r="A1347" s="4">
        <v>396</v>
      </c>
      <c r="B1347" s="4">
        <v>396000</v>
      </c>
      <c r="C1347" s="4" t="s">
        <v>163</v>
      </c>
      <c r="D1347" s="4" t="s">
        <v>162</v>
      </c>
      <c r="E1347" s="4" t="s">
        <v>17</v>
      </c>
      <c r="F1347" s="4" t="s">
        <v>18</v>
      </c>
      <c r="G1347" s="5">
        <v>0.9</v>
      </c>
      <c r="H1347" s="5">
        <v>0.8</v>
      </c>
      <c r="I1347" s="5">
        <v>0.1166666666666667</v>
      </c>
      <c r="J1347" s="6">
        <v>0.3559322033898305</v>
      </c>
      <c r="K1347" s="6">
        <v>0.88428571428571412</v>
      </c>
      <c r="L1347" s="6">
        <v>0.69846718444060085</v>
      </c>
      <c r="M1347" s="4" t="s">
        <v>73</v>
      </c>
      <c r="N1347" s="4">
        <v>9.2129217499314658E-2</v>
      </c>
      <c r="O1347" s="4">
        <v>0</v>
      </c>
    </row>
    <row r="1348" spans="1:15" x14ac:dyDescent="0.3">
      <c r="A1348" s="4">
        <v>397</v>
      </c>
      <c r="B1348" s="4">
        <v>397000</v>
      </c>
      <c r="C1348" s="4" t="s">
        <v>163</v>
      </c>
      <c r="D1348" s="4" t="s">
        <v>162</v>
      </c>
      <c r="E1348" s="4" t="s">
        <v>17</v>
      </c>
      <c r="F1348" s="4" t="s">
        <v>18</v>
      </c>
      <c r="G1348" s="5">
        <v>0.9</v>
      </c>
      <c r="H1348" s="5">
        <v>0.8</v>
      </c>
      <c r="I1348" s="5">
        <v>0.1166666666666667</v>
      </c>
      <c r="J1348" s="6">
        <v>0.3559322033898305</v>
      </c>
      <c r="K1348" s="6">
        <v>0.8838095238095236</v>
      </c>
      <c r="L1348" s="6">
        <v>0.6923166702578466</v>
      </c>
      <c r="M1348" s="4" t="s">
        <v>74</v>
      </c>
      <c r="N1348" s="4">
        <v>8.8681977561082162E-2</v>
      </c>
      <c r="O1348" s="4">
        <v>0</v>
      </c>
    </row>
    <row r="1349" spans="1:15" x14ac:dyDescent="0.3">
      <c r="A1349" s="4">
        <v>398</v>
      </c>
      <c r="B1349" s="4">
        <v>398000</v>
      </c>
      <c r="C1349" s="4" t="s">
        <v>163</v>
      </c>
      <c r="D1349" s="4" t="s">
        <v>162</v>
      </c>
      <c r="E1349" s="4" t="s">
        <v>17</v>
      </c>
      <c r="F1349" s="4" t="s">
        <v>18</v>
      </c>
      <c r="G1349" s="5">
        <v>0.9</v>
      </c>
      <c r="H1349" s="5">
        <v>0.8</v>
      </c>
      <c r="I1349" s="5">
        <v>0.1166666666666667</v>
      </c>
      <c r="J1349" s="6">
        <v>0.36206896551724138</v>
      </c>
      <c r="K1349" s="6">
        <v>0.88285714285714267</v>
      </c>
      <c r="L1349" s="6">
        <v>0.69049059487015685</v>
      </c>
      <c r="M1349" s="4" t="s">
        <v>49</v>
      </c>
      <c r="N1349" s="4">
        <v>9.0419865047754983E-2</v>
      </c>
      <c r="O1349" s="4">
        <v>0</v>
      </c>
    </row>
    <row r="1350" spans="1:15" x14ac:dyDescent="0.3">
      <c r="A1350" s="4">
        <v>399</v>
      </c>
      <c r="B1350" s="4">
        <v>399000</v>
      </c>
      <c r="C1350" s="4" t="s">
        <v>163</v>
      </c>
      <c r="D1350" s="4" t="s">
        <v>162</v>
      </c>
      <c r="E1350" s="4" t="s">
        <v>17</v>
      </c>
      <c r="F1350" s="4" t="s">
        <v>18</v>
      </c>
      <c r="G1350" s="5">
        <v>0.9</v>
      </c>
      <c r="H1350" s="5">
        <v>0.8</v>
      </c>
      <c r="I1350" s="5">
        <v>0.1166666666666667</v>
      </c>
      <c r="J1350" s="6">
        <v>0.35</v>
      </c>
      <c r="K1350" s="6">
        <v>0.8838095238095236</v>
      </c>
      <c r="L1350" s="6">
        <v>0.69424198083379995</v>
      </c>
      <c r="M1350" s="4" t="s">
        <v>118</v>
      </c>
      <c r="N1350" s="4">
        <v>8.7160065323925326E-2</v>
      </c>
      <c r="O1350" s="4">
        <v>0</v>
      </c>
    </row>
    <row r="1351" spans="1:15" x14ac:dyDescent="0.3">
      <c r="A1351" s="4">
        <v>400</v>
      </c>
      <c r="B1351" s="4">
        <v>400000</v>
      </c>
      <c r="C1351" s="4" t="s">
        <v>163</v>
      </c>
      <c r="D1351" s="4" t="s">
        <v>162</v>
      </c>
      <c r="E1351" s="4" t="s">
        <v>17</v>
      </c>
      <c r="F1351" s="4" t="s">
        <v>18</v>
      </c>
      <c r="G1351" s="5">
        <v>0.9</v>
      </c>
      <c r="H1351" s="5">
        <v>0.8</v>
      </c>
      <c r="I1351" s="5">
        <v>0.1166666666666667</v>
      </c>
      <c r="J1351" s="6">
        <v>0.33870967741935482</v>
      </c>
      <c r="K1351" s="6">
        <v>0.88047619047619019</v>
      </c>
      <c r="L1351" s="6">
        <v>0.69602994571065901</v>
      </c>
      <c r="M1351" s="4" t="s">
        <v>50</v>
      </c>
      <c r="N1351" s="4">
        <v>8.4706895831074533E-2</v>
      </c>
      <c r="O1351" s="4">
        <v>0</v>
      </c>
    </row>
    <row r="1352" spans="1:15" x14ac:dyDescent="0.3">
      <c r="A1352" s="4">
        <v>401</v>
      </c>
      <c r="B1352" s="4">
        <v>401000</v>
      </c>
      <c r="C1352" s="4" t="s">
        <v>163</v>
      </c>
      <c r="D1352" s="4" t="s">
        <v>162</v>
      </c>
      <c r="E1352" s="4" t="s">
        <v>17</v>
      </c>
      <c r="F1352" s="4" t="s">
        <v>18</v>
      </c>
      <c r="G1352" s="5">
        <v>0.9</v>
      </c>
      <c r="H1352" s="5">
        <v>0.8</v>
      </c>
      <c r="I1352" s="5">
        <v>0.1166666666666667</v>
      </c>
      <c r="J1352" s="6">
        <v>0.328125</v>
      </c>
      <c r="K1352" s="6">
        <v>0.87999999999999989</v>
      </c>
      <c r="L1352" s="6">
        <v>0.69547632592488373</v>
      </c>
      <c r="M1352" s="4" t="s">
        <v>74</v>
      </c>
      <c r="N1352" s="4">
        <v>8.8915911503275866E-2</v>
      </c>
      <c r="O1352" s="4">
        <v>0</v>
      </c>
    </row>
    <row r="1353" spans="1:15" x14ac:dyDescent="0.3">
      <c r="A1353" s="4">
        <v>402</v>
      </c>
      <c r="B1353" s="4">
        <v>402000</v>
      </c>
      <c r="C1353" s="4" t="s">
        <v>163</v>
      </c>
      <c r="D1353" s="4" t="s">
        <v>162</v>
      </c>
      <c r="E1353" s="4" t="s">
        <v>17</v>
      </c>
      <c r="F1353" s="4" t="s">
        <v>18</v>
      </c>
      <c r="G1353" s="5">
        <v>0.9</v>
      </c>
      <c r="H1353" s="5">
        <v>0.8</v>
      </c>
      <c r="I1353" s="5">
        <v>0.1166666666666667</v>
      </c>
      <c r="J1353" s="6">
        <v>0.32307692307692309</v>
      </c>
      <c r="K1353" s="6">
        <v>0.87952380952380926</v>
      </c>
      <c r="L1353" s="6">
        <v>0.69512759703342653</v>
      </c>
      <c r="M1353" s="4" t="s">
        <v>74</v>
      </c>
      <c r="N1353" s="4">
        <v>8.9469812895236131E-2</v>
      </c>
      <c r="O1353" s="4">
        <v>0</v>
      </c>
    </row>
    <row r="1354" spans="1:15" x14ac:dyDescent="0.3">
      <c r="A1354" s="4">
        <v>403</v>
      </c>
      <c r="B1354" s="4">
        <v>403000</v>
      </c>
      <c r="C1354" s="4" t="s">
        <v>163</v>
      </c>
      <c r="D1354" s="4" t="s">
        <v>162</v>
      </c>
      <c r="E1354" s="4" t="s">
        <v>17</v>
      </c>
      <c r="F1354" s="4" t="s">
        <v>18</v>
      </c>
      <c r="G1354" s="5">
        <v>0.9</v>
      </c>
      <c r="H1354" s="5">
        <v>0.8</v>
      </c>
      <c r="I1354" s="5">
        <v>0.1166666666666667</v>
      </c>
      <c r="J1354" s="6">
        <v>0.31818181818181818</v>
      </c>
      <c r="K1354" s="6">
        <v>0.87999999999999989</v>
      </c>
      <c r="L1354" s="6">
        <v>0.69538354939118296</v>
      </c>
      <c r="M1354" s="4" t="s">
        <v>22</v>
      </c>
      <c r="N1354" s="4">
        <v>9.3755003848717725E-2</v>
      </c>
      <c r="O1354" s="4">
        <v>0</v>
      </c>
    </row>
    <row r="1355" spans="1:15" x14ac:dyDescent="0.3">
      <c r="A1355" s="4">
        <v>404</v>
      </c>
      <c r="B1355" s="4">
        <v>404000</v>
      </c>
      <c r="C1355" s="4" t="s">
        <v>163</v>
      </c>
      <c r="D1355" s="4" t="s">
        <v>162</v>
      </c>
      <c r="E1355" s="4" t="s">
        <v>17</v>
      </c>
      <c r="F1355" s="4" t="s">
        <v>18</v>
      </c>
      <c r="G1355" s="5">
        <v>0.9</v>
      </c>
      <c r="H1355" s="5">
        <v>0.8</v>
      </c>
      <c r="I1355" s="5">
        <v>0.1166666666666667</v>
      </c>
      <c r="J1355" s="6">
        <v>0.31818181818181818</v>
      </c>
      <c r="K1355" s="6">
        <v>0.88095238095238082</v>
      </c>
      <c r="L1355" s="6">
        <v>0.69357897324337436</v>
      </c>
      <c r="M1355" s="4" t="s">
        <v>154</v>
      </c>
      <c r="N1355" s="4">
        <v>9.8025144797205088E-2</v>
      </c>
      <c r="O1355" s="4">
        <v>0</v>
      </c>
    </row>
    <row r="1356" spans="1:15" x14ac:dyDescent="0.3">
      <c r="A1356" s="4">
        <v>405</v>
      </c>
      <c r="B1356" s="4">
        <v>405000</v>
      </c>
      <c r="C1356" s="4" t="s">
        <v>163</v>
      </c>
      <c r="D1356" s="4" t="s">
        <v>162</v>
      </c>
      <c r="E1356" s="4" t="s">
        <v>17</v>
      </c>
      <c r="F1356" s="4" t="s">
        <v>18</v>
      </c>
      <c r="G1356" s="5">
        <v>0.9</v>
      </c>
      <c r="H1356" s="5">
        <v>0.8</v>
      </c>
      <c r="I1356" s="5">
        <v>0.1166666666666667</v>
      </c>
      <c r="J1356" s="6">
        <v>0.32307692307692309</v>
      </c>
      <c r="K1356" s="6">
        <v>0.87999999999999989</v>
      </c>
      <c r="L1356" s="6">
        <v>0.69397710267361035</v>
      </c>
      <c r="M1356" s="4" t="s">
        <v>99</v>
      </c>
      <c r="N1356" s="4">
        <v>0.1025397342347116</v>
      </c>
      <c r="O1356" s="4">
        <v>0</v>
      </c>
    </row>
    <row r="1357" spans="1:15" x14ac:dyDescent="0.3">
      <c r="A1357" s="4">
        <v>406</v>
      </c>
      <c r="B1357" s="4">
        <v>406000</v>
      </c>
      <c r="C1357" s="4" t="s">
        <v>163</v>
      </c>
      <c r="D1357" s="4" t="s">
        <v>162</v>
      </c>
      <c r="E1357" s="4" t="s">
        <v>17</v>
      </c>
      <c r="F1357" s="4" t="s">
        <v>18</v>
      </c>
      <c r="G1357" s="5">
        <v>0.9</v>
      </c>
      <c r="H1357" s="5">
        <v>0.8</v>
      </c>
      <c r="I1357" s="5">
        <v>0.1166666666666667</v>
      </c>
      <c r="J1357" s="6">
        <v>0.30769230769230771</v>
      </c>
      <c r="K1357" s="6">
        <v>0.87899999999999989</v>
      </c>
      <c r="L1357" s="6">
        <v>0.59266539529697426</v>
      </c>
      <c r="M1357" s="4" t="s">
        <v>82</v>
      </c>
      <c r="N1357" s="4">
        <v>0.1022180754870254</v>
      </c>
      <c r="O1357" s="4">
        <v>0</v>
      </c>
    </row>
    <row r="1358" spans="1:15" x14ac:dyDescent="0.3">
      <c r="A1358" s="4">
        <v>407</v>
      </c>
      <c r="B1358" s="4">
        <v>407000</v>
      </c>
      <c r="C1358" s="4" t="s">
        <v>163</v>
      </c>
      <c r="D1358" s="4" t="s">
        <v>162</v>
      </c>
      <c r="E1358" s="4" t="s">
        <v>17</v>
      </c>
      <c r="F1358" s="4" t="s">
        <v>18</v>
      </c>
      <c r="G1358" s="5">
        <v>0.9</v>
      </c>
      <c r="H1358" s="5">
        <v>0.8</v>
      </c>
      <c r="I1358" s="5">
        <v>0.1166666666666667</v>
      </c>
      <c r="J1358" s="6">
        <v>0.30769230769230771</v>
      </c>
      <c r="K1358" s="6">
        <v>0.87849999999999984</v>
      </c>
      <c r="L1358" s="6">
        <v>0.59425734756436699</v>
      </c>
      <c r="M1358" s="4" t="s">
        <v>82</v>
      </c>
      <c r="N1358" s="4">
        <v>0.10246659214129521</v>
      </c>
      <c r="O1358" s="4">
        <v>0</v>
      </c>
    </row>
    <row r="1359" spans="1:15" x14ac:dyDescent="0.3">
      <c r="A1359" s="4">
        <v>408</v>
      </c>
      <c r="B1359" s="4">
        <v>408000</v>
      </c>
      <c r="C1359" s="4" t="s">
        <v>163</v>
      </c>
      <c r="D1359" s="4" t="s">
        <v>162</v>
      </c>
      <c r="E1359" s="4" t="s">
        <v>17</v>
      </c>
      <c r="F1359" s="4" t="s">
        <v>18</v>
      </c>
      <c r="G1359" s="5">
        <v>0.9</v>
      </c>
      <c r="H1359" s="5">
        <v>0.8</v>
      </c>
      <c r="I1359" s="5">
        <v>0.1166666666666667</v>
      </c>
      <c r="J1359" s="6">
        <v>0.30303030303030298</v>
      </c>
      <c r="K1359" s="6">
        <v>0.87899999999999989</v>
      </c>
      <c r="L1359" s="6">
        <v>0.59549554665833737</v>
      </c>
      <c r="M1359" s="4" t="s">
        <v>28</v>
      </c>
      <c r="N1359" s="4">
        <v>0.10119091920970751</v>
      </c>
      <c r="O1359" s="4">
        <v>0</v>
      </c>
    </row>
    <row r="1360" spans="1:15" x14ac:dyDescent="0.3">
      <c r="A1360" s="4">
        <v>409</v>
      </c>
      <c r="B1360" s="4">
        <v>409000</v>
      </c>
      <c r="C1360" s="4" t="s">
        <v>163</v>
      </c>
      <c r="D1360" s="4" t="s">
        <v>162</v>
      </c>
      <c r="E1360" s="4" t="s">
        <v>17</v>
      </c>
      <c r="F1360" s="4" t="s">
        <v>18</v>
      </c>
      <c r="G1360" s="5">
        <v>0.9</v>
      </c>
      <c r="H1360" s="5">
        <v>0.8</v>
      </c>
      <c r="I1360" s="5">
        <v>0.1166666666666667</v>
      </c>
      <c r="J1360" s="6">
        <v>0.33333333333333331</v>
      </c>
      <c r="K1360" s="6">
        <v>0.88409090909090904</v>
      </c>
      <c r="L1360" s="6">
        <v>0.7724421153172798</v>
      </c>
      <c r="M1360" s="4" t="s">
        <v>28</v>
      </c>
      <c r="N1360" s="4">
        <v>0.1014510229617302</v>
      </c>
      <c r="O1360" s="4">
        <v>0</v>
      </c>
    </row>
    <row r="1361" spans="1:15" x14ac:dyDescent="0.3">
      <c r="A1361" s="4">
        <v>410</v>
      </c>
      <c r="B1361" s="4">
        <v>410000</v>
      </c>
      <c r="C1361" s="4" t="s">
        <v>163</v>
      </c>
      <c r="D1361" s="4" t="s">
        <v>162</v>
      </c>
      <c r="E1361" s="4" t="s">
        <v>17</v>
      </c>
      <c r="F1361" s="4" t="s">
        <v>18</v>
      </c>
      <c r="G1361" s="5">
        <v>0.9</v>
      </c>
      <c r="H1361" s="5">
        <v>0.8</v>
      </c>
      <c r="I1361" s="5">
        <v>0.1166666666666667</v>
      </c>
      <c r="J1361" s="6">
        <v>0.34375</v>
      </c>
      <c r="K1361" s="6">
        <v>0.88454545454545441</v>
      </c>
      <c r="L1361" s="6">
        <v>0.77110470292792566</v>
      </c>
      <c r="M1361" s="4" t="s">
        <v>99</v>
      </c>
      <c r="N1361" s="4">
        <v>0.1025725963635334</v>
      </c>
      <c r="O1361" s="4">
        <v>0</v>
      </c>
    </row>
    <row r="1362" spans="1:15" x14ac:dyDescent="0.3">
      <c r="A1362" s="4">
        <v>411</v>
      </c>
      <c r="B1362" s="4">
        <v>411000</v>
      </c>
      <c r="C1362" s="4" t="s">
        <v>163</v>
      </c>
      <c r="D1362" s="4" t="s">
        <v>162</v>
      </c>
      <c r="E1362" s="4" t="s">
        <v>17</v>
      </c>
      <c r="F1362" s="4" t="s">
        <v>18</v>
      </c>
      <c r="G1362" s="5">
        <v>0.9</v>
      </c>
      <c r="H1362" s="5">
        <v>0.8</v>
      </c>
      <c r="I1362" s="5">
        <v>0.1166666666666667</v>
      </c>
      <c r="J1362" s="6">
        <v>0.35384615384615392</v>
      </c>
      <c r="K1362" s="6">
        <v>0.88739130434782598</v>
      </c>
      <c r="L1362" s="6">
        <v>0.81581017048136317</v>
      </c>
      <c r="M1362" s="4" t="s">
        <v>160</v>
      </c>
      <c r="N1362" s="4">
        <v>9.9803080898344623E-2</v>
      </c>
      <c r="O1362" s="4">
        <v>0</v>
      </c>
    </row>
    <row r="1363" spans="1:15" x14ac:dyDescent="0.3">
      <c r="A1363" s="4">
        <v>412</v>
      </c>
      <c r="B1363" s="4">
        <v>412000</v>
      </c>
      <c r="C1363" s="4" t="s">
        <v>163</v>
      </c>
      <c r="D1363" s="4" t="s">
        <v>162</v>
      </c>
      <c r="E1363" s="4" t="s">
        <v>17</v>
      </c>
      <c r="F1363" s="4" t="s">
        <v>18</v>
      </c>
      <c r="G1363" s="5">
        <v>0.9</v>
      </c>
      <c r="H1363" s="5">
        <v>0.8</v>
      </c>
      <c r="I1363" s="5">
        <v>0.1166666666666667</v>
      </c>
      <c r="J1363" s="6">
        <v>0.33846153846153848</v>
      </c>
      <c r="K1363" s="6">
        <v>0.88545454545454527</v>
      </c>
      <c r="L1363" s="6">
        <v>0.77243189944405533</v>
      </c>
      <c r="M1363" s="4" t="s">
        <v>160</v>
      </c>
      <c r="N1363" s="4">
        <v>9.9639810052900485E-2</v>
      </c>
      <c r="O1363" s="4">
        <v>0</v>
      </c>
    </row>
    <row r="1364" spans="1:15" x14ac:dyDescent="0.3">
      <c r="A1364" s="4">
        <v>413</v>
      </c>
      <c r="B1364" s="4">
        <v>413000</v>
      </c>
      <c r="C1364" s="4" t="s">
        <v>163</v>
      </c>
      <c r="D1364" s="4" t="s">
        <v>162</v>
      </c>
      <c r="E1364" s="4" t="s">
        <v>17</v>
      </c>
      <c r="F1364" s="4" t="s">
        <v>18</v>
      </c>
      <c r="G1364" s="5">
        <v>0.9</v>
      </c>
      <c r="H1364" s="5">
        <v>0.8</v>
      </c>
      <c r="I1364" s="5">
        <v>0.1166666666666667</v>
      </c>
      <c r="J1364" s="6">
        <v>0.34375</v>
      </c>
      <c r="K1364" s="6">
        <v>0.88545454545454527</v>
      </c>
      <c r="L1364" s="6">
        <v>0.76641614356764265</v>
      </c>
      <c r="M1364" s="4" t="s">
        <v>136</v>
      </c>
      <c r="N1364" s="4">
        <v>0.1058491072016749</v>
      </c>
      <c r="O1364" s="4">
        <v>0</v>
      </c>
    </row>
    <row r="1365" spans="1:15" x14ac:dyDescent="0.3">
      <c r="A1365" s="4">
        <v>414</v>
      </c>
      <c r="B1365" s="4">
        <v>414000</v>
      </c>
      <c r="C1365" s="4" t="s">
        <v>163</v>
      </c>
      <c r="D1365" s="4" t="s">
        <v>162</v>
      </c>
      <c r="E1365" s="4" t="s">
        <v>17</v>
      </c>
      <c r="F1365" s="4" t="s">
        <v>18</v>
      </c>
      <c r="G1365" s="5">
        <v>0.9</v>
      </c>
      <c r="H1365" s="5">
        <v>0.8</v>
      </c>
      <c r="I1365" s="5">
        <v>0.1166666666666667</v>
      </c>
      <c r="J1365" s="6">
        <v>0.34375</v>
      </c>
      <c r="K1365" s="6">
        <v>0.8849999999999999</v>
      </c>
      <c r="L1365" s="6">
        <v>0.76212621556756932</v>
      </c>
      <c r="M1365" s="4" t="s">
        <v>79</v>
      </c>
      <c r="N1365" s="4">
        <v>0.1038585017299084</v>
      </c>
      <c r="O1365" s="4">
        <v>0</v>
      </c>
    </row>
    <row r="1366" spans="1:15" x14ac:dyDescent="0.3">
      <c r="A1366" s="4">
        <v>415</v>
      </c>
      <c r="B1366" s="4">
        <v>415000</v>
      </c>
      <c r="C1366" s="4" t="s">
        <v>163</v>
      </c>
      <c r="D1366" s="4" t="s">
        <v>162</v>
      </c>
      <c r="E1366" s="4" t="s">
        <v>17</v>
      </c>
      <c r="F1366" s="4" t="s">
        <v>18</v>
      </c>
      <c r="G1366" s="5">
        <v>0.9</v>
      </c>
      <c r="H1366" s="5">
        <v>0.8</v>
      </c>
      <c r="I1366" s="5">
        <v>0.1166666666666667</v>
      </c>
      <c r="J1366" s="6">
        <v>0.328125</v>
      </c>
      <c r="K1366" s="6">
        <v>0.92809523809523797</v>
      </c>
      <c r="L1366" s="6">
        <v>0.80761627906976741</v>
      </c>
      <c r="M1366" s="4" t="s">
        <v>99</v>
      </c>
      <c r="N1366" s="4">
        <v>0.1029078258988023</v>
      </c>
      <c r="O1366" s="4">
        <v>0</v>
      </c>
    </row>
    <row r="1367" spans="1:15" x14ac:dyDescent="0.3">
      <c r="A1367" s="4">
        <v>416</v>
      </c>
      <c r="B1367" s="4">
        <v>416000</v>
      </c>
      <c r="C1367" s="4" t="s">
        <v>163</v>
      </c>
      <c r="D1367" s="4" t="s">
        <v>162</v>
      </c>
      <c r="E1367" s="4" t="s">
        <v>17</v>
      </c>
      <c r="F1367" s="4" t="s">
        <v>18</v>
      </c>
      <c r="G1367" s="5">
        <v>0.9</v>
      </c>
      <c r="H1367" s="5">
        <v>0.8</v>
      </c>
      <c r="I1367" s="5">
        <v>0.1166666666666667</v>
      </c>
      <c r="J1367" s="6">
        <v>0.328125</v>
      </c>
      <c r="K1367" s="6">
        <v>0.92809523809523797</v>
      </c>
      <c r="L1367" s="6">
        <v>0.80715608006479223</v>
      </c>
      <c r="M1367" s="4" t="s">
        <v>79</v>
      </c>
      <c r="N1367" s="4">
        <v>0.1039897498720594</v>
      </c>
      <c r="O1367" s="4">
        <v>0</v>
      </c>
    </row>
    <row r="1368" spans="1:15" x14ac:dyDescent="0.3">
      <c r="A1368" s="4">
        <v>417</v>
      </c>
      <c r="B1368" s="4">
        <v>417000</v>
      </c>
      <c r="C1368" s="4" t="s">
        <v>163</v>
      </c>
      <c r="D1368" s="4" t="s">
        <v>162</v>
      </c>
      <c r="E1368" s="4" t="s">
        <v>17</v>
      </c>
      <c r="F1368" s="4" t="s">
        <v>18</v>
      </c>
      <c r="G1368" s="5">
        <v>0.9</v>
      </c>
      <c r="H1368" s="5">
        <v>0.8</v>
      </c>
      <c r="I1368" s="5">
        <v>0.1166666666666667</v>
      </c>
      <c r="J1368" s="6">
        <v>0.328125</v>
      </c>
      <c r="K1368" s="6">
        <v>0.92809523809523797</v>
      </c>
      <c r="L1368" s="6">
        <v>0.81026272577996716</v>
      </c>
      <c r="M1368" s="4" t="s">
        <v>99</v>
      </c>
      <c r="N1368" s="4">
        <v>0.10292048618404211</v>
      </c>
      <c r="O1368" s="4">
        <v>0</v>
      </c>
    </row>
    <row r="1369" spans="1:15" x14ac:dyDescent="0.3">
      <c r="A1369" s="4">
        <v>418</v>
      </c>
      <c r="B1369" s="4">
        <v>418000</v>
      </c>
      <c r="C1369" s="4" t="s">
        <v>163</v>
      </c>
      <c r="D1369" s="4" t="s">
        <v>162</v>
      </c>
      <c r="E1369" s="4" t="s">
        <v>17</v>
      </c>
      <c r="F1369" s="4" t="s">
        <v>18</v>
      </c>
      <c r="G1369" s="5">
        <v>0.9</v>
      </c>
      <c r="H1369" s="5">
        <v>0.8</v>
      </c>
      <c r="I1369" s="5">
        <v>0.1166666666666667</v>
      </c>
      <c r="J1369" s="6">
        <v>0.328125</v>
      </c>
      <c r="K1369" s="6">
        <v>0.92761904761904745</v>
      </c>
      <c r="L1369" s="6">
        <v>0.81468194474191469</v>
      </c>
      <c r="M1369" s="4" t="s">
        <v>79</v>
      </c>
      <c r="N1369" s="4">
        <v>0.10366876418117139</v>
      </c>
      <c r="O1369" s="4">
        <v>0</v>
      </c>
    </row>
    <row r="1370" spans="1:15" x14ac:dyDescent="0.3">
      <c r="A1370" s="4">
        <v>419</v>
      </c>
      <c r="B1370" s="4">
        <v>419000</v>
      </c>
      <c r="C1370" s="4" t="s">
        <v>163</v>
      </c>
      <c r="D1370" s="4" t="s">
        <v>162</v>
      </c>
      <c r="E1370" s="4" t="s">
        <v>17</v>
      </c>
      <c r="F1370" s="4" t="s">
        <v>18</v>
      </c>
      <c r="G1370" s="5">
        <v>0.9</v>
      </c>
      <c r="H1370" s="5">
        <v>0.8</v>
      </c>
      <c r="I1370" s="5">
        <v>0.1166666666666667</v>
      </c>
      <c r="J1370" s="6">
        <v>0.328125</v>
      </c>
      <c r="K1370" s="6">
        <v>0.92761904761904745</v>
      </c>
      <c r="L1370" s="6">
        <v>0.80934959349593494</v>
      </c>
      <c r="M1370" s="4" t="s">
        <v>28</v>
      </c>
      <c r="N1370" s="4">
        <v>0.10102205149452009</v>
      </c>
      <c r="O1370" s="4">
        <v>0</v>
      </c>
    </row>
    <row r="1371" spans="1:15" x14ac:dyDescent="0.3">
      <c r="A1371" s="4">
        <v>420</v>
      </c>
      <c r="B1371" s="4">
        <v>420000</v>
      </c>
      <c r="C1371" s="4" t="s">
        <v>163</v>
      </c>
      <c r="D1371" s="4" t="s">
        <v>162</v>
      </c>
      <c r="E1371" s="4" t="s">
        <v>17</v>
      </c>
      <c r="F1371" s="4" t="s">
        <v>18</v>
      </c>
      <c r="G1371" s="5">
        <v>0.9</v>
      </c>
      <c r="H1371" s="5">
        <v>0.8</v>
      </c>
      <c r="I1371" s="5">
        <v>0.1166666666666667</v>
      </c>
      <c r="J1371" s="6">
        <v>0.328125</v>
      </c>
      <c r="K1371" s="6">
        <v>0.9285714285714286</v>
      </c>
      <c r="L1371" s="6">
        <v>0.81043956043956045</v>
      </c>
      <c r="M1371" s="4" t="s">
        <v>156</v>
      </c>
      <c r="N1371" s="4">
        <v>9.8676404468665546E-2</v>
      </c>
      <c r="O1371" s="4">
        <v>0</v>
      </c>
    </row>
    <row r="1372" spans="1:15" x14ac:dyDescent="0.3">
      <c r="A1372" s="4">
        <v>421</v>
      </c>
      <c r="B1372" s="4">
        <v>421000</v>
      </c>
      <c r="C1372" s="4" t="s">
        <v>163</v>
      </c>
      <c r="D1372" s="4" t="s">
        <v>162</v>
      </c>
      <c r="E1372" s="4" t="s">
        <v>17</v>
      </c>
      <c r="F1372" s="4" t="s">
        <v>18</v>
      </c>
      <c r="G1372" s="5">
        <v>0.9</v>
      </c>
      <c r="H1372" s="5">
        <v>0.8</v>
      </c>
      <c r="I1372" s="5">
        <v>0.1166666666666667</v>
      </c>
      <c r="J1372" s="6">
        <v>0.328125</v>
      </c>
      <c r="K1372" s="6">
        <v>0.92904761904761879</v>
      </c>
      <c r="L1372" s="6">
        <v>0.81171560502012785</v>
      </c>
      <c r="M1372" s="4" t="s">
        <v>160</v>
      </c>
      <c r="N1372" s="4">
        <v>0.10023292235584851</v>
      </c>
      <c r="O1372" s="4">
        <v>0</v>
      </c>
    </row>
    <row r="1373" spans="1:15" x14ac:dyDescent="0.3">
      <c r="A1373" s="4">
        <v>422</v>
      </c>
      <c r="B1373" s="4">
        <v>422000</v>
      </c>
      <c r="C1373" s="4" t="s">
        <v>163</v>
      </c>
      <c r="D1373" s="4" t="s">
        <v>162</v>
      </c>
      <c r="E1373" s="4" t="s">
        <v>17</v>
      </c>
      <c r="F1373" s="4" t="s">
        <v>18</v>
      </c>
      <c r="G1373" s="5">
        <v>0.9</v>
      </c>
      <c r="H1373" s="5">
        <v>0.8</v>
      </c>
      <c r="I1373" s="5">
        <v>0.1166666666666667</v>
      </c>
      <c r="J1373" s="6">
        <v>0.33333333333333331</v>
      </c>
      <c r="K1373" s="6">
        <v>0.92904761904761879</v>
      </c>
      <c r="L1373" s="6">
        <v>0.81062717770034842</v>
      </c>
      <c r="M1373" s="4" t="s">
        <v>150</v>
      </c>
      <c r="N1373" s="4">
        <v>9.5101651233005388E-2</v>
      </c>
      <c r="O1373" s="4">
        <v>0</v>
      </c>
    </row>
    <row r="1374" spans="1:15" x14ac:dyDescent="0.3">
      <c r="A1374" s="4">
        <v>423</v>
      </c>
      <c r="B1374" s="4">
        <v>423000</v>
      </c>
      <c r="C1374" s="4" t="s">
        <v>163</v>
      </c>
      <c r="D1374" s="4" t="s">
        <v>162</v>
      </c>
      <c r="E1374" s="4" t="s">
        <v>17</v>
      </c>
      <c r="F1374" s="4" t="s">
        <v>18</v>
      </c>
      <c r="G1374" s="5">
        <v>0.9</v>
      </c>
      <c r="H1374" s="5">
        <v>0.8</v>
      </c>
      <c r="I1374" s="5">
        <v>0.1166666666666667</v>
      </c>
      <c r="J1374" s="6">
        <v>0.328125</v>
      </c>
      <c r="K1374" s="6">
        <v>0.92952380952380931</v>
      </c>
      <c r="L1374" s="6">
        <v>0.81220365771054404</v>
      </c>
      <c r="M1374" s="4" t="s">
        <v>39</v>
      </c>
      <c r="N1374" s="4">
        <v>9.2741279200694388E-2</v>
      </c>
      <c r="O1374" s="4">
        <v>0</v>
      </c>
    </row>
    <row r="1375" spans="1:15" x14ac:dyDescent="0.3">
      <c r="A1375" s="4">
        <v>424</v>
      </c>
      <c r="B1375" s="4">
        <v>424000</v>
      </c>
      <c r="C1375" s="4" t="s">
        <v>163</v>
      </c>
      <c r="D1375" s="4" t="s">
        <v>162</v>
      </c>
      <c r="E1375" s="4" t="s">
        <v>17</v>
      </c>
      <c r="F1375" s="4" t="s">
        <v>18</v>
      </c>
      <c r="G1375" s="5">
        <v>0.9</v>
      </c>
      <c r="H1375" s="5">
        <v>0.8</v>
      </c>
      <c r="I1375" s="5">
        <v>0.1166666666666667</v>
      </c>
      <c r="J1375" s="6">
        <v>0.328125</v>
      </c>
      <c r="K1375" s="6">
        <v>0.9290476190476189</v>
      </c>
      <c r="L1375" s="6">
        <v>0.81687062937062938</v>
      </c>
      <c r="M1375" s="4" t="s">
        <v>49</v>
      </c>
      <c r="N1375" s="4">
        <v>9.0415425724048565E-2</v>
      </c>
      <c r="O1375" s="4">
        <v>0</v>
      </c>
    </row>
    <row r="1376" spans="1:15" x14ac:dyDescent="0.3">
      <c r="A1376" s="4">
        <v>425</v>
      </c>
      <c r="B1376" s="4">
        <v>425000</v>
      </c>
      <c r="C1376" s="4" t="s">
        <v>163</v>
      </c>
      <c r="D1376" s="4" t="s">
        <v>162</v>
      </c>
      <c r="E1376" s="4" t="s">
        <v>17</v>
      </c>
      <c r="F1376" s="4" t="s">
        <v>18</v>
      </c>
      <c r="G1376" s="5">
        <v>0.9</v>
      </c>
      <c r="H1376" s="5">
        <v>0.8</v>
      </c>
      <c r="I1376" s="5">
        <v>0.1166666666666667</v>
      </c>
      <c r="J1376" s="6">
        <v>0.328125</v>
      </c>
      <c r="K1376" s="6">
        <v>0.92904761904761912</v>
      </c>
      <c r="L1376" s="6">
        <v>0.81590909090909092</v>
      </c>
      <c r="M1376" s="4" t="s">
        <v>49</v>
      </c>
      <c r="N1376" s="4">
        <v>9.0313080001259163E-2</v>
      </c>
      <c r="O1376" s="4">
        <v>0</v>
      </c>
    </row>
    <row r="1377" spans="1:15" x14ac:dyDescent="0.3">
      <c r="A1377" s="4">
        <v>426</v>
      </c>
      <c r="B1377" s="4">
        <v>426000</v>
      </c>
      <c r="C1377" s="4" t="s">
        <v>163</v>
      </c>
      <c r="D1377" s="4" t="s">
        <v>162</v>
      </c>
      <c r="E1377" s="4" t="s">
        <v>17</v>
      </c>
      <c r="F1377" s="4" t="s">
        <v>18</v>
      </c>
      <c r="G1377" s="5">
        <v>0.9</v>
      </c>
      <c r="H1377" s="5">
        <v>0.8</v>
      </c>
      <c r="I1377" s="5">
        <v>0.1166666666666667</v>
      </c>
      <c r="J1377" s="6">
        <v>0.3125</v>
      </c>
      <c r="K1377" s="6">
        <v>0.92899999999999994</v>
      </c>
      <c r="L1377" s="6">
        <v>0.81813757300454248</v>
      </c>
      <c r="M1377" s="4" t="s">
        <v>22</v>
      </c>
      <c r="N1377" s="4">
        <v>9.4364525917059613E-2</v>
      </c>
      <c r="O1377" s="4">
        <v>0</v>
      </c>
    </row>
    <row r="1378" spans="1:15" x14ac:dyDescent="0.3">
      <c r="A1378" s="4">
        <v>427</v>
      </c>
      <c r="B1378" s="4">
        <v>427000</v>
      </c>
      <c r="C1378" s="4" t="s">
        <v>163</v>
      </c>
      <c r="D1378" s="4" t="s">
        <v>162</v>
      </c>
      <c r="E1378" s="4" t="s">
        <v>17</v>
      </c>
      <c r="F1378" s="4" t="s">
        <v>18</v>
      </c>
      <c r="G1378" s="5">
        <v>0.9</v>
      </c>
      <c r="H1378" s="5">
        <v>0.8</v>
      </c>
      <c r="I1378" s="5">
        <v>0.1166666666666667</v>
      </c>
      <c r="J1378" s="6">
        <v>0.3125</v>
      </c>
      <c r="K1378" s="6">
        <v>0.92849999999999999</v>
      </c>
      <c r="L1378" s="6">
        <v>0.82500289251417325</v>
      </c>
      <c r="M1378" s="4" t="s">
        <v>22</v>
      </c>
      <c r="N1378" s="4">
        <v>9.439127516780968E-2</v>
      </c>
      <c r="O1378" s="4">
        <v>0</v>
      </c>
    </row>
    <row r="1379" spans="1:15" x14ac:dyDescent="0.3">
      <c r="A1379" s="4">
        <v>428</v>
      </c>
      <c r="B1379" s="4">
        <v>428000</v>
      </c>
      <c r="C1379" s="4" t="s">
        <v>163</v>
      </c>
      <c r="D1379" s="4" t="s">
        <v>162</v>
      </c>
      <c r="E1379" s="4" t="s">
        <v>17</v>
      </c>
      <c r="F1379" s="4" t="s">
        <v>18</v>
      </c>
      <c r="G1379" s="5">
        <v>0.9</v>
      </c>
      <c r="H1379" s="5">
        <v>0.8</v>
      </c>
      <c r="I1379" s="5">
        <v>0.1166666666666667</v>
      </c>
      <c r="J1379" s="6">
        <v>0.3125</v>
      </c>
      <c r="K1379" s="6">
        <v>0.92899999999999994</v>
      </c>
      <c r="L1379" s="6">
        <v>0.83027777777777778</v>
      </c>
      <c r="M1379" s="4" t="s">
        <v>78</v>
      </c>
      <c r="N1379" s="4">
        <v>9.6197454626283666E-2</v>
      </c>
      <c r="O1379" s="4">
        <v>0</v>
      </c>
    </row>
    <row r="1380" spans="1:15" x14ac:dyDescent="0.3">
      <c r="A1380" s="4">
        <v>429</v>
      </c>
      <c r="B1380" s="4">
        <v>429000</v>
      </c>
      <c r="C1380" s="4" t="s">
        <v>163</v>
      </c>
      <c r="D1380" s="4" t="s">
        <v>162</v>
      </c>
      <c r="E1380" s="4" t="s">
        <v>17</v>
      </c>
      <c r="F1380" s="4" t="s">
        <v>18</v>
      </c>
      <c r="G1380" s="5">
        <v>0.9</v>
      </c>
      <c r="H1380" s="5">
        <v>0.8</v>
      </c>
      <c r="I1380" s="5">
        <v>0.1166666666666667</v>
      </c>
      <c r="J1380" s="6">
        <v>0.3125</v>
      </c>
      <c r="K1380" s="6">
        <v>0.92900000000000005</v>
      </c>
      <c r="L1380" s="6">
        <v>0.82183598794662072</v>
      </c>
      <c r="M1380" s="4" t="s">
        <v>78</v>
      </c>
      <c r="N1380" s="4">
        <v>9.6105766413026344E-2</v>
      </c>
      <c r="O1380" s="4">
        <v>0</v>
      </c>
    </row>
    <row r="1381" spans="1:15" x14ac:dyDescent="0.3">
      <c r="A1381" s="4">
        <v>430</v>
      </c>
      <c r="B1381" s="4">
        <v>430000</v>
      </c>
      <c r="C1381" s="4" t="s">
        <v>163</v>
      </c>
      <c r="D1381" s="4" t="s">
        <v>162</v>
      </c>
      <c r="E1381" s="4" t="s">
        <v>17</v>
      </c>
      <c r="F1381" s="4" t="s">
        <v>18</v>
      </c>
      <c r="G1381" s="5">
        <v>0.9</v>
      </c>
      <c r="H1381" s="5">
        <v>0.8</v>
      </c>
      <c r="I1381" s="5">
        <v>0.1166666666666667</v>
      </c>
      <c r="J1381" s="6">
        <v>0.3125</v>
      </c>
      <c r="K1381" s="6">
        <v>0.92849999999999999</v>
      </c>
      <c r="L1381" s="6">
        <v>0.82443897099069507</v>
      </c>
      <c r="M1381" s="4" t="s">
        <v>154</v>
      </c>
      <c r="N1381" s="4">
        <v>9.7741725016325318E-2</v>
      </c>
      <c r="O1381" s="4">
        <v>0</v>
      </c>
    </row>
    <row r="1382" spans="1:15" x14ac:dyDescent="0.3">
      <c r="A1382" s="4">
        <v>431</v>
      </c>
      <c r="B1382" s="4">
        <v>431000</v>
      </c>
      <c r="C1382" s="4" t="s">
        <v>163</v>
      </c>
      <c r="D1382" s="4" t="s">
        <v>162</v>
      </c>
      <c r="E1382" s="4" t="s">
        <v>17</v>
      </c>
      <c r="F1382" s="4" t="s">
        <v>18</v>
      </c>
      <c r="G1382" s="5">
        <v>0.9</v>
      </c>
      <c r="H1382" s="5">
        <v>0.8</v>
      </c>
      <c r="I1382" s="5">
        <v>0.1166666666666667</v>
      </c>
      <c r="J1382" s="6">
        <v>0.3125</v>
      </c>
      <c r="K1382" s="6">
        <v>0.92949999999999999</v>
      </c>
      <c r="L1382" s="6">
        <v>0.82516339869281041</v>
      </c>
      <c r="M1382" s="4" t="s">
        <v>150</v>
      </c>
      <c r="N1382" s="4">
        <v>9.5297538934214762E-2</v>
      </c>
      <c r="O1382" s="4">
        <v>0</v>
      </c>
    </row>
    <row r="1383" spans="1:15" x14ac:dyDescent="0.3">
      <c r="A1383" s="4">
        <v>432</v>
      </c>
      <c r="B1383" s="4">
        <v>432000</v>
      </c>
      <c r="C1383" s="4" t="s">
        <v>163</v>
      </c>
      <c r="D1383" s="4" t="s">
        <v>162</v>
      </c>
      <c r="E1383" s="4" t="s">
        <v>17</v>
      </c>
      <c r="F1383" s="4" t="s">
        <v>18</v>
      </c>
      <c r="G1383" s="5">
        <v>0.9</v>
      </c>
      <c r="H1383" s="5">
        <v>0.8</v>
      </c>
      <c r="I1383" s="5">
        <v>0.1166666666666667</v>
      </c>
      <c r="J1383" s="6">
        <v>0.3125</v>
      </c>
      <c r="K1383" s="6">
        <v>0.92899999999999994</v>
      </c>
      <c r="L1383" s="6">
        <v>0.82723438212494294</v>
      </c>
      <c r="M1383" s="4" t="s">
        <v>150</v>
      </c>
      <c r="N1383" s="4">
        <v>9.5011959129496101E-2</v>
      </c>
      <c r="O1383" s="4">
        <v>0</v>
      </c>
    </row>
    <row r="1384" spans="1:15" x14ac:dyDescent="0.3">
      <c r="A1384" s="4">
        <v>433</v>
      </c>
      <c r="B1384" s="4">
        <v>433000</v>
      </c>
      <c r="C1384" s="4" t="s">
        <v>163</v>
      </c>
      <c r="D1384" s="4" t="s">
        <v>162</v>
      </c>
      <c r="E1384" s="4" t="s">
        <v>17</v>
      </c>
      <c r="F1384" s="4" t="s">
        <v>18</v>
      </c>
      <c r="G1384" s="5">
        <v>0.9</v>
      </c>
      <c r="H1384" s="5">
        <v>0.8</v>
      </c>
      <c r="I1384" s="5">
        <v>0.1166666666666667</v>
      </c>
      <c r="J1384" s="6">
        <v>0.30303030303030298</v>
      </c>
      <c r="K1384" s="6">
        <v>0.92849999999999988</v>
      </c>
      <c r="L1384" s="6">
        <v>0.82948871037776806</v>
      </c>
      <c r="M1384" s="4" t="s">
        <v>156</v>
      </c>
      <c r="N1384" s="4">
        <v>9.9327399013480103E-2</v>
      </c>
      <c r="O1384" s="4">
        <v>0</v>
      </c>
    </row>
    <row r="1385" spans="1:15" x14ac:dyDescent="0.3">
      <c r="A1385" s="4">
        <v>434</v>
      </c>
      <c r="B1385" s="4">
        <v>434000</v>
      </c>
      <c r="C1385" s="4" t="s">
        <v>163</v>
      </c>
      <c r="D1385" s="4" t="s">
        <v>162</v>
      </c>
      <c r="E1385" s="4" t="s">
        <v>17</v>
      </c>
      <c r="F1385" s="4" t="s">
        <v>18</v>
      </c>
      <c r="G1385" s="5">
        <v>0.9</v>
      </c>
      <c r="H1385" s="5">
        <v>0.8</v>
      </c>
      <c r="I1385" s="5">
        <v>0.1166666666666667</v>
      </c>
      <c r="J1385" s="6">
        <v>0.31818181818181818</v>
      </c>
      <c r="K1385" s="6">
        <v>0.92761904761904745</v>
      </c>
      <c r="L1385" s="6">
        <v>0.82984877992897232</v>
      </c>
      <c r="M1385" s="4" t="s">
        <v>150</v>
      </c>
      <c r="N1385" s="4">
        <v>9.4822493750161801E-2</v>
      </c>
      <c r="O1385" s="4">
        <v>0</v>
      </c>
    </row>
    <row r="1386" spans="1:15" x14ac:dyDescent="0.3">
      <c r="A1386" s="4">
        <v>435</v>
      </c>
      <c r="B1386" s="4">
        <v>435000</v>
      </c>
      <c r="C1386" s="4" t="s">
        <v>163</v>
      </c>
      <c r="D1386" s="4" t="s">
        <v>162</v>
      </c>
      <c r="E1386" s="4" t="s">
        <v>17</v>
      </c>
      <c r="F1386" s="4" t="s">
        <v>18</v>
      </c>
      <c r="G1386" s="5">
        <v>0.9</v>
      </c>
      <c r="H1386" s="5">
        <v>0.8</v>
      </c>
      <c r="I1386" s="5">
        <v>0.1166666666666667</v>
      </c>
      <c r="J1386" s="6">
        <v>0.31818181818181818</v>
      </c>
      <c r="K1386" s="6">
        <v>0.92714285714285694</v>
      </c>
      <c r="L1386" s="6">
        <v>0.83255813953488367</v>
      </c>
      <c r="M1386" s="4" t="s">
        <v>150</v>
      </c>
      <c r="N1386" s="4">
        <v>9.483108599640834E-2</v>
      </c>
      <c r="O1386" s="4">
        <v>0</v>
      </c>
    </row>
    <row r="1387" spans="1:15" x14ac:dyDescent="0.3">
      <c r="A1387" s="4">
        <v>436</v>
      </c>
      <c r="B1387" s="4">
        <v>436000</v>
      </c>
      <c r="C1387" s="4" t="s">
        <v>163</v>
      </c>
      <c r="D1387" s="4" t="s">
        <v>162</v>
      </c>
      <c r="E1387" s="4" t="s">
        <v>17</v>
      </c>
      <c r="F1387" s="4" t="s">
        <v>18</v>
      </c>
      <c r="G1387" s="5">
        <v>0.9</v>
      </c>
      <c r="H1387" s="5">
        <v>0.8</v>
      </c>
      <c r="I1387" s="5">
        <v>0.1166666666666667</v>
      </c>
      <c r="J1387" s="6">
        <v>0.31818181818181818</v>
      </c>
      <c r="K1387" s="6">
        <v>0.92619047619047601</v>
      </c>
      <c r="L1387" s="6">
        <v>0.83000828794695714</v>
      </c>
      <c r="M1387" s="4" t="s">
        <v>22</v>
      </c>
      <c r="N1387" s="4">
        <v>9.3582315321808426E-2</v>
      </c>
      <c r="O1387" s="4">
        <v>0</v>
      </c>
    </row>
    <row r="1388" spans="1:15" x14ac:dyDescent="0.3">
      <c r="A1388" s="4">
        <v>437</v>
      </c>
      <c r="B1388" s="4">
        <v>437000</v>
      </c>
      <c r="C1388" s="4" t="s">
        <v>163</v>
      </c>
      <c r="D1388" s="4" t="s">
        <v>162</v>
      </c>
      <c r="E1388" s="4" t="s">
        <v>17</v>
      </c>
      <c r="F1388" s="4" t="s">
        <v>18</v>
      </c>
      <c r="G1388" s="5">
        <v>0.9</v>
      </c>
      <c r="H1388" s="5">
        <v>0.8</v>
      </c>
      <c r="I1388" s="5">
        <v>0.1166666666666667</v>
      </c>
      <c r="J1388" s="6">
        <v>0.32307692307692309</v>
      </c>
      <c r="K1388" s="6">
        <v>0.92809523809523786</v>
      </c>
      <c r="L1388" s="6">
        <v>0.83003048780487798</v>
      </c>
      <c r="M1388" s="4" t="s">
        <v>129</v>
      </c>
      <c r="N1388" s="4">
        <v>9.7489767892782145E-2</v>
      </c>
      <c r="O1388" s="4">
        <v>0</v>
      </c>
    </row>
    <row r="1389" spans="1:15" x14ac:dyDescent="0.3">
      <c r="A1389" s="4">
        <v>438</v>
      </c>
      <c r="B1389" s="4">
        <v>438000</v>
      </c>
      <c r="C1389" s="4" t="s">
        <v>163</v>
      </c>
      <c r="D1389" s="4" t="s">
        <v>162</v>
      </c>
      <c r="E1389" s="4" t="s">
        <v>17</v>
      </c>
      <c r="F1389" s="4" t="s">
        <v>18</v>
      </c>
      <c r="G1389" s="5">
        <v>0.9</v>
      </c>
      <c r="H1389" s="5">
        <v>0.8</v>
      </c>
      <c r="I1389" s="5">
        <v>0.1166666666666667</v>
      </c>
      <c r="J1389" s="6">
        <v>0.33870967741935482</v>
      </c>
      <c r="K1389" s="6">
        <v>0.92999999999999994</v>
      </c>
      <c r="L1389" s="6">
        <v>0.82867751060820372</v>
      </c>
      <c r="M1389" s="4" t="s">
        <v>160</v>
      </c>
      <c r="N1389" s="4">
        <v>9.9701208264252855E-2</v>
      </c>
      <c r="O1389" s="4">
        <v>0</v>
      </c>
    </row>
    <row r="1390" spans="1:15" x14ac:dyDescent="0.3">
      <c r="A1390" s="4">
        <v>439</v>
      </c>
      <c r="B1390" s="4">
        <v>439000</v>
      </c>
      <c r="C1390" s="4" t="s">
        <v>163</v>
      </c>
      <c r="D1390" s="4" t="s">
        <v>162</v>
      </c>
      <c r="E1390" s="4" t="s">
        <v>17</v>
      </c>
      <c r="F1390" s="4" t="s">
        <v>18</v>
      </c>
      <c r="G1390" s="5">
        <v>0.9</v>
      </c>
      <c r="H1390" s="5">
        <v>0.8</v>
      </c>
      <c r="I1390" s="5">
        <v>0.1166666666666667</v>
      </c>
      <c r="J1390" s="6">
        <v>0.33870967741935482</v>
      </c>
      <c r="K1390" s="6">
        <v>0.92999999999999994</v>
      </c>
      <c r="L1390" s="6">
        <v>0.82726480836236937</v>
      </c>
      <c r="M1390" s="4" t="s">
        <v>22</v>
      </c>
      <c r="N1390" s="4">
        <v>9.4294410829124542E-2</v>
      </c>
      <c r="O1390" s="4">
        <v>0</v>
      </c>
    </row>
    <row r="1391" spans="1:15" x14ac:dyDescent="0.3">
      <c r="A1391" s="4">
        <v>440</v>
      </c>
      <c r="B1391" s="4">
        <v>440000</v>
      </c>
      <c r="C1391" s="4" t="s">
        <v>163</v>
      </c>
      <c r="D1391" s="4" t="s">
        <v>162</v>
      </c>
      <c r="E1391" s="4" t="s">
        <v>17</v>
      </c>
      <c r="F1391" s="4" t="s">
        <v>18</v>
      </c>
      <c r="G1391" s="5">
        <v>0.9</v>
      </c>
      <c r="H1391" s="5">
        <v>0.8</v>
      </c>
      <c r="I1391" s="5">
        <v>0.1166666666666667</v>
      </c>
      <c r="J1391" s="6">
        <v>0.33870967741935482</v>
      </c>
      <c r="K1391" s="6">
        <v>0.92666666666666642</v>
      </c>
      <c r="L1391" s="6">
        <v>0.82879469571394737</v>
      </c>
      <c r="M1391" s="4" t="s">
        <v>22</v>
      </c>
      <c r="N1391" s="4">
        <v>9.4135089729445995E-2</v>
      </c>
      <c r="O1391" s="4">
        <v>0</v>
      </c>
    </row>
    <row r="1392" spans="1:15" x14ac:dyDescent="0.3">
      <c r="A1392" s="4">
        <v>441</v>
      </c>
      <c r="B1392" s="4">
        <v>441000</v>
      </c>
      <c r="C1392" s="4" t="s">
        <v>163</v>
      </c>
      <c r="D1392" s="4" t="s">
        <v>162</v>
      </c>
      <c r="E1392" s="4" t="s">
        <v>17</v>
      </c>
      <c r="F1392" s="4" t="s">
        <v>18</v>
      </c>
      <c r="G1392" s="5">
        <v>0.9</v>
      </c>
      <c r="H1392" s="5">
        <v>0.8</v>
      </c>
      <c r="I1392" s="5">
        <v>0.1166666666666667</v>
      </c>
      <c r="J1392" s="6">
        <v>0.34426229508196721</v>
      </c>
      <c r="K1392" s="6">
        <v>0.92666666666666642</v>
      </c>
      <c r="L1392" s="6">
        <v>0.82709478021978033</v>
      </c>
      <c r="M1392" s="4" t="s">
        <v>39</v>
      </c>
      <c r="N1392" s="4">
        <v>9.3052454997592182E-2</v>
      </c>
      <c r="O1392" s="4">
        <v>0</v>
      </c>
    </row>
    <row r="1393" spans="1:15" x14ac:dyDescent="0.3">
      <c r="A1393" s="4">
        <v>442</v>
      </c>
      <c r="B1393" s="4">
        <v>442000</v>
      </c>
      <c r="C1393" s="4" t="s">
        <v>163</v>
      </c>
      <c r="D1393" s="4" t="s">
        <v>162</v>
      </c>
      <c r="E1393" s="4" t="s">
        <v>17</v>
      </c>
      <c r="F1393" s="4" t="s">
        <v>18</v>
      </c>
      <c r="G1393" s="5">
        <v>0.9</v>
      </c>
      <c r="H1393" s="5">
        <v>0.8</v>
      </c>
      <c r="I1393" s="5">
        <v>0.1166666666666667</v>
      </c>
      <c r="J1393" s="6">
        <v>0.32786885245901642</v>
      </c>
      <c r="K1393" s="6">
        <v>0.92949999999999999</v>
      </c>
      <c r="L1393" s="6">
        <v>0.82778213166144199</v>
      </c>
      <c r="M1393" s="4" t="s">
        <v>78</v>
      </c>
      <c r="N1393" s="4">
        <v>9.6082983243983872E-2</v>
      </c>
      <c r="O1393" s="4">
        <v>0</v>
      </c>
    </row>
    <row r="1394" spans="1:15" x14ac:dyDescent="0.3">
      <c r="A1394" s="4">
        <v>443</v>
      </c>
      <c r="B1394" s="4">
        <v>443000</v>
      </c>
      <c r="C1394" s="4" t="s">
        <v>163</v>
      </c>
      <c r="D1394" s="4" t="s">
        <v>162</v>
      </c>
      <c r="E1394" s="4" t="s">
        <v>17</v>
      </c>
      <c r="F1394" s="4" t="s">
        <v>18</v>
      </c>
      <c r="G1394" s="5">
        <v>0.9</v>
      </c>
      <c r="H1394" s="5">
        <v>0.8</v>
      </c>
      <c r="I1394" s="5">
        <v>0.1166666666666667</v>
      </c>
      <c r="J1394" s="6">
        <v>0.32786885245901642</v>
      </c>
      <c r="K1394" s="6">
        <v>0.92949999999999977</v>
      </c>
      <c r="L1394" s="6">
        <v>0.82510621645796056</v>
      </c>
      <c r="M1394" s="4" t="s">
        <v>156</v>
      </c>
      <c r="N1394" s="4">
        <v>9.8578375193281317E-2</v>
      </c>
      <c r="O1394" s="4">
        <v>0</v>
      </c>
    </row>
    <row r="1395" spans="1:15" x14ac:dyDescent="0.3">
      <c r="A1395" s="4">
        <v>444</v>
      </c>
      <c r="B1395" s="4">
        <v>444000</v>
      </c>
      <c r="C1395" s="4" t="s">
        <v>163</v>
      </c>
      <c r="D1395" s="4" t="s">
        <v>162</v>
      </c>
      <c r="E1395" s="4" t="s">
        <v>17</v>
      </c>
      <c r="F1395" s="4" t="s">
        <v>18</v>
      </c>
      <c r="G1395" s="5">
        <v>0.9</v>
      </c>
      <c r="H1395" s="5">
        <v>0.8</v>
      </c>
      <c r="I1395" s="5">
        <v>0.1166666666666667</v>
      </c>
      <c r="J1395" s="6">
        <v>0.35</v>
      </c>
      <c r="K1395" s="6">
        <v>0.92761904761904745</v>
      </c>
      <c r="L1395" s="6">
        <v>0.82744565217391308</v>
      </c>
      <c r="M1395" s="4" t="s">
        <v>156</v>
      </c>
      <c r="N1395" s="4">
        <v>9.9375909217945396E-2</v>
      </c>
      <c r="O1395" s="4">
        <v>0</v>
      </c>
    </row>
    <row r="1396" spans="1:15" x14ac:dyDescent="0.3">
      <c r="A1396" s="4">
        <v>445</v>
      </c>
      <c r="B1396" s="4">
        <v>445000</v>
      </c>
      <c r="C1396" s="4" t="s">
        <v>163</v>
      </c>
      <c r="D1396" s="4" t="s">
        <v>162</v>
      </c>
      <c r="E1396" s="4" t="s">
        <v>17</v>
      </c>
      <c r="F1396" s="4" t="s">
        <v>18</v>
      </c>
      <c r="G1396" s="5">
        <v>0.9</v>
      </c>
      <c r="H1396" s="5">
        <v>0.8</v>
      </c>
      <c r="I1396" s="5">
        <v>0.1166666666666667</v>
      </c>
      <c r="J1396" s="6">
        <v>0.34426229508196721</v>
      </c>
      <c r="K1396" s="6">
        <v>0.92809523809523797</v>
      </c>
      <c r="L1396" s="6">
        <v>0.82793926680651286</v>
      </c>
      <c r="M1396" s="4" t="s">
        <v>154</v>
      </c>
      <c r="N1396" s="4">
        <v>9.799957474481262E-2</v>
      </c>
      <c r="O1396" s="4">
        <v>0</v>
      </c>
    </row>
    <row r="1397" spans="1:15" x14ac:dyDescent="0.3">
      <c r="A1397" s="4">
        <v>446</v>
      </c>
      <c r="B1397" s="4">
        <v>446000</v>
      </c>
      <c r="C1397" s="4" t="s">
        <v>163</v>
      </c>
      <c r="D1397" s="4" t="s">
        <v>162</v>
      </c>
      <c r="E1397" s="4" t="s">
        <v>17</v>
      </c>
      <c r="F1397" s="4" t="s">
        <v>18</v>
      </c>
      <c r="G1397" s="5">
        <v>0.9</v>
      </c>
      <c r="H1397" s="5">
        <v>0.8</v>
      </c>
      <c r="I1397" s="5">
        <v>0.1166666666666667</v>
      </c>
      <c r="J1397" s="6">
        <v>0.32786885245901642</v>
      </c>
      <c r="K1397" s="6">
        <v>0.92799999999999994</v>
      </c>
      <c r="L1397" s="6">
        <v>0.82257718696397941</v>
      </c>
      <c r="M1397" s="4" t="s">
        <v>150</v>
      </c>
      <c r="N1397" s="4">
        <v>9.5220813786580261E-2</v>
      </c>
      <c r="O1397" s="4">
        <v>0</v>
      </c>
    </row>
    <row r="1398" spans="1:15" x14ac:dyDescent="0.3">
      <c r="A1398" s="4">
        <v>447</v>
      </c>
      <c r="B1398" s="4">
        <v>447000</v>
      </c>
      <c r="C1398" s="4" t="s">
        <v>163</v>
      </c>
      <c r="D1398" s="4" t="s">
        <v>162</v>
      </c>
      <c r="E1398" s="4" t="s">
        <v>17</v>
      </c>
      <c r="F1398" s="4" t="s">
        <v>18</v>
      </c>
      <c r="G1398" s="5">
        <v>0.9</v>
      </c>
      <c r="H1398" s="5">
        <v>0.8</v>
      </c>
      <c r="I1398" s="5">
        <v>0.1166666666666667</v>
      </c>
      <c r="J1398" s="6">
        <v>0.32786885245901642</v>
      </c>
      <c r="K1398" s="6">
        <v>0.92949999999999999</v>
      </c>
      <c r="L1398" s="6">
        <v>0.82516404851859215</v>
      </c>
      <c r="M1398" s="4" t="s">
        <v>22</v>
      </c>
      <c r="N1398" s="4">
        <v>9.4120858995267745E-2</v>
      </c>
      <c r="O1398" s="4">
        <v>0</v>
      </c>
    </row>
    <row r="1399" spans="1:15" x14ac:dyDescent="0.3">
      <c r="A1399" s="4">
        <v>448</v>
      </c>
      <c r="B1399" s="4">
        <v>448000</v>
      </c>
      <c r="C1399" s="4" t="s">
        <v>163</v>
      </c>
      <c r="D1399" s="4" t="s">
        <v>162</v>
      </c>
      <c r="E1399" s="4" t="s">
        <v>17</v>
      </c>
      <c r="F1399" s="4" t="s">
        <v>18</v>
      </c>
      <c r="G1399" s="5">
        <v>0.9</v>
      </c>
      <c r="H1399" s="5">
        <v>0.8</v>
      </c>
      <c r="I1399" s="5">
        <v>0.1166666666666667</v>
      </c>
      <c r="J1399" s="6">
        <v>0.32786885245901642</v>
      </c>
      <c r="K1399" s="6">
        <v>0.92799999999999994</v>
      </c>
      <c r="L1399" s="6">
        <v>0.82290511243319553</v>
      </c>
      <c r="M1399" s="4" t="s">
        <v>73</v>
      </c>
      <c r="N1399" s="4">
        <v>9.2424933194746622E-2</v>
      </c>
      <c r="O1399" s="4">
        <v>0</v>
      </c>
    </row>
    <row r="1400" spans="1:15" x14ac:dyDescent="0.3">
      <c r="A1400" s="4">
        <v>449</v>
      </c>
      <c r="B1400" s="4">
        <v>449000</v>
      </c>
      <c r="C1400" s="4" t="s">
        <v>163</v>
      </c>
      <c r="D1400" s="4" t="s">
        <v>162</v>
      </c>
      <c r="E1400" s="4" t="s">
        <v>17</v>
      </c>
      <c r="F1400" s="4" t="s">
        <v>18</v>
      </c>
      <c r="G1400" s="5">
        <v>0.9</v>
      </c>
      <c r="H1400" s="5">
        <v>0.8</v>
      </c>
      <c r="I1400" s="5">
        <v>0.1166666666666667</v>
      </c>
      <c r="J1400" s="6">
        <v>0.32786885245901642</v>
      </c>
      <c r="K1400" s="6">
        <v>0.92899999999999994</v>
      </c>
      <c r="L1400" s="6">
        <v>0.8249713302752294</v>
      </c>
      <c r="M1400" s="4" t="s">
        <v>59</v>
      </c>
      <c r="N1400" s="4">
        <v>9.1128865121869407E-2</v>
      </c>
      <c r="O1400" s="4">
        <v>0</v>
      </c>
    </row>
    <row r="1401" spans="1:15" x14ac:dyDescent="0.3">
      <c r="A1401" s="4">
        <v>450</v>
      </c>
      <c r="B1401" s="4">
        <v>450000</v>
      </c>
      <c r="C1401" s="4" t="s">
        <v>163</v>
      </c>
      <c r="D1401" s="4" t="s">
        <v>162</v>
      </c>
      <c r="E1401" s="4" t="s">
        <v>17</v>
      </c>
      <c r="F1401" s="4" t="s">
        <v>18</v>
      </c>
      <c r="G1401" s="5">
        <v>0.9</v>
      </c>
      <c r="H1401" s="5">
        <v>0.8</v>
      </c>
      <c r="I1401" s="5">
        <v>0.1166666666666667</v>
      </c>
      <c r="J1401" s="6">
        <v>0.32786885245901642</v>
      </c>
      <c r="K1401" s="6">
        <v>0.92899999999999994</v>
      </c>
      <c r="L1401" s="6">
        <v>0.83151158445440965</v>
      </c>
      <c r="M1401" s="4" t="s">
        <v>73</v>
      </c>
      <c r="N1401" s="4">
        <v>9.1990789187820235E-2</v>
      </c>
      <c r="O1401" s="4">
        <v>0</v>
      </c>
    </row>
    <row r="1402" spans="1:15" x14ac:dyDescent="0.3">
      <c r="A1402" s="4">
        <v>451</v>
      </c>
      <c r="B1402" s="4">
        <v>451000</v>
      </c>
      <c r="C1402" s="4" t="s">
        <v>163</v>
      </c>
      <c r="D1402" s="4" t="s">
        <v>162</v>
      </c>
      <c r="E1402" s="4" t="s">
        <v>17</v>
      </c>
      <c r="F1402" s="4" t="s">
        <v>18</v>
      </c>
      <c r="G1402" s="5">
        <v>0.9</v>
      </c>
      <c r="H1402" s="5">
        <v>0.8</v>
      </c>
      <c r="I1402" s="5">
        <v>0.1166666666666667</v>
      </c>
      <c r="J1402" s="6">
        <v>0.31147540983606559</v>
      </c>
      <c r="K1402" s="6">
        <v>0.93</v>
      </c>
      <c r="L1402" s="6">
        <v>0.83366454689984104</v>
      </c>
      <c r="M1402" s="4" t="s">
        <v>49</v>
      </c>
      <c r="N1402" s="4">
        <v>9.0439493573535354E-2</v>
      </c>
      <c r="O1402" s="4">
        <v>0</v>
      </c>
    </row>
    <row r="1403" spans="1:15" x14ac:dyDescent="0.3">
      <c r="A1403" s="4">
        <v>452</v>
      </c>
      <c r="B1403" s="4">
        <v>452000</v>
      </c>
      <c r="C1403" s="4" t="s">
        <v>163</v>
      </c>
      <c r="D1403" s="4" t="s">
        <v>162</v>
      </c>
      <c r="E1403" s="4" t="s">
        <v>17</v>
      </c>
      <c r="F1403" s="4" t="s">
        <v>18</v>
      </c>
      <c r="G1403" s="5">
        <v>0.9</v>
      </c>
      <c r="H1403" s="5">
        <v>0.8</v>
      </c>
      <c r="I1403" s="5">
        <v>0.1166666666666667</v>
      </c>
      <c r="J1403" s="6">
        <v>0.30645161290322581</v>
      </c>
      <c r="K1403" s="6">
        <v>0.93</v>
      </c>
      <c r="L1403" s="6">
        <v>0.83366454689984104</v>
      </c>
      <c r="M1403" s="4" t="s">
        <v>49</v>
      </c>
      <c r="N1403" s="4">
        <v>8.9667501399429972E-2</v>
      </c>
      <c r="O1403" s="4">
        <v>0</v>
      </c>
    </row>
    <row r="1404" spans="1:15" x14ac:dyDescent="0.3">
      <c r="A1404" s="4">
        <v>453</v>
      </c>
      <c r="B1404" s="4">
        <v>453000</v>
      </c>
      <c r="C1404" s="4" t="s">
        <v>163</v>
      </c>
      <c r="D1404" s="4" t="s">
        <v>162</v>
      </c>
      <c r="E1404" s="4" t="s">
        <v>17</v>
      </c>
      <c r="F1404" s="4" t="s">
        <v>18</v>
      </c>
      <c r="G1404" s="5">
        <v>0.9</v>
      </c>
      <c r="H1404" s="5">
        <v>0.8</v>
      </c>
      <c r="I1404" s="5">
        <v>0.1166666666666667</v>
      </c>
      <c r="J1404" s="6">
        <v>0.30645161290322581</v>
      </c>
      <c r="K1404" s="6">
        <v>0.93052631578947365</v>
      </c>
      <c r="L1404" s="6">
        <v>0.83833333333333337</v>
      </c>
      <c r="M1404" s="4" t="s">
        <v>74</v>
      </c>
      <c r="N1404" s="4">
        <v>8.8951136854403187E-2</v>
      </c>
      <c r="O1404" s="4">
        <v>0</v>
      </c>
    </row>
    <row r="1405" spans="1:15" x14ac:dyDescent="0.3">
      <c r="A1405" s="4">
        <v>454</v>
      </c>
      <c r="B1405" s="4">
        <v>454000</v>
      </c>
      <c r="C1405" s="4" t="s">
        <v>163</v>
      </c>
      <c r="D1405" s="4" t="s">
        <v>162</v>
      </c>
      <c r="E1405" s="4" t="s">
        <v>17</v>
      </c>
      <c r="F1405" s="4" t="s">
        <v>18</v>
      </c>
      <c r="G1405" s="5">
        <v>0.9</v>
      </c>
      <c r="H1405" s="5">
        <v>0.8</v>
      </c>
      <c r="I1405" s="5">
        <v>0.1166666666666667</v>
      </c>
      <c r="J1405" s="6">
        <v>0.2857142857142857</v>
      </c>
      <c r="K1405" s="6">
        <v>0.92888888888888899</v>
      </c>
      <c r="L1405" s="6">
        <v>0.78480974124809733</v>
      </c>
      <c r="M1405" s="4" t="s">
        <v>52</v>
      </c>
      <c r="N1405" s="4">
        <v>8.8475349467133202E-2</v>
      </c>
      <c r="O1405" s="4">
        <v>0</v>
      </c>
    </row>
    <row r="1406" spans="1:15" x14ac:dyDescent="0.3">
      <c r="A1406" s="4">
        <v>455</v>
      </c>
      <c r="B1406" s="4">
        <v>455000</v>
      </c>
      <c r="C1406" s="4" t="s">
        <v>163</v>
      </c>
      <c r="D1406" s="4" t="s">
        <v>162</v>
      </c>
      <c r="E1406" s="4" t="s">
        <v>17</v>
      </c>
      <c r="F1406" s="4" t="s">
        <v>18</v>
      </c>
      <c r="G1406" s="5">
        <v>0.9</v>
      </c>
      <c r="H1406" s="5">
        <v>0.8</v>
      </c>
      <c r="I1406" s="5">
        <v>0.1166666666666667</v>
      </c>
      <c r="J1406" s="6">
        <v>0.30158730158730163</v>
      </c>
      <c r="K1406" s="6">
        <v>0.93105263157894746</v>
      </c>
      <c r="L1406" s="6">
        <v>0.83831797235023042</v>
      </c>
      <c r="M1406" s="4" t="s">
        <v>49</v>
      </c>
      <c r="N1406" s="4">
        <v>9.0102876863730211E-2</v>
      </c>
      <c r="O1406" s="4">
        <v>0</v>
      </c>
    </row>
    <row r="1407" spans="1:15" x14ac:dyDescent="0.3">
      <c r="A1407" s="4">
        <v>456</v>
      </c>
      <c r="B1407" s="4">
        <v>456000</v>
      </c>
      <c r="C1407" s="4" t="s">
        <v>163</v>
      </c>
      <c r="D1407" s="4" t="s">
        <v>162</v>
      </c>
      <c r="E1407" s="4" t="s">
        <v>17</v>
      </c>
      <c r="F1407" s="4" t="s">
        <v>18</v>
      </c>
      <c r="G1407" s="5">
        <v>0.9</v>
      </c>
      <c r="H1407" s="5">
        <v>0.8</v>
      </c>
      <c r="I1407" s="5">
        <v>0.1166666666666667</v>
      </c>
      <c r="J1407" s="6">
        <v>0.29230769230769232</v>
      </c>
      <c r="K1407" s="6">
        <v>0.93105263157894746</v>
      </c>
      <c r="L1407" s="6">
        <v>0.8356586057223846</v>
      </c>
      <c r="M1407" s="4" t="s">
        <v>19</v>
      </c>
      <c r="N1407" s="4">
        <v>1</v>
      </c>
      <c r="O1407" s="4">
        <v>1</v>
      </c>
    </row>
    <row r="1408" spans="1:15" x14ac:dyDescent="0.3">
      <c r="A1408" s="4">
        <v>457</v>
      </c>
      <c r="B1408" s="4">
        <v>457000</v>
      </c>
      <c r="C1408" s="4" t="s">
        <v>163</v>
      </c>
      <c r="D1408" s="4" t="s">
        <v>162</v>
      </c>
      <c r="E1408" s="4" t="s">
        <v>17</v>
      </c>
      <c r="F1408" s="4" t="s">
        <v>18</v>
      </c>
      <c r="G1408" s="5">
        <v>0.9</v>
      </c>
      <c r="H1408" s="5">
        <v>0.8</v>
      </c>
      <c r="I1408" s="5">
        <v>0.1166666666666667</v>
      </c>
      <c r="J1408" s="6">
        <v>0.30769230769230771</v>
      </c>
      <c r="K1408" s="6">
        <v>0.92949999999999977</v>
      </c>
      <c r="L1408" s="6">
        <v>0.83136792452830188</v>
      </c>
      <c r="M1408" s="4" t="s">
        <v>208</v>
      </c>
      <c r="N1408" s="4">
        <v>1.5095421751906179E-2</v>
      </c>
      <c r="O1408" s="4">
        <v>0</v>
      </c>
    </row>
    <row r="1409" spans="1:15" x14ac:dyDescent="0.3">
      <c r="A1409" s="4">
        <v>458</v>
      </c>
      <c r="B1409" s="4">
        <v>458000</v>
      </c>
      <c r="C1409" s="4" t="s">
        <v>163</v>
      </c>
      <c r="D1409" s="4" t="s">
        <v>162</v>
      </c>
      <c r="E1409" s="4" t="s">
        <v>17</v>
      </c>
      <c r="F1409" s="4" t="s">
        <v>18</v>
      </c>
      <c r="G1409" s="5">
        <v>0.9</v>
      </c>
      <c r="H1409" s="5">
        <v>0.8</v>
      </c>
      <c r="I1409" s="5">
        <v>0.1166666666666667</v>
      </c>
      <c r="J1409" s="6">
        <v>0.30769230769230771</v>
      </c>
      <c r="K1409" s="6">
        <v>0.92899999999999971</v>
      </c>
      <c r="L1409" s="6">
        <v>0.82852564102564108</v>
      </c>
      <c r="M1409" s="4" t="s">
        <v>202</v>
      </c>
      <c r="N1409" s="4">
        <v>2.258470040087527E-2</v>
      </c>
      <c r="O1409" s="4">
        <v>0</v>
      </c>
    </row>
    <row r="1410" spans="1:15" x14ac:dyDescent="0.3">
      <c r="A1410" s="4">
        <v>459</v>
      </c>
      <c r="B1410" s="4">
        <v>459000</v>
      </c>
      <c r="C1410" s="4" t="s">
        <v>163</v>
      </c>
      <c r="D1410" s="4" t="s">
        <v>162</v>
      </c>
      <c r="E1410" s="4" t="s">
        <v>17</v>
      </c>
      <c r="F1410" s="4" t="s">
        <v>18</v>
      </c>
      <c r="G1410" s="5">
        <v>0.9</v>
      </c>
      <c r="H1410" s="5">
        <v>0.8</v>
      </c>
      <c r="I1410" s="5">
        <v>0.1166666666666667</v>
      </c>
      <c r="J1410" s="6">
        <v>0.30769230769230771</v>
      </c>
      <c r="K1410" s="6">
        <v>0.93049999999999977</v>
      </c>
      <c r="L1410" s="6">
        <v>0.82643775213434656</v>
      </c>
      <c r="M1410" s="4" t="s">
        <v>215</v>
      </c>
      <c r="N1410" s="4">
        <v>2.5507583882849849E-2</v>
      </c>
      <c r="O1410" s="4">
        <v>0</v>
      </c>
    </row>
    <row r="1411" spans="1:15" x14ac:dyDescent="0.3">
      <c r="A1411" s="4">
        <v>460</v>
      </c>
      <c r="B1411" s="4">
        <v>460000</v>
      </c>
      <c r="C1411" s="4" t="s">
        <v>163</v>
      </c>
      <c r="D1411" s="4" t="s">
        <v>162</v>
      </c>
      <c r="E1411" s="4" t="s">
        <v>17</v>
      </c>
      <c r="F1411" s="4" t="s">
        <v>18</v>
      </c>
      <c r="G1411" s="5">
        <v>0.9</v>
      </c>
      <c r="H1411" s="5">
        <v>0.8</v>
      </c>
      <c r="I1411" s="5">
        <v>0.1166666666666667</v>
      </c>
      <c r="J1411" s="6">
        <v>0.328125</v>
      </c>
      <c r="K1411" s="6">
        <v>0.92952380952380931</v>
      </c>
      <c r="L1411" s="6">
        <v>0.8244606003752345</v>
      </c>
      <c r="M1411" s="4" t="s">
        <v>165</v>
      </c>
      <c r="N1411" s="4">
        <v>3.4471062955899183E-2</v>
      </c>
      <c r="O1411" s="4">
        <v>0</v>
      </c>
    </row>
    <row r="1412" spans="1:15" x14ac:dyDescent="0.3">
      <c r="A1412" s="4">
        <v>461</v>
      </c>
      <c r="B1412" s="4">
        <v>461000</v>
      </c>
      <c r="C1412" s="4" t="s">
        <v>163</v>
      </c>
      <c r="D1412" s="4" t="s">
        <v>162</v>
      </c>
      <c r="E1412" s="4" t="s">
        <v>17</v>
      </c>
      <c r="F1412" s="4" t="s">
        <v>18</v>
      </c>
      <c r="G1412" s="5">
        <v>0.9</v>
      </c>
      <c r="H1412" s="5">
        <v>0.8</v>
      </c>
      <c r="I1412" s="5">
        <v>0.1166666666666667</v>
      </c>
      <c r="J1412" s="6">
        <v>0.328125</v>
      </c>
      <c r="K1412" s="6">
        <v>0.92952380952380931</v>
      </c>
      <c r="L1412" s="6">
        <v>0.82404540763673895</v>
      </c>
      <c r="M1412" s="4" t="s">
        <v>165</v>
      </c>
      <c r="N1412" s="4">
        <v>3.369493466607662E-2</v>
      </c>
      <c r="O1412" s="4">
        <v>0</v>
      </c>
    </row>
    <row r="1413" spans="1:15" x14ac:dyDescent="0.3">
      <c r="A1413" s="4">
        <v>462</v>
      </c>
      <c r="B1413" s="4">
        <v>462000</v>
      </c>
      <c r="C1413" s="4" t="s">
        <v>163</v>
      </c>
      <c r="D1413" s="4" t="s">
        <v>162</v>
      </c>
      <c r="E1413" s="4" t="s">
        <v>17</v>
      </c>
      <c r="F1413" s="4" t="s">
        <v>18</v>
      </c>
      <c r="G1413" s="5">
        <v>0.9</v>
      </c>
      <c r="H1413" s="5">
        <v>0.8</v>
      </c>
      <c r="I1413" s="5">
        <v>0.1166666666666667</v>
      </c>
      <c r="J1413" s="6">
        <v>0.32258064516129031</v>
      </c>
      <c r="K1413" s="6">
        <v>0.93199999999999983</v>
      </c>
      <c r="L1413" s="6">
        <v>0.82524157988554281</v>
      </c>
      <c r="M1413" s="4" t="s">
        <v>168</v>
      </c>
      <c r="N1413" s="4">
        <v>4.4259785430551347E-2</v>
      </c>
      <c r="O1413" s="4">
        <v>0</v>
      </c>
    </row>
    <row r="1414" spans="1:15" x14ac:dyDescent="0.3">
      <c r="A1414" s="4">
        <v>463</v>
      </c>
      <c r="B1414" s="4">
        <v>463000</v>
      </c>
      <c r="C1414" s="4" t="s">
        <v>163</v>
      </c>
      <c r="D1414" s="4" t="s">
        <v>162</v>
      </c>
      <c r="E1414" s="4" t="s">
        <v>17</v>
      </c>
      <c r="F1414" s="4" t="s">
        <v>18</v>
      </c>
      <c r="G1414" s="5">
        <v>0.9</v>
      </c>
      <c r="H1414" s="5">
        <v>0.8</v>
      </c>
      <c r="I1414" s="5">
        <v>0.1166666666666667</v>
      </c>
      <c r="J1414" s="6">
        <v>0.32258064516129031</v>
      </c>
      <c r="K1414" s="6">
        <v>0.93149999999999999</v>
      </c>
      <c r="L1414" s="6">
        <v>0.82633971291866026</v>
      </c>
      <c r="M1414" s="4" t="s">
        <v>168</v>
      </c>
      <c r="N1414" s="4">
        <v>4.3687881170750648E-2</v>
      </c>
      <c r="O1414" s="4">
        <v>0</v>
      </c>
    </row>
    <row r="1415" spans="1:15" x14ac:dyDescent="0.3">
      <c r="A1415" s="4">
        <v>464</v>
      </c>
      <c r="B1415" s="4">
        <v>464000</v>
      </c>
      <c r="C1415" s="4" t="s">
        <v>163</v>
      </c>
      <c r="D1415" s="4" t="s">
        <v>162</v>
      </c>
      <c r="E1415" s="4" t="s">
        <v>17</v>
      </c>
      <c r="F1415" s="4" t="s">
        <v>18</v>
      </c>
      <c r="G1415" s="5">
        <v>0.9</v>
      </c>
      <c r="H1415" s="5">
        <v>0.8</v>
      </c>
      <c r="I1415" s="5">
        <v>0.1166666666666667</v>
      </c>
      <c r="J1415" s="6">
        <v>0.32786885245901642</v>
      </c>
      <c r="K1415" s="6">
        <v>0.93149999999999999</v>
      </c>
      <c r="L1415" s="6">
        <v>0.82329709134838769</v>
      </c>
      <c r="M1415" s="4" t="s">
        <v>193</v>
      </c>
      <c r="N1415" s="4">
        <v>4.8060170021057648E-2</v>
      </c>
      <c r="O1415" s="4">
        <v>0</v>
      </c>
    </row>
    <row r="1416" spans="1:15" x14ac:dyDescent="0.3">
      <c r="A1416" s="4">
        <v>465</v>
      </c>
      <c r="B1416" s="4">
        <v>465000</v>
      </c>
      <c r="C1416" s="4" t="s">
        <v>163</v>
      </c>
      <c r="D1416" s="4" t="s">
        <v>162</v>
      </c>
      <c r="E1416" s="4" t="s">
        <v>17</v>
      </c>
      <c r="F1416" s="4" t="s">
        <v>18</v>
      </c>
      <c r="G1416" s="5">
        <v>0.9</v>
      </c>
      <c r="H1416" s="5">
        <v>0.8</v>
      </c>
      <c r="I1416" s="5">
        <v>0.1166666666666667</v>
      </c>
      <c r="J1416" s="6">
        <v>0.30645161290322581</v>
      </c>
      <c r="K1416" s="6">
        <v>0.92947368421052612</v>
      </c>
      <c r="L1416" s="6">
        <v>0.76464276133416798</v>
      </c>
      <c r="M1416" s="4" t="s">
        <v>193</v>
      </c>
      <c r="N1416" s="4">
        <v>4.78695754232462E-2</v>
      </c>
      <c r="O1416" s="4">
        <v>0</v>
      </c>
    </row>
    <row r="1417" spans="1:15" x14ac:dyDescent="0.3">
      <c r="A1417" s="4">
        <v>466</v>
      </c>
      <c r="B1417" s="4">
        <v>466000</v>
      </c>
      <c r="C1417" s="4" t="s">
        <v>163</v>
      </c>
      <c r="D1417" s="4" t="s">
        <v>162</v>
      </c>
      <c r="E1417" s="4" t="s">
        <v>17</v>
      </c>
      <c r="F1417" s="4" t="s">
        <v>18</v>
      </c>
      <c r="G1417" s="5">
        <v>0.9</v>
      </c>
      <c r="H1417" s="5">
        <v>0.8</v>
      </c>
      <c r="I1417" s="5">
        <v>0.1166666666666667</v>
      </c>
      <c r="J1417" s="6">
        <v>0.30645161290322581</v>
      </c>
      <c r="K1417" s="6">
        <v>0.92999999999999994</v>
      </c>
      <c r="L1417" s="6">
        <v>0.76053385301325782</v>
      </c>
      <c r="M1417" s="4" t="s">
        <v>182</v>
      </c>
      <c r="N1417" s="4">
        <v>5.1994720506439163E-2</v>
      </c>
      <c r="O1417" s="4">
        <v>0</v>
      </c>
    </row>
    <row r="1418" spans="1:15" x14ac:dyDescent="0.3">
      <c r="A1418" s="4">
        <v>467</v>
      </c>
      <c r="B1418" s="4">
        <v>467000</v>
      </c>
      <c r="C1418" s="4" t="s">
        <v>163</v>
      </c>
      <c r="D1418" s="4" t="s">
        <v>162</v>
      </c>
      <c r="E1418" s="4" t="s">
        <v>17</v>
      </c>
      <c r="F1418" s="4" t="s">
        <v>18</v>
      </c>
      <c r="G1418" s="5">
        <v>0.9</v>
      </c>
      <c r="H1418" s="5">
        <v>0.8</v>
      </c>
      <c r="I1418" s="5">
        <v>0.1166666666666667</v>
      </c>
      <c r="J1418" s="6">
        <v>0.30645161290322581</v>
      </c>
      <c r="K1418" s="6">
        <v>0.92999999999999994</v>
      </c>
      <c r="L1418" s="6">
        <v>0.75896890778634063</v>
      </c>
      <c r="M1418" s="4" t="s">
        <v>182</v>
      </c>
      <c r="N1418" s="4">
        <v>5.2045584421627551E-2</v>
      </c>
      <c r="O1418" s="4">
        <v>0</v>
      </c>
    </row>
    <row r="1419" spans="1:15" x14ac:dyDescent="0.3">
      <c r="A1419" s="4">
        <v>468</v>
      </c>
      <c r="B1419" s="4">
        <v>468000</v>
      </c>
      <c r="C1419" s="4" t="s">
        <v>163</v>
      </c>
      <c r="D1419" s="4" t="s">
        <v>162</v>
      </c>
      <c r="E1419" s="4" t="s">
        <v>17</v>
      </c>
      <c r="F1419" s="4" t="s">
        <v>18</v>
      </c>
      <c r="G1419" s="5">
        <v>0.9</v>
      </c>
      <c r="H1419" s="5">
        <v>0.8</v>
      </c>
      <c r="I1419" s="5">
        <v>0.1166666666666667</v>
      </c>
      <c r="J1419" s="6">
        <v>0.30645161290322581</v>
      </c>
      <c r="K1419" s="6">
        <v>0.92999999999999994</v>
      </c>
      <c r="L1419" s="6">
        <v>0.75948121645796063</v>
      </c>
      <c r="M1419" s="4" t="s">
        <v>214</v>
      </c>
      <c r="N1419" s="4">
        <v>5.1374086865174418E-2</v>
      </c>
      <c r="O1419" s="4">
        <v>0</v>
      </c>
    </row>
    <row r="1420" spans="1:15" x14ac:dyDescent="0.3">
      <c r="A1420" s="4">
        <v>469</v>
      </c>
      <c r="B1420" s="4">
        <v>469000</v>
      </c>
      <c r="C1420" s="4" t="s">
        <v>163</v>
      </c>
      <c r="D1420" s="4" t="s">
        <v>162</v>
      </c>
      <c r="E1420" s="4" t="s">
        <v>17</v>
      </c>
      <c r="F1420" s="4" t="s">
        <v>18</v>
      </c>
      <c r="G1420" s="5">
        <v>0.9</v>
      </c>
      <c r="H1420" s="5">
        <v>0.8</v>
      </c>
      <c r="I1420" s="5">
        <v>0.1166666666666667</v>
      </c>
      <c r="J1420" s="6">
        <v>0.30645161290322581</v>
      </c>
      <c r="K1420" s="6">
        <v>0.92947368421052612</v>
      </c>
      <c r="L1420" s="6">
        <v>0.75955241909848059</v>
      </c>
      <c r="M1420" s="4" t="s">
        <v>185</v>
      </c>
      <c r="N1420" s="4">
        <v>6.0329507014090213E-2</v>
      </c>
      <c r="O1420" s="4">
        <v>0</v>
      </c>
    </row>
    <row r="1421" spans="1:15" x14ac:dyDescent="0.3">
      <c r="A1421" s="4">
        <v>470</v>
      </c>
      <c r="B1421" s="4">
        <v>470000</v>
      </c>
      <c r="C1421" s="4" t="s">
        <v>163</v>
      </c>
      <c r="D1421" s="4" t="s">
        <v>162</v>
      </c>
      <c r="E1421" s="4" t="s">
        <v>17</v>
      </c>
      <c r="F1421" s="4" t="s">
        <v>18</v>
      </c>
      <c r="G1421" s="5">
        <v>0.9</v>
      </c>
      <c r="H1421" s="5">
        <v>0.8</v>
      </c>
      <c r="I1421" s="5">
        <v>0.1166666666666667</v>
      </c>
      <c r="J1421" s="6">
        <v>0.32258064516129031</v>
      </c>
      <c r="K1421" s="6">
        <v>0.92799999999999994</v>
      </c>
      <c r="L1421" s="6">
        <v>0.76319758672699844</v>
      </c>
      <c r="M1421" s="4" t="s">
        <v>26</v>
      </c>
      <c r="N1421" s="4">
        <v>6.5732057692716311E-2</v>
      </c>
      <c r="O1421" s="4">
        <v>0</v>
      </c>
    </row>
    <row r="1422" spans="1:15" x14ac:dyDescent="0.3">
      <c r="A1422" s="4">
        <v>471</v>
      </c>
      <c r="B1422" s="4">
        <v>471000</v>
      </c>
      <c r="C1422" s="4" t="s">
        <v>163</v>
      </c>
      <c r="D1422" s="4" t="s">
        <v>162</v>
      </c>
      <c r="E1422" s="4" t="s">
        <v>17</v>
      </c>
      <c r="F1422" s="4" t="s">
        <v>18</v>
      </c>
      <c r="G1422" s="5">
        <v>0.9</v>
      </c>
      <c r="H1422" s="5">
        <v>0.8</v>
      </c>
      <c r="I1422" s="5">
        <v>0.1166666666666667</v>
      </c>
      <c r="J1422" s="6">
        <v>0.32258064516129031</v>
      </c>
      <c r="K1422" s="6">
        <v>0.92699999999999994</v>
      </c>
      <c r="L1422" s="6">
        <v>0.76105442176870752</v>
      </c>
      <c r="M1422" s="4" t="s">
        <v>176</v>
      </c>
      <c r="N1422" s="4">
        <v>7.3786127871299165E-2</v>
      </c>
      <c r="O1422" s="4">
        <v>0</v>
      </c>
    </row>
    <row r="1423" spans="1:15" x14ac:dyDescent="0.3">
      <c r="A1423" s="4">
        <v>472</v>
      </c>
      <c r="B1423" s="4">
        <v>472000</v>
      </c>
      <c r="C1423" s="4" t="s">
        <v>163</v>
      </c>
      <c r="D1423" s="4" t="s">
        <v>162</v>
      </c>
      <c r="E1423" s="4" t="s">
        <v>17</v>
      </c>
      <c r="F1423" s="4" t="s">
        <v>18</v>
      </c>
      <c r="G1423" s="5">
        <v>0.9</v>
      </c>
      <c r="H1423" s="5">
        <v>0.8</v>
      </c>
      <c r="I1423" s="5">
        <v>0.1166666666666667</v>
      </c>
      <c r="J1423" s="6">
        <v>0.31746031746031739</v>
      </c>
      <c r="K1423" s="6">
        <v>0.92849999999999999</v>
      </c>
      <c r="L1423" s="6">
        <v>0.75996761789111511</v>
      </c>
      <c r="M1423" s="4" t="s">
        <v>118</v>
      </c>
      <c r="N1423" s="4">
        <v>8.7434771522065621E-2</v>
      </c>
      <c r="O1423" s="4">
        <v>0</v>
      </c>
    </row>
    <row r="1424" spans="1:15" x14ac:dyDescent="0.3">
      <c r="A1424" s="4">
        <v>473</v>
      </c>
      <c r="B1424" s="4">
        <v>473000</v>
      </c>
      <c r="C1424" s="4" t="s">
        <v>163</v>
      </c>
      <c r="D1424" s="4" t="s">
        <v>162</v>
      </c>
      <c r="E1424" s="4" t="s">
        <v>17</v>
      </c>
      <c r="F1424" s="4" t="s">
        <v>18</v>
      </c>
      <c r="G1424" s="5">
        <v>0.9</v>
      </c>
      <c r="H1424" s="5">
        <v>0.8</v>
      </c>
      <c r="I1424" s="5">
        <v>0.1166666666666667</v>
      </c>
      <c r="J1424" s="6">
        <v>0.31746031746031739</v>
      </c>
      <c r="K1424" s="6">
        <v>0.92949999999999999</v>
      </c>
      <c r="L1424" s="6">
        <v>0.76227656227656226</v>
      </c>
      <c r="M1424" s="4" t="s">
        <v>160</v>
      </c>
      <c r="N1424" s="4">
        <v>0.1000605817388838</v>
      </c>
      <c r="O1424" s="4">
        <v>0</v>
      </c>
    </row>
    <row r="1425" spans="1:15" x14ac:dyDescent="0.3">
      <c r="A1425" s="4">
        <v>474</v>
      </c>
      <c r="B1425" s="4">
        <v>474000</v>
      </c>
      <c r="C1425" s="4" t="s">
        <v>163</v>
      </c>
      <c r="D1425" s="4" t="s">
        <v>162</v>
      </c>
      <c r="E1425" s="4" t="s">
        <v>17</v>
      </c>
      <c r="F1425" s="4" t="s">
        <v>18</v>
      </c>
      <c r="G1425" s="5">
        <v>0.9</v>
      </c>
      <c r="H1425" s="5">
        <v>0.8</v>
      </c>
      <c r="I1425" s="5">
        <v>0.1166666666666667</v>
      </c>
      <c r="J1425" s="6">
        <v>0.33333333333333331</v>
      </c>
      <c r="K1425" s="6">
        <v>0.9319047619047619</v>
      </c>
      <c r="L1425" s="6">
        <v>0.81929816988950277</v>
      </c>
      <c r="M1425" s="4" t="s">
        <v>63</v>
      </c>
      <c r="N1425" s="4">
        <v>0.11127444825055841</v>
      </c>
      <c r="O1425" s="4">
        <v>0</v>
      </c>
    </row>
    <row r="1426" spans="1:15" x14ac:dyDescent="0.3">
      <c r="A1426" s="4">
        <v>475</v>
      </c>
      <c r="B1426" s="4">
        <v>475000</v>
      </c>
      <c r="C1426" s="4" t="s">
        <v>163</v>
      </c>
      <c r="D1426" s="4" t="s">
        <v>162</v>
      </c>
      <c r="E1426" s="4" t="s">
        <v>17</v>
      </c>
      <c r="F1426" s="4" t="s">
        <v>18</v>
      </c>
      <c r="G1426" s="5">
        <v>0.9</v>
      </c>
      <c r="H1426" s="5">
        <v>0.8</v>
      </c>
      <c r="I1426" s="5">
        <v>0.1166666666666667</v>
      </c>
      <c r="J1426" s="6">
        <v>0.328125</v>
      </c>
      <c r="K1426" s="6">
        <v>0.93238095238095242</v>
      </c>
      <c r="L1426" s="6">
        <v>0.81824601951720599</v>
      </c>
      <c r="M1426" s="4" t="s">
        <v>29</v>
      </c>
      <c r="N1426" s="4">
        <v>0.12074718276390629</v>
      </c>
      <c r="O1426" s="4">
        <v>0</v>
      </c>
    </row>
  </sheetData>
  <autoFilter ref="A1:O1" xr:uid="{00000000-0001-0000-01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26"/>
  <sheetViews>
    <sheetView workbookViewId="0">
      <selection activeCell="C5" sqref="C5"/>
    </sheetView>
  </sheetViews>
  <sheetFormatPr defaultRowHeight="12" x14ac:dyDescent="0.3"/>
  <cols>
    <col min="1" max="1" width="11.21875" style="4" bestFit="1" customWidth="1"/>
    <col min="2" max="2" width="12.77734375" style="4" bestFit="1" customWidth="1"/>
    <col min="3" max="3" width="9.33203125" style="4" bestFit="1" customWidth="1"/>
    <col min="4" max="4" width="10.77734375" style="4" bestFit="1" customWidth="1"/>
    <col min="5" max="5" width="8.5546875" style="4" bestFit="1" customWidth="1"/>
    <col min="6" max="6" width="8.21875" style="4" bestFit="1" customWidth="1"/>
    <col min="7" max="7" width="16.109375" style="5" bestFit="1" customWidth="1"/>
    <col min="8" max="8" width="16.6640625" style="5" bestFit="1" customWidth="1"/>
    <col min="9" max="9" width="21.88671875" style="5" bestFit="1" customWidth="1"/>
    <col min="10" max="10" width="14.21875" style="6" bestFit="1" customWidth="1"/>
    <col min="11" max="12" width="16.21875" style="6" bestFit="1" customWidth="1"/>
    <col min="13" max="13" width="14.88671875" style="4" bestFit="1" customWidth="1"/>
    <col min="14" max="14" width="16.33203125" style="5" bestFit="1" customWidth="1"/>
    <col min="15" max="15" width="11.5546875" style="4" bestFit="1" customWidth="1"/>
    <col min="16" max="16384" width="8.88671875" style="4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2" t="s">
        <v>13</v>
      </c>
      <c r="O1" s="1" t="s">
        <v>14</v>
      </c>
    </row>
    <row r="2" spans="1:15" x14ac:dyDescent="0.3">
      <c r="A2" s="4">
        <v>1</v>
      </c>
      <c r="B2" s="4">
        <v>1000</v>
      </c>
      <c r="C2" s="4" t="s">
        <v>15</v>
      </c>
      <c r="D2" s="4" t="s">
        <v>16</v>
      </c>
      <c r="E2" s="4" t="s">
        <v>17</v>
      </c>
      <c r="F2" s="4" t="s">
        <v>18</v>
      </c>
      <c r="G2" s="5">
        <v>0.1</v>
      </c>
      <c r="H2" s="5">
        <v>0.4</v>
      </c>
      <c r="I2" s="5">
        <v>0.05</v>
      </c>
      <c r="J2" s="6">
        <v>0.7931034482758621</v>
      </c>
      <c r="K2" s="6">
        <v>0.77260869565217394</v>
      </c>
      <c r="L2" s="6">
        <v>0.57312460535318999</v>
      </c>
      <c r="M2" s="4" t="s">
        <v>19</v>
      </c>
      <c r="N2" s="5">
        <v>1</v>
      </c>
      <c r="O2" s="4">
        <v>1</v>
      </c>
    </row>
    <row r="3" spans="1:15" x14ac:dyDescent="0.3">
      <c r="A3" s="4">
        <v>1</v>
      </c>
      <c r="B3" s="4">
        <v>1000</v>
      </c>
      <c r="C3" s="4" t="s">
        <v>15</v>
      </c>
      <c r="D3" s="4" t="s">
        <v>161</v>
      </c>
      <c r="E3" s="4" t="s">
        <v>17</v>
      </c>
      <c r="F3" s="4" t="s">
        <v>18</v>
      </c>
      <c r="G3" s="5">
        <v>0.1</v>
      </c>
      <c r="H3" s="5">
        <v>0.4</v>
      </c>
      <c r="I3" s="5">
        <v>0.18333333333333329</v>
      </c>
      <c r="J3" s="6">
        <v>0.68965517241379315</v>
      </c>
      <c r="K3" s="6">
        <v>0.76800000000000002</v>
      </c>
      <c r="L3" s="6">
        <v>0.62648630485914658</v>
      </c>
      <c r="M3" s="4" t="s">
        <v>19</v>
      </c>
      <c r="N3" s="5">
        <v>1</v>
      </c>
      <c r="O3" s="4">
        <v>1</v>
      </c>
    </row>
    <row r="4" spans="1:15" x14ac:dyDescent="0.3">
      <c r="A4" s="4">
        <v>1</v>
      </c>
      <c r="B4" s="4">
        <v>1000</v>
      </c>
      <c r="C4" s="4" t="s">
        <v>15</v>
      </c>
      <c r="D4" s="4" t="s">
        <v>162</v>
      </c>
      <c r="E4" s="4" t="s">
        <v>17</v>
      </c>
      <c r="F4" s="4" t="s">
        <v>18</v>
      </c>
      <c r="G4" s="5">
        <v>0.9</v>
      </c>
      <c r="H4" s="5">
        <v>0.4</v>
      </c>
      <c r="I4" s="5">
        <v>0.05</v>
      </c>
      <c r="J4" s="6">
        <v>0.41379310344827591</v>
      </c>
      <c r="K4" s="6">
        <v>0.89333333333333342</v>
      </c>
      <c r="L4" s="6">
        <v>0.45520767558864977</v>
      </c>
      <c r="M4" s="4" t="s">
        <v>19</v>
      </c>
      <c r="N4" s="5">
        <v>1</v>
      </c>
      <c r="O4" s="4">
        <v>1</v>
      </c>
    </row>
    <row r="5" spans="1:15" x14ac:dyDescent="0.3">
      <c r="A5" s="4">
        <v>2</v>
      </c>
      <c r="B5" s="4">
        <v>2000</v>
      </c>
      <c r="C5" s="4" t="s">
        <v>15</v>
      </c>
      <c r="D5" s="4" t="s">
        <v>16</v>
      </c>
      <c r="E5" s="4" t="s">
        <v>17</v>
      </c>
      <c r="F5" s="4" t="s">
        <v>18</v>
      </c>
      <c r="G5" s="5">
        <v>0.1</v>
      </c>
      <c r="H5" s="5">
        <v>0.4</v>
      </c>
      <c r="I5" s="5">
        <v>0.05</v>
      </c>
      <c r="J5" s="6">
        <v>0.83333333333333337</v>
      </c>
      <c r="K5" s="6">
        <v>0.76159999999999994</v>
      </c>
      <c r="L5" s="6">
        <v>0.67894669972726285</v>
      </c>
      <c r="M5" s="4" t="s">
        <v>20</v>
      </c>
      <c r="N5" s="5">
        <v>7.5834592469833206E-2</v>
      </c>
      <c r="O5" s="4">
        <v>0</v>
      </c>
    </row>
    <row r="6" spans="1:15" x14ac:dyDescent="0.3">
      <c r="A6" s="4">
        <v>2</v>
      </c>
      <c r="B6" s="4">
        <v>2000</v>
      </c>
      <c r="C6" s="4" t="s">
        <v>15</v>
      </c>
      <c r="D6" s="4" t="s">
        <v>161</v>
      </c>
      <c r="E6" s="4" t="s">
        <v>17</v>
      </c>
      <c r="F6" s="4" t="s">
        <v>18</v>
      </c>
      <c r="G6" s="5">
        <v>0.1</v>
      </c>
      <c r="H6" s="5">
        <v>0.4</v>
      </c>
      <c r="I6" s="5">
        <v>0.18333333333333329</v>
      </c>
      <c r="J6" s="6">
        <v>0.76666666666666672</v>
      </c>
      <c r="K6" s="6">
        <v>0.75652173913043486</v>
      </c>
      <c r="L6" s="6">
        <v>0.61966780000860411</v>
      </c>
      <c r="M6" s="4" t="s">
        <v>20</v>
      </c>
      <c r="N6" s="5">
        <v>7.5834592469833206E-2</v>
      </c>
      <c r="O6" s="4">
        <v>0</v>
      </c>
    </row>
    <row r="7" spans="1:15" x14ac:dyDescent="0.3">
      <c r="A7" s="4">
        <v>2</v>
      </c>
      <c r="B7" s="4">
        <v>2000</v>
      </c>
      <c r="C7" s="4" t="s">
        <v>15</v>
      </c>
      <c r="D7" s="4" t="s">
        <v>162</v>
      </c>
      <c r="E7" s="4" t="s">
        <v>17</v>
      </c>
      <c r="F7" s="4" t="s">
        <v>18</v>
      </c>
      <c r="G7" s="5">
        <v>0.9</v>
      </c>
      <c r="H7" s="5">
        <v>0.4</v>
      </c>
      <c r="I7" s="5">
        <v>0.05</v>
      </c>
      <c r="J7" s="6">
        <v>0.43333333333333329</v>
      </c>
      <c r="K7" s="6">
        <v>0.90384615384615397</v>
      </c>
      <c r="L7" s="6">
        <v>0.46133314903681599</v>
      </c>
      <c r="M7" s="4" t="s">
        <v>20</v>
      </c>
      <c r="N7" s="5">
        <v>7.5834592469833206E-2</v>
      </c>
      <c r="O7" s="4">
        <v>0</v>
      </c>
    </row>
    <row r="8" spans="1:15" x14ac:dyDescent="0.3">
      <c r="A8" s="4">
        <v>3</v>
      </c>
      <c r="B8" s="4">
        <v>3000</v>
      </c>
      <c r="C8" s="4" t="s">
        <v>15</v>
      </c>
      <c r="D8" s="4" t="s">
        <v>16</v>
      </c>
      <c r="E8" s="4" t="s">
        <v>17</v>
      </c>
      <c r="F8" s="4" t="s">
        <v>18</v>
      </c>
      <c r="G8" s="5">
        <v>0.1</v>
      </c>
      <c r="H8" s="5">
        <v>0.4</v>
      </c>
      <c r="I8" s="5">
        <v>0.05</v>
      </c>
      <c r="J8" s="6">
        <v>0.78787878787878785</v>
      </c>
      <c r="K8" s="6">
        <v>0.81384615384615389</v>
      </c>
      <c r="L8" s="6">
        <v>0.64449281630980171</v>
      </c>
      <c r="M8" s="4" t="s">
        <v>19</v>
      </c>
      <c r="N8" s="5">
        <v>1</v>
      </c>
      <c r="O8" s="4">
        <v>1</v>
      </c>
    </row>
    <row r="9" spans="1:15" x14ac:dyDescent="0.3">
      <c r="A9" s="4">
        <v>3</v>
      </c>
      <c r="B9" s="4">
        <v>3000</v>
      </c>
      <c r="C9" s="4" t="s">
        <v>15</v>
      </c>
      <c r="D9" s="4" t="s">
        <v>161</v>
      </c>
      <c r="E9" s="4" t="s">
        <v>17</v>
      </c>
      <c r="F9" s="4" t="s">
        <v>18</v>
      </c>
      <c r="G9" s="5">
        <v>0.54444444444444451</v>
      </c>
      <c r="H9" s="5">
        <v>0.4</v>
      </c>
      <c r="I9" s="5">
        <v>0.05</v>
      </c>
      <c r="J9" s="6">
        <v>0.72727272727272729</v>
      </c>
      <c r="K9" s="6">
        <v>0.84000000000000019</v>
      </c>
      <c r="L9" s="6">
        <v>0.67339137957176209</v>
      </c>
      <c r="M9" s="4" t="s">
        <v>19</v>
      </c>
      <c r="N9" s="5">
        <v>1</v>
      </c>
      <c r="O9" s="4">
        <v>1</v>
      </c>
    </row>
    <row r="10" spans="1:15" x14ac:dyDescent="0.3">
      <c r="A10" s="4">
        <v>3</v>
      </c>
      <c r="B10" s="4">
        <v>3000</v>
      </c>
      <c r="C10" s="4" t="s">
        <v>15</v>
      </c>
      <c r="D10" s="4" t="s">
        <v>162</v>
      </c>
      <c r="E10" s="4" t="s">
        <v>17</v>
      </c>
      <c r="F10" s="4" t="s">
        <v>18</v>
      </c>
      <c r="G10" s="5">
        <v>0.9</v>
      </c>
      <c r="H10" s="5">
        <v>0.4</v>
      </c>
      <c r="I10" s="5">
        <v>0.05</v>
      </c>
      <c r="J10" s="6">
        <v>0.39393939393939392</v>
      </c>
      <c r="K10" s="6">
        <v>0.91461538461538461</v>
      </c>
      <c r="L10" s="6">
        <v>0.47509674373071459</v>
      </c>
      <c r="M10" s="4" t="s">
        <v>19</v>
      </c>
      <c r="N10" s="5">
        <v>1</v>
      </c>
      <c r="O10" s="4">
        <v>1</v>
      </c>
    </row>
    <row r="11" spans="1:15" x14ac:dyDescent="0.3">
      <c r="A11" s="4">
        <v>4</v>
      </c>
      <c r="B11" s="4">
        <v>4000</v>
      </c>
      <c r="C11" s="4" t="s">
        <v>15</v>
      </c>
      <c r="D11" s="4" t="s">
        <v>16</v>
      </c>
      <c r="E11" s="4" t="s">
        <v>17</v>
      </c>
      <c r="F11" s="4" t="s">
        <v>18</v>
      </c>
      <c r="G11" s="5">
        <v>0.1</v>
      </c>
      <c r="H11" s="5">
        <v>0.4</v>
      </c>
      <c r="I11" s="5">
        <v>0.05</v>
      </c>
      <c r="J11" s="6">
        <v>0.74358974358974361</v>
      </c>
      <c r="K11" s="6">
        <v>0.79620689655172416</v>
      </c>
      <c r="L11" s="6">
        <v>0.75632295059425425</v>
      </c>
      <c r="M11" s="4" t="s">
        <v>19</v>
      </c>
      <c r="N11" s="5">
        <v>1</v>
      </c>
      <c r="O11" s="4">
        <v>1</v>
      </c>
    </row>
    <row r="12" spans="1:15" x14ac:dyDescent="0.3">
      <c r="A12" s="4">
        <v>4</v>
      </c>
      <c r="B12" s="4">
        <v>4000</v>
      </c>
      <c r="C12" s="4" t="s">
        <v>15</v>
      </c>
      <c r="D12" s="4" t="s">
        <v>161</v>
      </c>
      <c r="E12" s="4" t="s">
        <v>17</v>
      </c>
      <c r="F12" s="4" t="s">
        <v>18</v>
      </c>
      <c r="G12" s="5">
        <v>0.1</v>
      </c>
      <c r="H12" s="5">
        <v>0.4</v>
      </c>
      <c r="I12" s="5">
        <v>0.05</v>
      </c>
      <c r="J12" s="6">
        <v>0.74358974358974361</v>
      </c>
      <c r="K12" s="6">
        <v>0.79620689655172416</v>
      </c>
      <c r="L12" s="6">
        <v>0.75632295059425425</v>
      </c>
      <c r="M12" s="4" t="s">
        <v>19</v>
      </c>
      <c r="N12" s="5">
        <v>1</v>
      </c>
      <c r="O12" s="4">
        <v>1</v>
      </c>
    </row>
    <row r="13" spans="1:15" x14ac:dyDescent="0.3">
      <c r="A13" s="4">
        <v>4</v>
      </c>
      <c r="B13" s="4">
        <v>4000</v>
      </c>
      <c r="C13" s="4" t="s">
        <v>15</v>
      </c>
      <c r="D13" s="4" t="s">
        <v>162</v>
      </c>
      <c r="E13" s="4" t="s">
        <v>17</v>
      </c>
      <c r="F13" s="4" t="s">
        <v>18</v>
      </c>
      <c r="G13" s="5">
        <v>0.9</v>
      </c>
      <c r="H13" s="5">
        <v>0.4</v>
      </c>
      <c r="I13" s="5">
        <v>0.05</v>
      </c>
      <c r="J13" s="6">
        <v>0.33333333333333331</v>
      </c>
      <c r="K13" s="6">
        <v>0.91384615384615386</v>
      </c>
      <c r="L13" s="6">
        <v>0.49388268051572243</v>
      </c>
      <c r="M13" s="4" t="s">
        <v>19</v>
      </c>
      <c r="N13" s="5">
        <v>1</v>
      </c>
      <c r="O13" s="4">
        <v>1</v>
      </c>
    </row>
    <row r="14" spans="1:15" x14ac:dyDescent="0.3">
      <c r="A14" s="4">
        <v>5</v>
      </c>
      <c r="B14" s="4">
        <v>5000</v>
      </c>
      <c r="C14" s="4" t="s">
        <v>15</v>
      </c>
      <c r="D14" s="4" t="s">
        <v>16</v>
      </c>
      <c r="E14" s="4" t="s">
        <v>17</v>
      </c>
      <c r="F14" s="4" t="s">
        <v>18</v>
      </c>
      <c r="G14" s="5">
        <v>0.1</v>
      </c>
      <c r="H14" s="5">
        <v>0.4</v>
      </c>
      <c r="I14" s="5">
        <v>0.05</v>
      </c>
      <c r="J14" s="6">
        <v>0.78</v>
      </c>
      <c r="K14" s="6">
        <v>0.74589743589743585</v>
      </c>
      <c r="L14" s="6">
        <v>0.80528545580479616</v>
      </c>
      <c r="M14" s="4" t="s">
        <v>19</v>
      </c>
      <c r="N14" s="5">
        <v>1</v>
      </c>
      <c r="O14" s="4">
        <v>1</v>
      </c>
    </row>
    <row r="15" spans="1:15" x14ac:dyDescent="0.3">
      <c r="A15" s="4">
        <v>5</v>
      </c>
      <c r="B15" s="4">
        <v>5000</v>
      </c>
      <c r="C15" s="4" t="s">
        <v>15</v>
      </c>
      <c r="D15" s="4" t="s">
        <v>161</v>
      </c>
      <c r="E15" s="4" t="s">
        <v>17</v>
      </c>
      <c r="F15" s="4" t="s">
        <v>18</v>
      </c>
      <c r="G15" s="5">
        <v>0.4555555555555556</v>
      </c>
      <c r="H15" s="5">
        <v>0.4</v>
      </c>
      <c r="I15" s="5">
        <v>0.05</v>
      </c>
      <c r="J15" s="6">
        <v>0.74</v>
      </c>
      <c r="K15" s="6">
        <v>0.76756756756756761</v>
      </c>
      <c r="L15" s="6">
        <v>0.83007178059112108</v>
      </c>
      <c r="M15" s="4" t="s">
        <v>19</v>
      </c>
      <c r="N15" s="5">
        <v>1</v>
      </c>
      <c r="O15" s="4">
        <v>1</v>
      </c>
    </row>
    <row r="16" spans="1:15" x14ac:dyDescent="0.3">
      <c r="A16" s="4">
        <v>5</v>
      </c>
      <c r="B16" s="4">
        <v>5000</v>
      </c>
      <c r="C16" s="4" t="s">
        <v>15</v>
      </c>
      <c r="D16" s="4" t="s">
        <v>162</v>
      </c>
      <c r="E16" s="4" t="s">
        <v>17</v>
      </c>
      <c r="F16" s="4" t="s">
        <v>18</v>
      </c>
      <c r="G16" s="5">
        <v>0.9</v>
      </c>
      <c r="H16" s="5">
        <v>0.4</v>
      </c>
      <c r="I16" s="5">
        <v>0.05</v>
      </c>
      <c r="J16" s="6">
        <v>0.26</v>
      </c>
      <c r="K16" s="6">
        <v>0.91153846153846163</v>
      </c>
      <c r="L16" s="6">
        <v>0.48908214878429779</v>
      </c>
      <c r="M16" s="4" t="s">
        <v>19</v>
      </c>
      <c r="N16" s="5">
        <v>1</v>
      </c>
      <c r="O16" s="4">
        <v>1</v>
      </c>
    </row>
    <row r="17" spans="1:15" x14ac:dyDescent="0.3">
      <c r="A17" s="4">
        <v>6</v>
      </c>
      <c r="B17" s="4">
        <v>6000</v>
      </c>
      <c r="C17" s="4" t="s">
        <v>15</v>
      </c>
      <c r="D17" s="4" t="s">
        <v>16</v>
      </c>
      <c r="E17" s="4" t="s">
        <v>17</v>
      </c>
      <c r="F17" s="4" t="s">
        <v>18</v>
      </c>
      <c r="G17" s="5">
        <v>0.1</v>
      </c>
      <c r="H17" s="5">
        <v>0.4</v>
      </c>
      <c r="I17" s="5">
        <v>0.05</v>
      </c>
      <c r="J17" s="6">
        <v>0.76363636363636367</v>
      </c>
      <c r="K17" s="6">
        <v>0.76642857142857135</v>
      </c>
      <c r="L17" s="6">
        <v>0.79701591853759812</v>
      </c>
      <c r="M17" s="4" t="s">
        <v>21</v>
      </c>
      <c r="N17" s="5">
        <v>8.386645630693576E-2</v>
      </c>
      <c r="O17" s="4">
        <v>0</v>
      </c>
    </row>
    <row r="18" spans="1:15" x14ac:dyDescent="0.3">
      <c r="A18" s="4">
        <v>6</v>
      </c>
      <c r="B18" s="4">
        <v>6000</v>
      </c>
      <c r="C18" s="4" t="s">
        <v>15</v>
      </c>
      <c r="D18" s="4" t="s">
        <v>161</v>
      </c>
      <c r="E18" s="4" t="s">
        <v>17</v>
      </c>
      <c r="F18" s="4" t="s">
        <v>18</v>
      </c>
      <c r="G18" s="5">
        <v>0.4555555555555556</v>
      </c>
      <c r="H18" s="5">
        <v>0.4</v>
      </c>
      <c r="I18" s="5">
        <v>0.05</v>
      </c>
      <c r="J18" s="6">
        <v>0.74545454545454548</v>
      </c>
      <c r="K18" s="6">
        <v>0.77902439024390224</v>
      </c>
      <c r="L18" s="6">
        <v>0.79701591853759812</v>
      </c>
      <c r="M18" s="4" t="s">
        <v>21</v>
      </c>
      <c r="N18" s="5">
        <v>8.386645630693576E-2</v>
      </c>
      <c r="O18" s="4">
        <v>0</v>
      </c>
    </row>
    <row r="19" spans="1:15" x14ac:dyDescent="0.3">
      <c r="A19" s="4">
        <v>6</v>
      </c>
      <c r="B19" s="4">
        <v>6000</v>
      </c>
      <c r="C19" s="4" t="s">
        <v>15</v>
      </c>
      <c r="D19" s="4" t="s">
        <v>162</v>
      </c>
      <c r="E19" s="4" t="s">
        <v>17</v>
      </c>
      <c r="F19" s="4" t="s">
        <v>18</v>
      </c>
      <c r="G19" s="5">
        <v>0.9</v>
      </c>
      <c r="H19" s="5">
        <v>0.4</v>
      </c>
      <c r="I19" s="5">
        <v>0.05</v>
      </c>
      <c r="J19" s="6">
        <v>0.29090909090909089</v>
      </c>
      <c r="K19" s="6">
        <v>0.91062500000000013</v>
      </c>
      <c r="L19" s="6">
        <v>0.48687579158996119</v>
      </c>
      <c r="M19" s="4" t="s">
        <v>21</v>
      </c>
      <c r="N19" s="5">
        <v>8.386645630693576E-2</v>
      </c>
      <c r="O19" s="4">
        <v>0</v>
      </c>
    </row>
    <row r="20" spans="1:15" x14ac:dyDescent="0.3">
      <c r="A20" s="4">
        <v>7</v>
      </c>
      <c r="B20" s="4">
        <v>7000</v>
      </c>
      <c r="C20" s="4" t="s">
        <v>15</v>
      </c>
      <c r="D20" s="4" t="s">
        <v>16</v>
      </c>
      <c r="E20" s="4" t="s">
        <v>17</v>
      </c>
      <c r="F20" s="4" t="s">
        <v>18</v>
      </c>
      <c r="G20" s="5">
        <v>0.1</v>
      </c>
      <c r="H20" s="5">
        <v>0.4</v>
      </c>
      <c r="I20" s="5">
        <v>0.05</v>
      </c>
      <c r="J20" s="6">
        <v>0.73770491803278693</v>
      </c>
      <c r="K20" s="6">
        <v>0.76711111111111119</v>
      </c>
      <c r="L20" s="6">
        <v>0.75121536722273541</v>
      </c>
      <c r="M20" s="4" t="s">
        <v>19</v>
      </c>
      <c r="N20" s="5">
        <v>1</v>
      </c>
      <c r="O20" s="4">
        <v>1</v>
      </c>
    </row>
    <row r="21" spans="1:15" x14ac:dyDescent="0.3">
      <c r="A21" s="4">
        <v>7</v>
      </c>
      <c r="B21" s="4">
        <v>7000</v>
      </c>
      <c r="C21" s="4" t="s">
        <v>15</v>
      </c>
      <c r="D21" s="4" t="s">
        <v>161</v>
      </c>
      <c r="E21" s="4" t="s">
        <v>17</v>
      </c>
      <c r="F21" s="4" t="s">
        <v>18</v>
      </c>
      <c r="G21" s="5">
        <v>0.1</v>
      </c>
      <c r="H21" s="5">
        <v>0.60000000000000009</v>
      </c>
      <c r="I21" s="5">
        <v>0.05</v>
      </c>
      <c r="J21" s="6">
        <v>0.70491803278688525</v>
      </c>
      <c r="K21" s="6">
        <v>0.80279069767441869</v>
      </c>
      <c r="L21" s="6">
        <v>0.79961604062340885</v>
      </c>
      <c r="M21" s="4" t="s">
        <v>19</v>
      </c>
      <c r="N21" s="5">
        <v>1</v>
      </c>
      <c r="O21" s="4">
        <v>1</v>
      </c>
    </row>
    <row r="22" spans="1:15" x14ac:dyDescent="0.3">
      <c r="A22" s="4">
        <v>7</v>
      </c>
      <c r="B22" s="4">
        <v>7000</v>
      </c>
      <c r="C22" s="4" t="s">
        <v>15</v>
      </c>
      <c r="D22" s="4" t="s">
        <v>162</v>
      </c>
      <c r="E22" s="4" t="s">
        <v>17</v>
      </c>
      <c r="F22" s="4" t="s">
        <v>18</v>
      </c>
      <c r="G22" s="5">
        <v>0.9</v>
      </c>
      <c r="H22" s="5">
        <v>0.60000000000000009</v>
      </c>
      <c r="I22" s="5">
        <v>0.05</v>
      </c>
      <c r="J22" s="6">
        <v>0.34426229508196721</v>
      </c>
      <c r="K22" s="6">
        <v>0.916190476190476</v>
      </c>
      <c r="L22" s="6">
        <v>0.59365905432229193</v>
      </c>
      <c r="M22" s="4" t="s">
        <v>19</v>
      </c>
      <c r="N22" s="5">
        <v>1</v>
      </c>
      <c r="O22" s="4">
        <v>1</v>
      </c>
    </row>
    <row r="23" spans="1:15" x14ac:dyDescent="0.3">
      <c r="A23" s="4">
        <v>8</v>
      </c>
      <c r="B23" s="4">
        <v>8000</v>
      </c>
      <c r="C23" s="4" t="s">
        <v>15</v>
      </c>
      <c r="D23" s="4" t="s">
        <v>16</v>
      </c>
      <c r="E23" s="4" t="s">
        <v>17</v>
      </c>
      <c r="F23" s="4" t="s">
        <v>18</v>
      </c>
      <c r="G23" s="5">
        <v>0.1</v>
      </c>
      <c r="H23" s="5">
        <v>0.4</v>
      </c>
      <c r="I23" s="5">
        <v>0.05</v>
      </c>
      <c r="J23" s="6">
        <v>0.78947368421052633</v>
      </c>
      <c r="K23" s="6">
        <v>0.78155555555555556</v>
      </c>
      <c r="L23" s="6">
        <v>0.70023615215432866</v>
      </c>
      <c r="M23" s="4" t="s">
        <v>22</v>
      </c>
      <c r="N23" s="5">
        <v>9.375886436411171E-2</v>
      </c>
      <c r="O23" s="4">
        <v>0</v>
      </c>
    </row>
    <row r="24" spans="1:15" x14ac:dyDescent="0.3">
      <c r="A24" s="4">
        <v>8</v>
      </c>
      <c r="B24" s="4">
        <v>8000</v>
      </c>
      <c r="C24" s="4" t="s">
        <v>15</v>
      </c>
      <c r="D24" s="4" t="s">
        <v>161</v>
      </c>
      <c r="E24" s="4" t="s">
        <v>17</v>
      </c>
      <c r="F24" s="4" t="s">
        <v>18</v>
      </c>
      <c r="G24" s="5">
        <v>0.1</v>
      </c>
      <c r="H24" s="5">
        <v>0.60000000000000009</v>
      </c>
      <c r="I24" s="5">
        <v>0.05</v>
      </c>
      <c r="J24" s="6">
        <v>0.78947368421052633</v>
      </c>
      <c r="K24" s="6">
        <v>0.78155555555555556</v>
      </c>
      <c r="L24" s="6">
        <v>0.70023615215432866</v>
      </c>
      <c r="M24" s="4" t="s">
        <v>22</v>
      </c>
      <c r="N24" s="5">
        <v>9.375886436411171E-2</v>
      </c>
      <c r="O24" s="4">
        <v>0</v>
      </c>
    </row>
    <row r="25" spans="1:15" x14ac:dyDescent="0.3">
      <c r="A25" s="4">
        <v>8</v>
      </c>
      <c r="B25" s="4">
        <v>8000</v>
      </c>
      <c r="C25" s="4" t="s">
        <v>15</v>
      </c>
      <c r="D25" s="4" t="s">
        <v>162</v>
      </c>
      <c r="E25" s="4" t="s">
        <v>17</v>
      </c>
      <c r="F25" s="4" t="s">
        <v>18</v>
      </c>
      <c r="G25" s="5">
        <v>0.9</v>
      </c>
      <c r="H25" s="5">
        <v>0.60000000000000009</v>
      </c>
      <c r="I25" s="5">
        <v>0.05</v>
      </c>
      <c r="J25" s="6">
        <v>0.42105263157894729</v>
      </c>
      <c r="K25" s="6">
        <v>0.80833333333333324</v>
      </c>
      <c r="L25" s="6">
        <v>0.53907487242618324</v>
      </c>
      <c r="M25" s="4" t="s">
        <v>22</v>
      </c>
      <c r="N25" s="5">
        <v>9.375886436411171E-2</v>
      </c>
      <c r="O25" s="4">
        <v>0</v>
      </c>
    </row>
    <row r="26" spans="1:15" x14ac:dyDescent="0.3">
      <c r="A26" s="4">
        <v>9</v>
      </c>
      <c r="B26" s="4">
        <v>9000</v>
      </c>
      <c r="C26" s="4" t="s">
        <v>15</v>
      </c>
      <c r="D26" s="4" t="s">
        <v>16</v>
      </c>
      <c r="E26" s="4" t="s">
        <v>17</v>
      </c>
      <c r="F26" s="4" t="s">
        <v>18</v>
      </c>
      <c r="G26" s="5">
        <v>0.1</v>
      </c>
      <c r="H26" s="5">
        <v>0.4</v>
      </c>
      <c r="I26" s="5">
        <v>0.05</v>
      </c>
      <c r="J26" s="6">
        <v>0.8035714285714286</v>
      </c>
      <c r="K26" s="6">
        <v>0.803111111111111</v>
      </c>
      <c r="L26" s="6">
        <v>0.74174404429079377</v>
      </c>
      <c r="M26" s="4" t="s">
        <v>23</v>
      </c>
      <c r="N26" s="5">
        <v>0.17484675524944629</v>
      </c>
      <c r="O26" s="4">
        <v>1</v>
      </c>
    </row>
    <row r="27" spans="1:15" x14ac:dyDescent="0.3">
      <c r="A27" s="4">
        <v>9</v>
      </c>
      <c r="B27" s="4">
        <v>9000</v>
      </c>
      <c r="C27" s="4" t="s">
        <v>15</v>
      </c>
      <c r="D27" s="4" t="s">
        <v>161</v>
      </c>
      <c r="E27" s="4" t="s">
        <v>17</v>
      </c>
      <c r="F27" s="4" t="s">
        <v>18</v>
      </c>
      <c r="G27" s="5">
        <v>0.1</v>
      </c>
      <c r="H27" s="5">
        <v>0.8</v>
      </c>
      <c r="I27" s="5">
        <v>0.05</v>
      </c>
      <c r="J27" s="6">
        <v>0.7857142857142857</v>
      </c>
      <c r="K27" s="6">
        <v>0.82136363636363618</v>
      </c>
      <c r="L27" s="6">
        <v>0.76026256280931237</v>
      </c>
      <c r="M27" s="4" t="s">
        <v>23</v>
      </c>
      <c r="N27" s="5">
        <v>0.17484675524944629</v>
      </c>
      <c r="O27" s="4">
        <v>1</v>
      </c>
    </row>
    <row r="28" spans="1:15" x14ac:dyDescent="0.3">
      <c r="A28" s="4">
        <v>9</v>
      </c>
      <c r="B28" s="4">
        <v>9000</v>
      </c>
      <c r="C28" s="4" t="s">
        <v>15</v>
      </c>
      <c r="D28" s="4" t="s">
        <v>162</v>
      </c>
      <c r="E28" s="4" t="s">
        <v>17</v>
      </c>
      <c r="F28" s="4" t="s">
        <v>18</v>
      </c>
      <c r="G28" s="5">
        <v>0.9</v>
      </c>
      <c r="H28" s="5">
        <v>0.8</v>
      </c>
      <c r="I28" s="5">
        <v>0.05</v>
      </c>
      <c r="J28" s="6">
        <v>0.4642857142857143</v>
      </c>
      <c r="K28" s="6">
        <v>0.85769230769230753</v>
      </c>
      <c r="L28" s="6">
        <v>0.61900091617059427</v>
      </c>
      <c r="M28" s="4" t="s">
        <v>23</v>
      </c>
      <c r="N28" s="5">
        <v>0.17484675524944629</v>
      </c>
      <c r="O28" s="4">
        <v>1</v>
      </c>
    </row>
    <row r="29" spans="1:15" x14ac:dyDescent="0.3">
      <c r="A29" s="4">
        <v>10</v>
      </c>
      <c r="B29" s="4">
        <v>10000</v>
      </c>
      <c r="C29" s="4" t="s">
        <v>15</v>
      </c>
      <c r="D29" s="4" t="s">
        <v>16</v>
      </c>
      <c r="E29" s="4" t="s">
        <v>17</v>
      </c>
      <c r="F29" s="4" t="s">
        <v>18</v>
      </c>
      <c r="G29" s="5">
        <v>0.1</v>
      </c>
      <c r="H29" s="5">
        <v>0.4</v>
      </c>
      <c r="I29" s="5">
        <v>0.05</v>
      </c>
      <c r="J29" s="6">
        <v>0.81818181818181823</v>
      </c>
      <c r="K29" s="6">
        <v>0.80777777777777771</v>
      </c>
      <c r="L29" s="6">
        <v>0.74179548749878721</v>
      </c>
      <c r="M29" s="4" t="s">
        <v>24</v>
      </c>
      <c r="N29" s="5">
        <v>7.2918543482594772E-2</v>
      </c>
      <c r="O29" s="4">
        <v>0</v>
      </c>
    </row>
    <row r="30" spans="1:15" x14ac:dyDescent="0.3">
      <c r="A30" s="4">
        <v>10</v>
      </c>
      <c r="B30" s="4">
        <v>10000</v>
      </c>
      <c r="C30" s="4" t="s">
        <v>15</v>
      </c>
      <c r="D30" s="4" t="s">
        <v>161</v>
      </c>
      <c r="E30" s="4" t="s">
        <v>17</v>
      </c>
      <c r="F30" s="4" t="s">
        <v>18</v>
      </c>
      <c r="G30" s="5">
        <v>0.1</v>
      </c>
      <c r="H30" s="5">
        <v>0.8</v>
      </c>
      <c r="I30" s="5">
        <v>0.05</v>
      </c>
      <c r="J30" s="6">
        <v>0.8</v>
      </c>
      <c r="K30" s="6">
        <v>0.82613636363636356</v>
      </c>
      <c r="L30" s="6">
        <v>0.76494363564693535</v>
      </c>
      <c r="M30" s="4" t="s">
        <v>24</v>
      </c>
      <c r="N30" s="5">
        <v>7.2918543482594772E-2</v>
      </c>
      <c r="O30" s="4">
        <v>0</v>
      </c>
    </row>
    <row r="31" spans="1:15" x14ac:dyDescent="0.3">
      <c r="A31" s="4">
        <v>10</v>
      </c>
      <c r="B31" s="4">
        <v>10000</v>
      </c>
      <c r="C31" s="4" t="s">
        <v>15</v>
      </c>
      <c r="D31" s="4" t="s">
        <v>162</v>
      </c>
      <c r="E31" s="4" t="s">
        <v>17</v>
      </c>
      <c r="F31" s="4" t="s">
        <v>18</v>
      </c>
      <c r="G31" s="5">
        <v>0.9</v>
      </c>
      <c r="H31" s="5">
        <v>0.8</v>
      </c>
      <c r="I31" s="5">
        <v>0.05</v>
      </c>
      <c r="J31" s="6">
        <v>0.52727272727272723</v>
      </c>
      <c r="K31" s="6">
        <v>0.86241379310344812</v>
      </c>
      <c r="L31" s="6">
        <v>0.65203017055725565</v>
      </c>
      <c r="M31" s="4" t="s">
        <v>24</v>
      </c>
      <c r="N31" s="5">
        <v>7.2918543482594772E-2</v>
      </c>
      <c r="O31" s="4">
        <v>0</v>
      </c>
    </row>
    <row r="32" spans="1:15" x14ac:dyDescent="0.3">
      <c r="A32" s="4">
        <v>11</v>
      </c>
      <c r="B32" s="4">
        <v>11000</v>
      </c>
      <c r="C32" s="4" t="s">
        <v>15</v>
      </c>
      <c r="D32" s="4" t="s">
        <v>16</v>
      </c>
      <c r="E32" s="4" t="s">
        <v>17</v>
      </c>
      <c r="F32" s="4" t="s">
        <v>18</v>
      </c>
      <c r="G32" s="5">
        <v>0.1</v>
      </c>
      <c r="H32" s="5">
        <v>0.4</v>
      </c>
      <c r="I32" s="5">
        <v>0.05</v>
      </c>
      <c r="J32" s="6">
        <v>0.8214285714285714</v>
      </c>
      <c r="K32" s="6">
        <v>0.80434782608695621</v>
      </c>
      <c r="L32" s="6">
        <v>0.64914904534774498</v>
      </c>
      <c r="M32" s="4" t="s">
        <v>25</v>
      </c>
      <c r="N32" s="5">
        <v>0.11230528050989</v>
      </c>
      <c r="O32" s="4">
        <v>0</v>
      </c>
    </row>
    <row r="33" spans="1:15" x14ac:dyDescent="0.3">
      <c r="A33" s="4">
        <v>11</v>
      </c>
      <c r="B33" s="4">
        <v>11000</v>
      </c>
      <c r="C33" s="4" t="s">
        <v>15</v>
      </c>
      <c r="D33" s="4" t="s">
        <v>161</v>
      </c>
      <c r="E33" s="4" t="s">
        <v>17</v>
      </c>
      <c r="F33" s="4" t="s">
        <v>18</v>
      </c>
      <c r="G33" s="5">
        <v>0.1</v>
      </c>
      <c r="H33" s="5">
        <v>0.8</v>
      </c>
      <c r="I33" s="5">
        <v>0.05</v>
      </c>
      <c r="J33" s="6">
        <v>0.8035714285714286</v>
      </c>
      <c r="K33" s="6">
        <v>0.82222222222222185</v>
      </c>
      <c r="L33" s="6">
        <v>0.64914904534774498</v>
      </c>
      <c r="M33" s="4" t="s">
        <v>25</v>
      </c>
      <c r="N33" s="5">
        <v>0.11230528050989</v>
      </c>
      <c r="O33" s="4">
        <v>0</v>
      </c>
    </row>
    <row r="34" spans="1:15" x14ac:dyDescent="0.3">
      <c r="A34" s="4">
        <v>11</v>
      </c>
      <c r="B34" s="4">
        <v>11000</v>
      </c>
      <c r="C34" s="4" t="s">
        <v>15</v>
      </c>
      <c r="D34" s="4" t="s">
        <v>162</v>
      </c>
      <c r="E34" s="4" t="s">
        <v>17</v>
      </c>
      <c r="F34" s="4" t="s">
        <v>18</v>
      </c>
      <c r="G34" s="5">
        <v>0.9</v>
      </c>
      <c r="H34" s="5">
        <v>0.8</v>
      </c>
      <c r="I34" s="5">
        <v>0.05</v>
      </c>
      <c r="J34" s="6">
        <v>0.5178571428571429</v>
      </c>
      <c r="K34" s="6">
        <v>0.86517241379310317</v>
      </c>
      <c r="L34" s="6">
        <v>0.66677775557899854</v>
      </c>
      <c r="M34" s="4" t="s">
        <v>25</v>
      </c>
      <c r="N34" s="5">
        <v>0.11230528050989</v>
      </c>
      <c r="O34" s="4">
        <v>0</v>
      </c>
    </row>
    <row r="35" spans="1:15" x14ac:dyDescent="0.3">
      <c r="A35" s="4">
        <v>12</v>
      </c>
      <c r="B35" s="4">
        <v>12000</v>
      </c>
      <c r="C35" s="4" t="s">
        <v>15</v>
      </c>
      <c r="D35" s="4" t="s">
        <v>16</v>
      </c>
      <c r="E35" s="4" t="s">
        <v>17</v>
      </c>
      <c r="F35" s="4" t="s">
        <v>18</v>
      </c>
      <c r="G35" s="5">
        <v>0.1</v>
      </c>
      <c r="H35" s="5">
        <v>0.4</v>
      </c>
      <c r="I35" s="5">
        <v>0.05</v>
      </c>
      <c r="J35" s="6">
        <v>0.79245283018867929</v>
      </c>
      <c r="K35" s="6">
        <v>0.81928571428571406</v>
      </c>
      <c r="L35" s="6">
        <v>0.67640454086479151</v>
      </c>
      <c r="M35" s="4" t="s">
        <v>19</v>
      </c>
      <c r="N35" s="5">
        <v>1</v>
      </c>
      <c r="O35" s="4">
        <v>1</v>
      </c>
    </row>
    <row r="36" spans="1:15" x14ac:dyDescent="0.3">
      <c r="A36" s="4">
        <v>12</v>
      </c>
      <c r="B36" s="4">
        <v>12000</v>
      </c>
      <c r="C36" s="4" t="s">
        <v>15</v>
      </c>
      <c r="D36" s="4" t="s">
        <v>161</v>
      </c>
      <c r="E36" s="4" t="s">
        <v>17</v>
      </c>
      <c r="F36" s="4" t="s">
        <v>18</v>
      </c>
      <c r="G36" s="5">
        <v>0.1</v>
      </c>
      <c r="H36" s="5">
        <v>0.8</v>
      </c>
      <c r="I36" s="5">
        <v>0.05</v>
      </c>
      <c r="J36" s="6">
        <v>0.77358490566037741</v>
      </c>
      <c r="K36" s="6">
        <v>0.83926829268292658</v>
      </c>
      <c r="L36" s="6">
        <v>0.70483801152192127</v>
      </c>
      <c r="M36" s="4" t="s">
        <v>19</v>
      </c>
      <c r="N36" s="5">
        <v>1</v>
      </c>
      <c r="O36" s="4">
        <v>1</v>
      </c>
    </row>
    <row r="37" spans="1:15" x14ac:dyDescent="0.3">
      <c r="A37" s="4">
        <v>12</v>
      </c>
      <c r="B37" s="4">
        <v>12000</v>
      </c>
      <c r="C37" s="4" t="s">
        <v>15</v>
      </c>
      <c r="D37" s="4" t="s">
        <v>162</v>
      </c>
      <c r="E37" s="4" t="s">
        <v>17</v>
      </c>
      <c r="F37" s="4" t="s">
        <v>18</v>
      </c>
      <c r="G37" s="5">
        <v>0.9</v>
      </c>
      <c r="H37" s="5">
        <v>0.8</v>
      </c>
      <c r="I37" s="5">
        <v>0.05</v>
      </c>
      <c r="J37" s="6">
        <v>0.50943396226415094</v>
      </c>
      <c r="K37" s="6">
        <v>0.89296296296296296</v>
      </c>
      <c r="L37" s="6">
        <v>0.59794750613596448</v>
      </c>
      <c r="M37" s="4" t="s">
        <v>19</v>
      </c>
      <c r="N37" s="5">
        <v>1</v>
      </c>
      <c r="O37" s="4">
        <v>1</v>
      </c>
    </row>
    <row r="38" spans="1:15" x14ac:dyDescent="0.3">
      <c r="A38" s="4">
        <v>13</v>
      </c>
      <c r="B38" s="4">
        <v>13000</v>
      </c>
      <c r="C38" s="4" t="s">
        <v>15</v>
      </c>
      <c r="D38" s="4" t="s">
        <v>16</v>
      </c>
      <c r="E38" s="4" t="s">
        <v>17</v>
      </c>
      <c r="F38" s="4" t="s">
        <v>18</v>
      </c>
      <c r="G38" s="5">
        <v>0.1</v>
      </c>
      <c r="H38" s="5">
        <v>0.4</v>
      </c>
      <c r="I38" s="5">
        <v>0.05</v>
      </c>
      <c r="J38" s="6">
        <v>0.75806451612903225</v>
      </c>
      <c r="K38" s="6">
        <v>0.77319148936170201</v>
      </c>
      <c r="L38" s="6">
        <v>0.68999024740632531</v>
      </c>
      <c r="M38" s="4" t="s">
        <v>26</v>
      </c>
      <c r="N38" s="5">
        <v>6.6453537242951263E-2</v>
      </c>
      <c r="O38" s="4">
        <v>0</v>
      </c>
    </row>
    <row r="39" spans="1:15" x14ac:dyDescent="0.3">
      <c r="A39" s="4">
        <v>13</v>
      </c>
      <c r="B39" s="4">
        <v>13000</v>
      </c>
      <c r="C39" s="4" t="s">
        <v>15</v>
      </c>
      <c r="D39" s="4" t="s">
        <v>161</v>
      </c>
      <c r="E39" s="4" t="s">
        <v>17</v>
      </c>
      <c r="F39" s="4" t="s">
        <v>18</v>
      </c>
      <c r="G39" s="5">
        <v>0.1</v>
      </c>
      <c r="H39" s="5">
        <v>0.8</v>
      </c>
      <c r="I39" s="5">
        <v>0.05</v>
      </c>
      <c r="J39" s="6">
        <v>0.72580645161290325</v>
      </c>
      <c r="K39" s="6">
        <v>0.80755555555555547</v>
      </c>
      <c r="L39" s="6">
        <v>0.73487869229477021</v>
      </c>
      <c r="M39" s="4" t="s">
        <v>26</v>
      </c>
      <c r="N39" s="5">
        <v>6.6453537242951263E-2</v>
      </c>
      <c r="O39" s="4">
        <v>0</v>
      </c>
    </row>
    <row r="40" spans="1:15" x14ac:dyDescent="0.3">
      <c r="A40" s="4">
        <v>13</v>
      </c>
      <c r="B40" s="4">
        <v>13000</v>
      </c>
      <c r="C40" s="4" t="s">
        <v>15</v>
      </c>
      <c r="D40" s="4" t="s">
        <v>162</v>
      </c>
      <c r="E40" s="4" t="s">
        <v>17</v>
      </c>
      <c r="F40" s="4" t="s">
        <v>18</v>
      </c>
      <c r="G40" s="5">
        <v>0.9</v>
      </c>
      <c r="H40" s="5">
        <v>0.8</v>
      </c>
      <c r="I40" s="5">
        <v>0.05</v>
      </c>
      <c r="J40" s="6">
        <v>0.40322580645161288</v>
      </c>
      <c r="K40" s="6">
        <v>0.92680000000000007</v>
      </c>
      <c r="L40" s="6">
        <v>0.66172000964306954</v>
      </c>
      <c r="M40" s="4" t="s">
        <v>26</v>
      </c>
      <c r="N40" s="5">
        <v>6.6453537242951263E-2</v>
      </c>
      <c r="O40" s="4">
        <v>0</v>
      </c>
    </row>
    <row r="41" spans="1:15" x14ac:dyDescent="0.3">
      <c r="A41" s="4">
        <v>14</v>
      </c>
      <c r="B41" s="4">
        <v>14000</v>
      </c>
      <c r="C41" s="4" t="s">
        <v>15</v>
      </c>
      <c r="D41" s="4" t="s">
        <v>16</v>
      </c>
      <c r="E41" s="4" t="s">
        <v>17</v>
      </c>
      <c r="F41" s="4" t="s">
        <v>18</v>
      </c>
      <c r="G41" s="5">
        <v>0.1</v>
      </c>
      <c r="H41" s="5">
        <v>0.4</v>
      </c>
      <c r="I41" s="5">
        <v>0.05</v>
      </c>
      <c r="J41" s="6">
        <v>0.76190476190476186</v>
      </c>
      <c r="K41" s="6">
        <v>0.7749999999999998</v>
      </c>
      <c r="L41" s="6">
        <v>0.67700455128058223</v>
      </c>
      <c r="M41" s="4" t="s">
        <v>27</v>
      </c>
      <c r="N41" s="5">
        <v>8.3313359516260219E-2</v>
      </c>
      <c r="O41" s="4">
        <v>0</v>
      </c>
    </row>
    <row r="42" spans="1:15" x14ac:dyDescent="0.3">
      <c r="A42" s="4">
        <v>14</v>
      </c>
      <c r="B42" s="4">
        <v>14000</v>
      </c>
      <c r="C42" s="4" t="s">
        <v>15</v>
      </c>
      <c r="D42" s="4" t="s">
        <v>161</v>
      </c>
      <c r="E42" s="4" t="s">
        <v>17</v>
      </c>
      <c r="F42" s="4" t="s">
        <v>18</v>
      </c>
      <c r="G42" s="5">
        <v>0.1</v>
      </c>
      <c r="H42" s="5">
        <v>0.8</v>
      </c>
      <c r="I42" s="5">
        <v>0.05</v>
      </c>
      <c r="J42" s="6">
        <v>0.73015873015873012</v>
      </c>
      <c r="K42" s="6">
        <v>0.80869565217391282</v>
      </c>
      <c r="L42" s="6">
        <v>0.72608880036483125</v>
      </c>
      <c r="M42" s="4" t="s">
        <v>27</v>
      </c>
      <c r="N42" s="5">
        <v>8.3313359516260219E-2</v>
      </c>
      <c r="O42" s="4">
        <v>0</v>
      </c>
    </row>
    <row r="43" spans="1:15" x14ac:dyDescent="0.3">
      <c r="A43" s="4">
        <v>14</v>
      </c>
      <c r="B43" s="4">
        <v>14000</v>
      </c>
      <c r="C43" s="4" t="s">
        <v>15</v>
      </c>
      <c r="D43" s="4" t="s">
        <v>162</v>
      </c>
      <c r="E43" s="4" t="s">
        <v>17</v>
      </c>
      <c r="F43" s="4" t="s">
        <v>18</v>
      </c>
      <c r="G43" s="5">
        <v>0.9</v>
      </c>
      <c r="H43" s="5">
        <v>0.8</v>
      </c>
      <c r="I43" s="5">
        <v>0.05</v>
      </c>
      <c r="J43" s="6">
        <v>0.3968253968253968</v>
      </c>
      <c r="K43" s="6">
        <v>0.92119999999999991</v>
      </c>
      <c r="L43" s="6">
        <v>0.67141230511639804</v>
      </c>
      <c r="M43" s="4" t="s">
        <v>27</v>
      </c>
      <c r="N43" s="5">
        <v>8.3313359516260219E-2</v>
      </c>
      <c r="O43" s="4">
        <v>0</v>
      </c>
    </row>
    <row r="44" spans="1:15" x14ac:dyDescent="0.3">
      <c r="A44" s="4">
        <v>15</v>
      </c>
      <c r="B44" s="4">
        <v>15000</v>
      </c>
      <c r="C44" s="4" t="s">
        <v>15</v>
      </c>
      <c r="D44" s="4" t="s">
        <v>16</v>
      </c>
      <c r="E44" s="4" t="s">
        <v>17</v>
      </c>
      <c r="F44" s="4" t="s">
        <v>18</v>
      </c>
      <c r="G44" s="5">
        <v>0.1</v>
      </c>
      <c r="H44" s="5">
        <v>0.4</v>
      </c>
      <c r="I44" s="5">
        <v>0.05</v>
      </c>
      <c r="J44" s="6">
        <v>0.74242424242424243</v>
      </c>
      <c r="K44" s="6">
        <v>0.77428571428571435</v>
      </c>
      <c r="L44" s="6">
        <v>0.6708649280872272</v>
      </c>
      <c r="M44" s="4" t="s">
        <v>19</v>
      </c>
      <c r="N44" s="5">
        <v>1</v>
      </c>
      <c r="O44" s="4">
        <v>1</v>
      </c>
    </row>
    <row r="45" spans="1:15" x14ac:dyDescent="0.3">
      <c r="A45" s="4">
        <v>15</v>
      </c>
      <c r="B45" s="4">
        <v>15000</v>
      </c>
      <c r="C45" s="4" t="s">
        <v>15</v>
      </c>
      <c r="D45" s="4" t="s">
        <v>161</v>
      </c>
      <c r="E45" s="4" t="s">
        <v>17</v>
      </c>
      <c r="F45" s="4" t="s">
        <v>18</v>
      </c>
      <c r="G45" s="5">
        <v>0.54444444444444451</v>
      </c>
      <c r="H45" s="5">
        <v>0.4</v>
      </c>
      <c r="I45" s="5">
        <v>0.05</v>
      </c>
      <c r="J45" s="6">
        <v>0.59090909090909094</v>
      </c>
      <c r="K45" s="6">
        <v>0.84820512820512817</v>
      </c>
      <c r="L45" s="6">
        <v>0.72376619553915944</v>
      </c>
      <c r="M45" s="4" t="s">
        <v>19</v>
      </c>
      <c r="N45" s="5">
        <v>1</v>
      </c>
      <c r="O45" s="4">
        <v>1</v>
      </c>
    </row>
    <row r="46" spans="1:15" x14ac:dyDescent="0.3">
      <c r="A46" s="4">
        <v>15</v>
      </c>
      <c r="B46" s="4">
        <v>15000</v>
      </c>
      <c r="C46" s="4" t="s">
        <v>15</v>
      </c>
      <c r="D46" s="4" t="s">
        <v>162</v>
      </c>
      <c r="E46" s="4" t="s">
        <v>17</v>
      </c>
      <c r="F46" s="4" t="s">
        <v>18</v>
      </c>
      <c r="G46" s="5">
        <v>0.81111111111111112</v>
      </c>
      <c r="H46" s="5">
        <v>0.4</v>
      </c>
      <c r="I46" s="5">
        <v>0.05</v>
      </c>
      <c r="J46" s="6">
        <v>0.53030303030303028</v>
      </c>
      <c r="K46" s="6">
        <v>0.86314285714285699</v>
      </c>
      <c r="L46" s="6">
        <v>0.66851943464699126</v>
      </c>
      <c r="M46" s="4" t="s">
        <v>19</v>
      </c>
      <c r="N46" s="5">
        <v>1</v>
      </c>
      <c r="O46" s="4">
        <v>1</v>
      </c>
    </row>
    <row r="47" spans="1:15" x14ac:dyDescent="0.3">
      <c r="A47" s="4">
        <v>16</v>
      </c>
      <c r="B47" s="4">
        <v>16000</v>
      </c>
      <c r="C47" s="4" t="s">
        <v>15</v>
      </c>
      <c r="D47" s="4" t="s">
        <v>16</v>
      </c>
      <c r="E47" s="4" t="s">
        <v>17</v>
      </c>
      <c r="F47" s="4" t="s">
        <v>18</v>
      </c>
      <c r="G47" s="5">
        <v>0.1</v>
      </c>
      <c r="H47" s="5">
        <v>0.4</v>
      </c>
      <c r="I47" s="5">
        <v>0.05</v>
      </c>
      <c r="J47" s="6">
        <v>0.72727272727272729</v>
      </c>
      <c r="K47" s="6">
        <v>0.78562500000000013</v>
      </c>
      <c r="L47" s="6">
        <v>0.66373968298125618</v>
      </c>
      <c r="M47" s="4" t="s">
        <v>19</v>
      </c>
      <c r="N47" s="5">
        <v>1</v>
      </c>
      <c r="O47" s="4">
        <v>1</v>
      </c>
    </row>
    <row r="48" spans="1:15" x14ac:dyDescent="0.3">
      <c r="A48" s="4">
        <v>16</v>
      </c>
      <c r="B48" s="4">
        <v>16000</v>
      </c>
      <c r="C48" s="4" t="s">
        <v>15</v>
      </c>
      <c r="D48" s="4" t="s">
        <v>161</v>
      </c>
      <c r="E48" s="4" t="s">
        <v>17</v>
      </c>
      <c r="F48" s="4" t="s">
        <v>18</v>
      </c>
      <c r="G48" s="5">
        <v>0.54444444444444451</v>
      </c>
      <c r="H48" s="5">
        <v>0.4</v>
      </c>
      <c r="I48" s="5">
        <v>0.05</v>
      </c>
      <c r="J48" s="6">
        <v>0.62121212121212122</v>
      </c>
      <c r="K48" s="6">
        <v>0.83682926829268311</v>
      </c>
      <c r="L48" s="6">
        <v>0.71630546687056951</v>
      </c>
      <c r="M48" s="4" t="s">
        <v>19</v>
      </c>
      <c r="N48" s="5">
        <v>1</v>
      </c>
      <c r="O48" s="4">
        <v>1</v>
      </c>
    </row>
    <row r="49" spans="1:15" x14ac:dyDescent="0.3">
      <c r="A49" s="4">
        <v>16</v>
      </c>
      <c r="B49" s="4">
        <v>16000</v>
      </c>
      <c r="C49" s="4" t="s">
        <v>15</v>
      </c>
      <c r="D49" s="4" t="s">
        <v>162</v>
      </c>
      <c r="E49" s="4" t="s">
        <v>17</v>
      </c>
      <c r="F49" s="4" t="s">
        <v>18</v>
      </c>
      <c r="G49" s="5">
        <v>0.9</v>
      </c>
      <c r="H49" s="5">
        <v>0.4</v>
      </c>
      <c r="I49" s="5">
        <v>0.05</v>
      </c>
      <c r="J49" s="6">
        <v>0.46969696969696972</v>
      </c>
      <c r="K49" s="6">
        <v>0.86806451612903202</v>
      </c>
      <c r="L49" s="6">
        <v>0.68241434507934207</v>
      </c>
      <c r="M49" s="4" t="s">
        <v>19</v>
      </c>
      <c r="N49" s="5">
        <v>1</v>
      </c>
      <c r="O49" s="4">
        <v>1</v>
      </c>
    </row>
    <row r="50" spans="1:15" x14ac:dyDescent="0.3">
      <c r="A50" s="4">
        <v>17</v>
      </c>
      <c r="B50" s="4">
        <v>17000</v>
      </c>
      <c r="C50" s="4" t="s">
        <v>15</v>
      </c>
      <c r="D50" s="4" t="s">
        <v>16</v>
      </c>
      <c r="E50" s="4" t="s">
        <v>17</v>
      </c>
      <c r="F50" s="4" t="s">
        <v>18</v>
      </c>
      <c r="G50" s="5">
        <v>0.1</v>
      </c>
      <c r="H50" s="5">
        <v>0.4</v>
      </c>
      <c r="I50" s="5">
        <v>0.05</v>
      </c>
      <c r="J50" s="6">
        <v>0.69696969696969702</v>
      </c>
      <c r="K50" s="6">
        <v>0.82086956521739129</v>
      </c>
      <c r="L50" s="6">
        <v>0.63868902520790272</v>
      </c>
      <c r="M50" s="4" t="s">
        <v>28</v>
      </c>
      <c r="N50" s="5">
        <v>0.1012194455273091</v>
      </c>
      <c r="O50" s="4">
        <v>0</v>
      </c>
    </row>
    <row r="51" spans="1:15" x14ac:dyDescent="0.3">
      <c r="A51" s="4">
        <v>17</v>
      </c>
      <c r="B51" s="4">
        <v>17000</v>
      </c>
      <c r="C51" s="4" t="s">
        <v>15</v>
      </c>
      <c r="D51" s="4" t="s">
        <v>161</v>
      </c>
      <c r="E51" s="4" t="s">
        <v>17</v>
      </c>
      <c r="F51" s="4" t="s">
        <v>18</v>
      </c>
      <c r="G51" s="5">
        <v>0.54444444444444451</v>
      </c>
      <c r="H51" s="5">
        <v>0.4</v>
      </c>
      <c r="I51" s="5">
        <v>0.05</v>
      </c>
      <c r="J51" s="6">
        <v>0.65151515151515149</v>
      </c>
      <c r="K51" s="6">
        <v>0.84302325581395365</v>
      </c>
      <c r="L51" s="6">
        <v>0.64766338039127447</v>
      </c>
      <c r="M51" s="4" t="s">
        <v>28</v>
      </c>
      <c r="N51" s="5">
        <v>0.1012194455273091</v>
      </c>
      <c r="O51" s="4">
        <v>0</v>
      </c>
    </row>
    <row r="52" spans="1:15" x14ac:dyDescent="0.3">
      <c r="A52" s="4">
        <v>17</v>
      </c>
      <c r="B52" s="4">
        <v>17000</v>
      </c>
      <c r="C52" s="4" t="s">
        <v>15</v>
      </c>
      <c r="D52" s="4" t="s">
        <v>162</v>
      </c>
      <c r="E52" s="4" t="s">
        <v>17</v>
      </c>
      <c r="F52" s="4" t="s">
        <v>18</v>
      </c>
      <c r="G52" s="5">
        <v>0.9</v>
      </c>
      <c r="H52" s="5">
        <v>0.4</v>
      </c>
      <c r="I52" s="5">
        <v>0.05</v>
      </c>
      <c r="J52" s="6">
        <v>0.45454545454545447</v>
      </c>
      <c r="K52" s="6">
        <v>0.87166666666666659</v>
      </c>
      <c r="L52" s="6">
        <v>0.69425470723486926</v>
      </c>
      <c r="M52" s="4" t="s">
        <v>28</v>
      </c>
      <c r="N52" s="5">
        <v>0.1012194455273091</v>
      </c>
      <c r="O52" s="4">
        <v>0</v>
      </c>
    </row>
    <row r="53" spans="1:15" x14ac:dyDescent="0.3">
      <c r="A53" s="4">
        <v>18</v>
      </c>
      <c r="B53" s="4">
        <v>18000</v>
      </c>
      <c r="C53" s="4" t="s">
        <v>15</v>
      </c>
      <c r="D53" s="4" t="s">
        <v>16</v>
      </c>
      <c r="E53" s="4" t="s">
        <v>17</v>
      </c>
      <c r="F53" s="4" t="s">
        <v>18</v>
      </c>
      <c r="G53" s="5">
        <v>0.1</v>
      </c>
      <c r="H53" s="5">
        <v>0.4</v>
      </c>
      <c r="I53" s="5">
        <v>0.05</v>
      </c>
      <c r="J53" s="6">
        <v>0.75384615384615383</v>
      </c>
      <c r="K53" s="6">
        <v>0.78877551020408165</v>
      </c>
      <c r="L53" s="6">
        <v>0.62995127704923981</v>
      </c>
      <c r="M53" s="4" t="s">
        <v>29</v>
      </c>
      <c r="N53" s="5">
        <v>0.1210016056775365</v>
      </c>
      <c r="O53" s="4">
        <v>0</v>
      </c>
    </row>
    <row r="54" spans="1:15" x14ac:dyDescent="0.3">
      <c r="A54" s="4">
        <v>18</v>
      </c>
      <c r="B54" s="4">
        <v>18000</v>
      </c>
      <c r="C54" s="4" t="s">
        <v>15</v>
      </c>
      <c r="D54" s="4" t="s">
        <v>161</v>
      </c>
      <c r="E54" s="4" t="s">
        <v>17</v>
      </c>
      <c r="F54" s="4" t="s">
        <v>18</v>
      </c>
      <c r="G54" s="5">
        <v>0.54444444444444451</v>
      </c>
      <c r="H54" s="5">
        <v>0.4</v>
      </c>
      <c r="I54" s="5">
        <v>0.05</v>
      </c>
      <c r="J54" s="6">
        <v>0.66153846153846152</v>
      </c>
      <c r="K54" s="6">
        <v>0.82906976744186045</v>
      </c>
      <c r="L54" s="6">
        <v>0.59907245679541943</v>
      </c>
      <c r="M54" s="4" t="s">
        <v>29</v>
      </c>
      <c r="N54" s="5">
        <v>0.1210016056775365</v>
      </c>
      <c r="O54" s="4">
        <v>0</v>
      </c>
    </row>
    <row r="55" spans="1:15" x14ac:dyDescent="0.3">
      <c r="A55" s="4">
        <v>18</v>
      </c>
      <c r="B55" s="4">
        <v>18000</v>
      </c>
      <c r="C55" s="4" t="s">
        <v>15</v>
      </c>
      <c r="D55" s="4" t="s">
        <v>162</v>
      </c>
      <c r="E55" s="4" t="s">
        <v>17</v>
      </c>
      <c r="F55" s="4" t="s">
        <v>18</v>
      </c>
      <c r="G55" s="5">
        <v>0.9</v>
      </c>
      <c r="H55" s="5">
        <v>0.4</v>
      </c>
      <c r="I55" s="5">
        <v>0.05</v>
      </c>
      <c r="J55" s="6">
        <v>0.43076923076923079</v>
      </c>
      <c r="K55" s="6">
        <v>0.86392857142857127</v>
      </c>
      <c r="L55" s="6">
        <v>0.6408441226562287</v>
      </c>
      <c r="M55" s="4" t="s">
        <v>29</v>
      </c>
      <c r="N55" s="5">
        <v>0.1210016056775365</v>
      </c>
      <c r="O55" s="4">
        <v>0</v>
      </c>
    </row>
    <row r="56" spans="1:15" x14ac:dyDescent="0.3">
      <c r="A56" s="4">
        <v>19</v>
      </c>
      <c r="B56" s="4">
        <v>19000</v>
      </c>
      <c r="C56" s="4" t="s">
        <v>15</v>
      </c>
      <c r="D56" s="4" t="s">
        <v>16</v>
      </c>
      <c r="E56" s="4" t="s">
        <v>17</v>
      </c>
      <c r="F56" s="4" t="s">
        <v>18</v>
      </c>
      <c r="G56" s="5">
        <v>0.1</v>
      </c>
      <c r="H56" s="5">
        <v>0.4</v>
      </c>
      <c r="I56" s="5">
        <v>0.05</v>
      </c>
      <c r="J56" s="6">
        <v>0.74603174603174605</v>
      </c>
      <c r="K56" s="6">
        <v>0.78446808510638288</v>
      </c>
      <c r="L56" s="6">
        <v>0.64132390998512057</v>
      </c>
      <c r="M56" s="4" t="s">
        <v>30</v>
      </c>
      <c r="N56" s="5">
        <v>0.1418522820050851</v>
      </c>
      <c r="O56" s="4">
        <v>0</v>
      </c>
    </row>
    <row r="57" spans="1:15" x14ac:dyDescent="0.3">
      <c r="A57" s="4">
        <v>19</v>
      </c>
      <c r="B57" s="4">
        <v>19000</v>
      </c>
      <c r="C57" s="4" t="s">
        <v>15</v>
      </c>
      <c r="D57" s="4" t="s">
        <v>161</v>
      </c>
      <c r="E57" s="4" t="s">
        <v>17</v>
      </c>
      <c r="F57" s="4" t="s">
        <v>18</v>
      </c>
      <c r="G57" s="5">
        <v>0.54444444444444451</v>
      </c>
      <c r="H57" s="5">
        <v>0.4</v>
      </c>
      <c r="I57" s="5">
        <v>0.05</v>
      </c>
      <c r="J57" s="6">
        <v>0.65079365079365081</v>
      </c>
      <c r="K57" s="6">
        <v>0.82609756097560949</v>
      </c>
      <c r="L57" s="6">
        <v>0.63964323771621301</v>
      </c>
      <c r="M57" s="4" t="s">
        <v>30</v>
      </c>
      <c r="N57" s="5">
        <v>0.1418522820050851</v>
      </c>
      <c r="O57" s="4">
        <v>0</v>
      </c>
    </row>
    <row r="58" spans="1:15" x14ac:dyDescent="0.3">
      <c r="A58" s="4">
        <v>19</v>
      </c>
      <c r="B58" s="4">
        <v>19000</v>
      </c>
      <c r="C58" s="4" t="s">
        <v>15</v>
      </c>
      <c r="D58" s="4" t="s">
        <v>162</v>
      </c>
      <c r="E58" s="4" t="s">
        <v>17</v>
      </c>
      <c r="F58" s="4" t="s">
        <v>18</v>
      </c>
      <c r="G58" s="5">
        <v>0.9</v>
      </c>
      <c r="H58" s="5">
        <v>0.4</v>
      </c>
      <c r="I58" s="5">
        <v>0.05</v>
      </c>
      <c r="J58" s="6">
        <v>0.42857142857142849</v>
      </c>
      <c r="K58" s="6">
        <v>0.85999999999999988</v>
      </c>
      <c r="L58" s="6">
        <v>0.66334821613189698</v>
      </c>
      <c r="M58" s="4" t="s">
        <v>30</v>
      </c>
      <c r="N58" s="5">
        <v>0.1418522820050851</v>
      </c>
      <c r="O58" s="4">
        <v>0</v>
      </c>
    </row>
    <row r="59" spans="1:15" x14ac:dyDescent="0.3">
      <c r="A59" s="4">
        <v>20</v>
      </c>
      <c r="B59" s="4">
        <v>20000</v>
      </c>
      <c r="C59" s="4" t="s">
        <v>15</v>
      </c>
      <c r="D59" s="4" t="s">
        <v>16</v>
      </c>
      <c r="E59" s="4" t="s">
        <v>17</v>
      </c>
      <c r="F59" s="4" t="s">
        <v>18</v>
      </c>
      <c r="G59" s="5">
        <v>0.1</v>
      </c>
      <c r="H59" s="5">
        <v>0.4</v>
      </c>
      <c r="I59" s="5">
        <v>0.05</v>
      </c>
      <c r="J59" s="6">
        <v>0.75409836065573765</v>
      </c>
      <c r="K59" s="6">
        <v>0.77239130434782599</v>
      </c>
      <c r="L59" s="6">
        <v>0.65157062517530184</v>
      </c>
      <c r="M59" s="4" t="s">
        <v>31</v>
      </c>
      <c r="N59" s="5">
        <v>0.18282068239840291</v>
      </c>
      <c r="O59" s="4">
        <v>1</v>
      </c>
    </row>
    <row r="60" spans="1:15" x14ac:dyDescent="0.3">
      <c r="A60" s="4">
        <v>20</v>
      </c>
      <c r="B60" s="4">
        <v>20000</v>
      </c>
      <c r="C60" s="4" t="s">
        <v>15</v>
      </c>
      <c r="D60" s="4" t="s">
        <v>161</v>
      </c>
      <c r="E60" s="4" t="s">
        <v>17</v>
      </c>
      <c r="F60" s="4" t="s">
        <v>18</v>
      </c>
      <c r="G60" s="5">
        <v>0.54444444444444451</v>
      </c>
      <c r="H60" s="5">
        <v>0.8</v>
      </c>
      <c r="I60" s="5">
        <v>0.05</v>
      </c>
      <c r="J60" s="6">
        <v>0.60655737704918034</v>
      </c>
      <c r="K60" s="6">
        <v>0.86027027027027014</v>
      </c>
      <c r="L60" s="6">
        <v>0.70963105355242728</v>
      </c>
      <c r="M60" s="4" t="s">
        <v>31</v>
      </c>
      <c r="N60" s="5">
        <v>0.18282068239840291</v>
      </c>
      <c r="O60" s="4">
        <v>1</v>
      </c>
    </row>
    <row r="61" spans="1:15" x14ac:dyDescent="0.3">
      <c r="A61" s="4">
        <v>20</v>
      </c>
      <c r="B61" s="4">
        <v>20000</v>
      </c>
      <c r="C61" s="4" t="s">
        <v>15</v>
      </c>
      <c r="D61" s="4" t="s">
        <v>162</v>
      </c>
      <c r="E61" s="4" t="s">
        <v>17</v>
      </c>
      <c r="F61" s="4" t="s">
        <v>18</v>
      </c>
      <c r="G61" s="5">
        <v>0.9</v>
      </c>
      <c r="H61" s="5">
        <v>0.8</v>
      </c>
      <c r="I61" s="5">
        <v>0.05</v>
      </c>
      <c r="J61" s="6">
        <v>0.39344262295081972</v>
      </c>
      <c r="K61" s="6">
        <v>0.88791666666666647</v>
      </c>
      <c r="L61" s="6">
        <v>0.55194757895441326</v>
      </c>
      <c r="M61" s="4" t="s">
        <v>31</v>
      </c>
      <c r="N61" s="5">
        <v>0.18282068239840291</v>
      </c>
      <c r="O61" s="4">
        <v>1</v>
      </c>
    </row>
    <row r="62" spans="1:15" x14ac:dyDescent="0.3">
      <c r="A62" s="4">
        <v>21</v>
      </c>
      <c r="B62" s="4">
        <v>21000</v>
      </c>
      <c r="C62" s="4" t="s">
        <v>15</v>
      </c>
      <c r="D62" s="4" t="s">
        <v>16</v>
      </c>
      <c r="E62" s="4" t="s">
        <v>17</v>
      </c>
      <c r="F62" s="4" t="s">
        <v>18</v>
      </c>
      <c r="G62" s="5">
        <v>0.1</v>
      </c>
      <c r="H62" s="5">
        <v>0.4</v>
      </c>
      <c r="I62" s="5">
        <v>0.05</v>
      </c>
      <c r="J62" s="6">
        <v>0.78688524590163933</v>
      </c>
      <c r="K62" s="6">
        <v>0.76291666666666647</v>
      </c>
      <c r="L62" s="6">
        <v>0.66886642564738596</v>
      </c>
      <c r="M62" s="4" t="s">
        <v>22</v>
      </c>
      <c r="N62" s="5">
        <v>9.369159540166061E-2</v>
      </c>
      <c r="O62" s="4">
        <v>0</v>
      </c>
    </row>
    <row r="63" spans="1:15" x14ac:dyDescent="0.3">
      <c r="A63" s="4">
        <v>21</v>
      </c>
      <c r="B63" s="4">
        <v>21000</v>
      </c>
      <c r="C63" s="4" t="s">
        <v>15</v>
      </c>
      <c r="D63" s="4" t="s">
        <v>161</v>
      </c>
      <c r="E63" s="4" t="s">
        <v>17</v>
      </c>
      <c r="F63" s="4" t="s">
        <v>18</v>
      </c>
      <c r="G63" s="5">
        <v>0.54444444444444451</v>
      </c>
      <c r="H63" s="5">
        <v>0.8</v>
      </c>
      <c r="I63" s="5">
        <v>0.05</v>
      </c>
      <c r="J63" s="6">
        <v>0.63934426229508201</v>
      </c>
      <c r="K63" s="6">
        <v>0.85435897435897423</v>
      </c>
      <c r="L63" s="6">
        <v>0.73254685135616782</v>
      </c>
      <c r="M63" s="4" t="s">
        <v>22</v>
      </c>
      <c r="N63" s="5">
        <v>9.369159540166061E-2</v>
      </c>
      <c r="O63" s="4">
        <v>0</v>
      </c>
    </row>
    <row r="64" spans="1:15" x14ac:dyDescent="0.3">
      <c r="A64" s="4">
        <v>21</v>
      </c>
      <c r="B64" s="4">
        <v>21000</v>
      </c>
      <c r="C64" s="4" t="s">
        <v>15</v>
      </c>
      <c r="D64" s="4" t="s">
        <v>162</v>
      </c>
      <c r="E64" s="4" t="s">
        <v>17</v>
      </c>
      <c r="F64" s="4" t="s">
        <v>18</v>
      </c>
      <c r="G64" s="5">
        <v>0.9</v>
      </c>
      <c r="H64" s="5">
        <v>0.8</v>
      </c>
      <c r="I64" s="5">
        <v>0.05</v>
      </c>
      <c r="J64" s="6">
        <v>0.42622950819672129</v>
      </c>
      <c r="K64" s="6">
        <v>0.89038461538461522</v>
      </c>
      <c r="L64" s="6">
        <v>0.61135768064534934</v>
      </c>
      <c r="M64" s="4" t="s">
        <v>22</v>
      </c>
      <c r="N64" s="5">
        <v>9.369159540166061E-2</v>
      </c>
      <c r="O64" s="4">
        <v>0</v>
      </c>
    </row>
    <row r="65" spans="1:15" x14ac:dyDescent="0.3">
      <c r="A65" s="4">
        <v>22</v>
      </c>
      <c r="B65" s="4">
        <v>22000</v>
      </c>
      <c r="C65" s="4" t="s">
        <v>15</v>
      </c>
      <c r="D65" s="4" t="s">
        <v>16</v>
      </c>
      <c r="E65" s="4" t="s">
        <v>17</v>
      </c>
      <c r="F65" s="4" t="s">
        <v>18</v>
      </c>
      <c r="G65" s="5">
        <v>0.1</v>
      </c>
      <c r="H65" s="5">
        <v>0.4</v>
      </c>
      <c r="I65" s="5">
        <v>0.05</v>
      </c>
      <c r="J65" s="6">
        <v>0.734375</v>
      </c>
      <c r="K65" s="6">
        <v>0.77638297872340434</v>
      </c>
      <c r="L65" s="6">
        <v>0.656016366598976</v>
      </c>
      <c r="M65" s="4" t="s">
        <v>32</v>
      </c>
      <c r="N65" s="5">
        <v>0.13229805012053941</v>
      </c>
      <c r="O65" s="4">
        <v>0</v>
      </c>
    </row>
    <row r="66" spans="1:15" x14ac:dyDescent="0.3">
      <c r="A66" s="4">
        <v>22</v>
      </c>
      <c r="B66" s="4">
        <v>22000</v>
      </c>
      <c r="C66" s="4" t="s">
        <v>15</v>
      </c>
      <c r="D66" s="4" t="s">
        <v>161</v>
      </c>
      <c r="E66" s="4" t="s">
        <v>17</v>
      </c>
      <c r="F66" s="4" t="s">
        <v>18</v>
      </c>
      <c r="G66" s="5">
        <v>0.54444444444444451</v>
      </c>
      <c r="H66" s="5">
        <v>0.8</v>
      </c>
      <c r="I66" s="5">
        <v>0.05</v>
      </c>
      <c r="J66" s="6">
        <v>0.609375</v>
      </c>
      <c r="K66" s="6">
        <v>0.84589743589743571</v>
      </c>
      <c r="L66" s="6">
        <v>0.66070044523479154</v>
      </c>
      <c r="M66" s="4" t="s">
        <v>32</v>
      </c>
      <c r="N66" s="5">
        <v>0.13229805012053941</v>
      </c>
      <c r="O66" s="4">
        <v>0</v>
      </c>
    </row>
    <row r="67" spans="1:15" x14ac:dyDescent="0.3">
      <c r="A67" s="4">
        <v>22</v>
      </c>
      <c r="B67" s="4">
        <v>22000</v>
      </c>
      <c r="C67" s="4" t="s">
        <v>15</v>
      </c>
      <c r="D67" s="4" t="s">
        <v>162</v>
      </c>
      <c r="E67" s="4" t="s">
        <v>17</v>
      </c>
      <c r="F67" s="4" t="s">
        <v>18</v>
      </c>
      <c r="G67" s="5">
        <v>0.9</v>
      </c>
      <c r="H67" s="5">
        <v>0.8</v>
      </c>
      <c r="I67" s="5">
        <v>0.05</v>
      </c>
      <c r="J67" s="6">
        <v>0.453125</v>
      </c>
      <c r="K67" s="6">
        <v>0.866206896551724</v>
      </c>
      <c r="L67" s="6">
        <v>0.60297883812595288</v>
      </c>
      <c r="M67" s="4" t="s">
        <v>32</v>
      </c>
      <c r="N67" s="5">
        <v>0.13229805012053941</v>
      </c>
      <c r="O67" s="4">
        <v>0</v>
      </c>
    </row>
    <row r="68" spans="1:15" x14ac:dyDescent="0.3">
      <c r="A68" s="4">
        <v>23</v>
      </c>
      <c r="B68" s="4">
        <v>23000</v>
      </c>
      <c r="C68" s="4" t="s">
        <v>15</v>
      </c>
      <c r="D68" s="4" t="s">
        <v>16</v>
      </c>
      <c r="E68" s="4" t="s">
        <v>17</v>
      </c>
      <c r="F68" s="4" t="s">
        <v>18</v>
      </c>
      <c r="G68" s="5">
        <v>0.1</v>
      </c>
      <c r="H68" s="5">
        <v>0.4</v>
      </c>
      <c r="I68" s="5">
        <v>0.05</v>
      </c>
      <c r="J68" s="6">
        <v>0.69841269841269837</v>
      </c>
      <c r="K68" s="6">
        <v>0.81181818181818177</v>
      </c>
      <c r="L68" s="6">
        <v>0.66593869412729378</v>
      </c>
      <c r="M68" s="4" t="s">
        <v>33</v>
      </c>
      <c r="N68" s="5">
        <v>0.1706736873450001</v>
      </c>
      <c r="O68" s="4">
        <v>1</v>
      </c>
    </row>
    <row r="69" spans="1:15" x14ac:dyDescent="0.3">
      <c r="A69" s="4">
        <v>23</v>
      </c>
      <c r="B69" s="4">
        <v>23000</v>
      </c>
      <c r="C69" s="4" t="s">
        <v>15</v>
      </c>
      <c r="D69" s="4" t="s">
        <v>161</v>
      </c>
      <c r="E69" s="4" t="s">
        <v>17</v>
      </c>
      <c r="F69" s="4" t="s">
        <v>18</v>
      </c>
      <c r="G69" s="5">
        <v>0.1</v>
      </c>
      <c r="H69" s="5">
        <v>0.8</v>
      </c>
      <c r="I69" s="5">
        <v>0.1166666666666667</v>
      </c>
      <c r="J69" s="6">
        <v>0.60317460317460314</v>
      </c>
      <c r="K69" s="6">
        <v>0.86815789473684213</v>
      </c>
      <c r="L69" s="6">
        <v>0.75128324897000553</v>
      </c>
      <c r="M69" s="4" t="s">
        <v>33</v>
      </c>
      <c r="N69" s="5">
        <v>0.1706736873450001</v>
      </c>
      <c r="O69" s="4">
        <v>1</v>
      </c>
    </row>
    <row r="70" spans="1:15" x14ac:dyDescent="0.3">
      <c r="A70" s="4">
        <v>23</v>
      </c>
      <c r="B70" s="4">
        <v>23000</v>
      </c>
      <c r="C70" s="4" t="s">
        <v>15</v>
      </c>
      <c r="D70" s="4" t="s">
        <v>162</v>
      </c>
      <c r="E70" s="4" t="s">
        <v>17</v>
      </c>
      <c r="F70" s="4" t="s">
        <v>18</v>
      </c>
      <c r="G70" s="5">
        <v>0.9</v>
      </c>
      <c r="H70" s="5">
        <v>0.8</v>
      </c>
      <c r="I70" s="5">
        <v>0.05</v>
      </c>
      <c r="J70" s="6">
        <v>0.44444444444444442</v>
      </c>
      <c r="K70" s="6">
        <v>0.89892857142857152</v>
      </c>
      <c r="L70" s="6">
        <v>0.64434489010394369</v>
      </c>
      <c r="M70" s="4" t="s">
        <v>33</v>
      </c>
      <c r="N70" s="5">
        <v>0.1706736873450001</v>
      </c>
      <c r="O70" s="4">
        <v>1</v>
      </c>
    </row>
    <row r="71" spans="1:15" x14ac:dyDescent="0.3">
      <c r="A71" s="4">
        <v>24</v>
      </c>
      <c r="B71" s="4">
        <v>24000</v>
      </c>
      <c r="C71" s="4" t="s">
        <v>15</v>
      </c>
      <c r="D71" s="4" t="s">
        <v>16</v>
      </c>
      <c r="E71" s="4" t="s">
        <v>17</v>
      </c>
      <c r="F71" s="4" t="s">
        <v>18</v>
      </c>
      <c r="G71" s="5">
        <v>0.1</v>
      </c>
      <c r="H71" s="5">
        <v>0.4</v>
      </c>
      <c r="I71" s="5">
        <v>0.05</v>
      </c>
      <c r="J71" s="6">
        <v>0.75</v>
      </c>
      <c r="K71" s="6">
        <v>0.78866666666666652</v>
      </c>
      <c r="L71" s="6">
        <v>0.65400814950427799</v>
      </c>
      <c r="M71" s="4" t="s">
        <v>34</v>
      </c>
      <c r="N71" s="5">
        <v>0.143243179061745</v>
      </c>
      <c r="O71" s="4">
        <v>0</v>
      </c>
    </row>
    <row r="72" spans="1:15" x14ac:dyDescent="0.3">
      <c r="A72" s="4">
        <v>24</v>
      </c>
      <c r="B72" s="4">
        <v>24000</v>
      </c>
      <c r="C72" s="4" t="s">
        <v>15</v>
      </c>
      <c r="D72" s="4" t="s">
        <v>161</v>
      </c>
      <c r="E72" s="4" t="s">
        <v>17</v>
      </c>
      <c r="F72" s="4" t="s">
        <v>18</v>
      </c>
      <c r="G72" s="5">
        <v>0.1</v>
      </c>
      <c r="H72" s="5">
        <v>0.8</v>
      </c>
      <c r="I72" s="5">
        <v>0.1166666666666667</v>
      </c>
      <c r="J72" s="6">
        <v>0.68333333333333335</v>
      </c>
      <c r="K72" s="6">
        <v>0.80658536585365836</v>
      </c>
      <c r="L72" s="6">
        <v>0.64125624318619523</v>
      </c>
      <c r="M72" s="4" t="s">
        <v>34</v>
      </c>
      <c r="N72" s="5">
        <v>0.143243179061745</v>
      </c>
      <c r="O72" s="4">
        <v>0</v>
      </c>
    </row>
    <row r="73" spans="1:15" x14ac:dyDescent="0.3">
      <c r="A73" s="4">
        <v>24</v>
      </c>
      <c r="B73" s="4">
        <v>24000</v>
      </c>
      <c r="C73" s="4" t="s">
        <v>15</v>
      </c>
      <c r="D73" s="4" t="s">
        <v>162</v>
      </c>
      <c r="E73" s="4" t="s">
        <v>17</v>
      </c>
      <c r="F73" s="4" t="s">
        <v>18</v>
      </c>
      <c r="G73" s="5">
        <v>0.9</v>
      </c>
      <c r="H73" s="5">
        <v>0.8</v>
      </c>
      <c r="I73" s="5">
        <v>0.05</v>
      </c>
      <c r="J73" s="6">
        <v>0.45</v>
      </c>
      <c r="K73" s="6">
        <v>0.85999999999999988</v>
      </c>
      <c r="L73" s="6">
        <v>0.59237731955543371</v>
      </c>
      <c r="M73" s="4" t="s">
        <v>34</v>
      </c>
      <c r="N73" s="5">
        <v>0.143243179061745</v>
      </c>
      <c r="O73" s="4">
        <v>0</v>
      </c>
    </row>
    <row r="74" spans="1:15" x14ac:dyDescent="0.3">
      <c r="A74" s="4">
        <v>25</v>
      </c>
      <c r="B74" s="4">
        <v>25000</v>
      </c>
      <c r="C74" s="4" t="s">
        <v>15</v>
      </c>
      <c r="D74" s="4" t="s">
        <v>16</v>
      </c>
      <c r="E74" s="4" t="s">
        <v>17</v>
      </c>
      <c r="F74" s="4" t="s">
        <v>18</v>
      </c>
      <c r="G74" s="5">
        <v>0.1</v>
      </c>
      <c r="H74" s="5">
        <v>0.4</v>
      </c>
      <c r="I74" s="5">
        <v>0.05</v>
      </c>
      <c r="J74" s="6">
        <v>0.76271186440677963</v>
      </c>
      <c r="K74" s="6">
        <v>0.7839999999999997</v>
      </c>
      <c r="L74" s="6">
        <v>0.61415908106095329</v>
      </c>
      <c r="M74" s="4" t="s">
        <v>35</v>
      </c>
      <c r="N74" s="5">
        <v>0.29310427146489693</v>
      </c>
      <c r="O74" s="4">
        <v>1</v>
      </c>
    </row>
    <row r="75" spans="1:15" x14ac:dyDescent="0.3">
      <c r="A75" s="4">
        <v>25</v>
      </c>
      <c r="B75" s="4">
        <v>25000</v>
      </c>
      <c r="C75" s="4" t="s">
        <v>15</v>
      </c>
      <c r="D75" s="4" t="s">
        <v>161</v>
      </c>
      <c r="E75" s="4" t="s">
        <v>17</v>
      </c>
      <c r="F75" s="4" t="s">
        <v>18</v>
      </c>
      <c r="G75" s="5">
        <v>0.54444444444444451</v>
      </c>
      <c r="H75" s="5">
        <v>0.4</v>
      </c>
      <c r="I75" s="5">
        <v>0.05</v>
      </c>
      <c r="J75" s="6">
        <v>0.64406779661016944</v>
      </c>
      <c r="K75" s="6">
        <v>0.83815789473684177</v>
      </c>
      <c r="L75" s="6">
        <v>0.7317146318677179</v>
      </c>
      <c r="M75" s="4" t="s">
        <v>35</v>
      </c>
      <c r="N75" s="5">
        <v>0.29310427146489693</v>
      </c>
      <c r="O75" s="4">
        <v>1</v>
      </c>
    </row>
    <row r="76" spans="1:15" x14ac:dyDescent="0.3">
      <c r="A76" s="4">
        <v>25</v>
      </c>
      <c r="B76" s="4">
        <v>25000</v>
      </c>
      <c r="C76" s="4" t="s">
        <v>15</v>
      </c>
      <c r="D76" s="4" t="s">
        <v>162</v>
      </c>
      <c r="E76" s="4" t="s">
        <v>17</v>
      </c>
      <c r="F76" s="4" t="s">
        <v>18</v>
      </c>
      <c r="G76" s="5">
        <v>0.81111111111111112</v>
      </c>
      <c r="H76" s="5">
        <v>0.4</v>
      </c>
      <c r="I76" s="5">
        <v>0.05</v>
      </c>
      <c r="J76" s="6">
        <v>0.55932203389830504</v>
      </c>
      <c r="K76" s="6">
        <v>0.8524242424242422</v>
      </c>
      <c r="L76" s="6">
        <v>0.65536980739410422</v>
      </c>
      <c r="M76" s="4" t="s">
        <v>35</v>
      </c>
      <c r="N76" s="5">
        <v>0.29310427146489693</v>
      </c>
      <c r="O76" s="4">
        <v>1</v>
      </c>
    </row>
    <row r="77" spans="1:15" x14ac:dyDescent="0.3">
      <c r="A77" s="4">
        <v>26</v>
      </c>
      <c r="B77" s="4">
        <v>26000</v>
      </c>
      <c r="C77" s="4" t="s">
        <v>15</v>
      </c>
      <c r="D77" s="4" t="s">
        <v>16</v>
      </c>
      <c r="E77" s="4" t="s">
        <v>17</v>
      </c>
      <c r="F77" s="4" t="s">
        <v>18</v>
      </c>
      <c r="G77" s="5">
        <v>0.1</v>
      </c>
      <c r="H77" s="5">
        <v>0.4</v>
      </c>
      <c r="I77" s="5">
        <v>0.05</v>
      </c>
      <c r="J77" s="6">
        <v>0.8</v>
      </c>
      <c r="K77" s="6">
        <v>0.77375000000000016</v>
      </c>
      <c r="L77" s="6">
        <v>0.57355138218882196</v>
      </c>
      <c r="M77" s="4" t="s">
        <v>19</v>
      </c>
      <c r="N77" s="5">
        <v>1</v>
      </c>
      <c r="O77" s="4">
        <v>1</v>
      </c>
    </row>
    <row r="78" spans="1:15" x14ac:dyDescent="0.3">
      <c r="A78" s="4">
        <v>26</v>
      </c>
      <c r="B78" s="4">
        <v>26000</v>
      </c>
      <c r="C78" s="4" t="s">
        <v>15</v>
      </c>
      <c r="D78" s="4" t="s">
        <v>161</v>
      </c>
      <c r="E78" s="4" t="s">
        <v>17</v>
      </c>
      <c r="F78" s="4" t="s">
        <v>18</v>
      </c>
      <c r="G78" s="5">
        <v>0.1</v>
      </c>
      <c r="H78" s="5">
        <v>0.4</v>
      </c>
      <c r="I78" s="5">
        <v>0.18333333333333329</v>
      </c>
      <c r="J78" s="6">
        <v>0.51666666666666672</v>
      </c>
      <c r="K78" s="6">
        <v>0.81032258064516161</v>
      </c>
      <c r="L78" s="6">
        <v>0.82696263410263071</v>
      </c>
      <c r="M78" s="4" t="s">
        <v>19</v>
      </c>
      <c r="N78" s="5">
        <v>1</v>
      </c>
      <c r="O78" s="4">
        <v>1</v>
      </c>
    </row>
    <row r="79" spans="1:15" x14ac:dyDescent="0.3">
      <c r="A79" s="4">
        <v>26</v>
      </c>
      <c r="B79" s="4">
        <v>26000</v>
      </c>
      <c r="C79" s="4" t="s">
        <v>15</v>
      </c>
      <c r="D79" s="4" t="s">
        <v>162</v>
      </c>
      <c r="E79" s="4" t="s">
        <v>17</v>
      </c>
      <c r="F79" s="4" t="s">
        <v>18</v>
      </c>
      <c r="G79" s="5">
        <v>0.81111111111111112</v>
      </c>
      <c r="H79" s="5">
        <v>0.4</v>
      </c>
      <c r="I79" s="5">
        <v>0.05</v>
      </c>
      <c r="J79" s="6">
        <v>0.46666666666666667</v>
      </c>
      <c r="K79" s="6">
        <v>0.84142857142857164</v>
      </c>
      <c r="L79" s="6">
        <v>0.75703870926856465</v>
      </c>
      <c r="M79" s="4" t="s">
        <v>19</v>
      </c>
      <c r="N79" s="5">
        <v>1</v>
      </c>
      <c r="O79" s="4">
        <v>1</v>
      </c>
    </row>
    <row r="80" spans="1:15" x14ac:dyDescent="0.3">
      <c r="A80" s="4">
        <v>27</v>
      </c>
      <c r="B80" s="4">
        <v>27000</v>
      </c>
      <c r="C80" s="4" t="s">
        <v>15</v>
      </c>
      <c r="D80" s="4" t="s">
        <v>16</v>
      </c>
      <c r="E80" s="4" t="s">
        <v>17</v>
      </c>
      <c r="F80" s="4" t="s">
        <v>18</v>
      </c>
      <c r="G80" s="5">
        <v>0.1</v>
      </c>
      <c r="H80" s="5">
        <v>0.4</v>
      </c>
      <c r="I80" s="5">
        <v>0.05</v>
      </c>
      <c r="J80" s="6">
        <v>0.76190476190476186</v>
      </c>
      <c r="K80" s="6">
        <v>0.75833333333333364</v>
      </c>
      <c r="L80" s="6">
        <v>0.62242866699792054</v>
      </c>
      <c r="M80" s="4" t="s">
        <v>36</v>
      </c>
      <c r="N80" s="5">
        <v>0.1162233810887723</v>
      </c>
      <c r="O80" s="4">
        <v>0</v>
      </c>
    </row>
    <row r="81" spans="1:15" x14ac:dyDescent="0.3">
      <c r="A81" s="4">
        <v>27</v>
      </c>
      <c r="B81" s="4">
        <v>27000</v>
      </c>
      <c r="C81" s="4" t="s">
        <v>15</v>
      </c>
      <c r="D81" s="4" t="s">
        <v>161</v>
      </c>
      <c r="E81" s="4" t="s">
        <v>17</v>
      </c>
      <c r="F81" s="4" t="s">
        <v>18</v>
      </c>
      <c r="G81" s="5">
        <v>0.1</v>
      </c>
      <c r="H81" s="5">
        <v>0.4</v>
      </c>
      <c r="I81" s="5">
        <v>0.18333333333333329</v>
      </c>
      <c r="J81" s="6">
        <v>0.52380952380952384</v>
      </c>
      <c r="K81" s="6">
        <v>0.80030303030303018</v>
      </c>
      <c r="L81" s="6">
        <v>0.73565012098812421</v>
      </c>
      <c r="M81" s="4" t="s">
        <v>36</v>
      </c>
      <c r="N81" s="5">
        <v>0.1162233810887723</v>
      </c>
      <c r="O81" s="4">
        <v>0</v>
      </c>
    </row>
    <row r="82" spans="1:15" x14ac:dyDescent="0.3">
      <c r="A82" s="4">
        <v>27</v>
      </c>
      <c r="B82" s="4">
        <v>27000</v>
      </c>
      <c r="C82" s="4" t="s">
        <v>15</v>
      </c>
      <c r="D82" s="4" t="s">
        <v>162</v>
      </c>
      <c r="E82" s="4" t="s">
        <v>17</v>
      </c>
      <c r="F82" s="4" t="s">
        <v>18</v>
      </c>
      <c r="G82" s="5">
        <v>0.81111111111111112</v>
      </c>
      <c r="H82" s="5">
        <v>0.4</v>
      </c>
      <c r="I82" s="5">
        <v>0.05</v>
      </c>
      <c r="J82" s="6">
        <v>0.49206349206349198</v>
      </c>
      <c r="K82" s="6">
        <v>0.84870967741935466</v>
      </c>
      <c r="L82" s="6">
        <v>0.78203239725786078</v>
      </c>
      <c r="M82" s="4" t="s">
        <v>36</v>
      </c>
      <c r="N82" s="5">
        <v>0.1162233810887723</v>
      </c>
      <c r="O82" s="4">
        <v>0</v>
      </c>
    </row>
    <row r="83" spans="1:15" x14ac:dyDescent="0.3">
      <c r="A83" s="4">
        <v>28</v>
      </c>
      <c r="B83" s="4">
        <v>28000</v>
      </c>
      <c r="C83" s="4" t="s">
        <v>15</v>
      </c>
      <c r="D83" s="4" t="s">
        <v>16</v>
      </c>
      <c r="E83" s="4" t="s">
        <v>17</v>
      </c>
      <c r="F83" s="4" t="s">
        <v>18</v>
      </c>
      <c r="G83" s="5">
        <v>0.1</v>
      </c>
      <c r="H83" s="5">
        <v>0.4</v>
      </c>
      <c r="I83" s="5">
        <v>0.05</v>
      </c>
      <c r="J83" s="6">
        <v>0.76666666666666672</v>
      </c>
      <c r="K83" s="6">
        <v>0.75217391304347825</v>
      </c>
      <c r="L83" s="6">
        <v>0.72019029038027005</v>
      </c>
      <c r="M83" s="4" t="s">
        <v>37</v>
      </c>
      <c r="N83" s="5">
        <v>0.20461269967764029</v>
      </c>
      <c r="O83" s="4">
        <v>1</v>
      </c>
    </row>
    <row r="84" spans="1:15" x14ac:dyDescent="0.3">
      <c r="A84" s="4">
        <v>28</v>
      </c>
      <c r="B84" s="4">
        <v>28000</v>
      </c>
      <c r="C84" s="4" t="s">
        <v>15</v>
      </c>
      <c r="D84" s="4" t="s">
        <v>161</v>
      </c>
      <c r="E84" s="4" t="s">
        <v>17</v>
      </c>
      <c r="F84" s="4" t="s">
        <v>18</v>
      </c>
      <c r="G84" s="5">
        <v>0.54444444444444451</v>
      </c>
      <c r="H84" s="5">
        <v>0.8</v>
      </c>
      <c r="I84" s="5">
        <v>0.05</v>
      </c>
      <c r="J84" s="6">
        <v>0.6333333333333333</v>
      </c>
      <c r="K84" s="6">
        <v>0.83052631578947378</v>
      </c>
      <c r="L84" s="6">
        <v>0.8563889721821738</v>
      </c>
      <c r="M84" s="4" t="s">
        <v>37</v>
      </c>
      <c r="N84" s="5">
        <v>0.20461269967764029</v>
      </c>
      <c r="O84" s="4">
        <v>1</v>
      </c>
    </row>
    <row r="85" spans="1:15" x14ac:dyDescent="0.3">
      <c r="A85" s="4">
        <v>28</v>
      </c>
      <c r="B85" s="4">
        <v>28000</v>
      </c>
      <c r="C85" s="4" t="s">
        <v>15</v>
      </c>
      <c r="D85" s="4" t="s">
        <v>162</v>
      </c>
      <c r="E85" s="4" t="s">
        <v>17</v>
      </c>
      <c r="F85" s="4" t="s">
        <v>18</v>
      </c>
      <c r="G85" s="5">
        <v>0.9</v>
      </c>
      <c r="H85" s="5">
        <v>0.8</v>
      </c>
      <c r="I85" s="5">
        <v>0.05</v>
      </c>
      <c r="J85" s="6">
        <v>0.38333333333333341</v>
      </c>
      <c r="K85" s="6">
        <v>0.88130434782608691</v>
      </c>
      <c r="L85" s="6">
        <v>0.6504140720417233</v>
      </c>
      <c r="M85" s="4" t="s">
        <v>37</v>
      </c>
      <c r="N85" s="5">
        <v>0.20461269967764029</v>
      </c>
      <c r="O85" s="4">
        <v>1</v>
      </c>
    </row>
    <row r="86" spans="1:15" x14ac:dyDescent="0.3">
      <c r="A86" s="4">
        <v>29</v>
      </c>
      <c r="B86" s="4">
        <v>29000</v>
      </c>
      <c r="C86" s="4" t="s">
        <v>15</v>
      </c>
      <c r="D86" s="4" t="s">
        <v>16</v>
      </c>
      <c r="E86" s="4" t="s">
        <v>17</v>
      </c>
      <c r="F86" s="4" t="s">
        <v>18</v>
      </c>
      <c r="G86" s="5">
        <v>0.1</v>
      </c>
      <c r="H86" s="5">
        <v>0.4</v>
      </c>
      <c r="I86" s="5">
        <v>0.05</v>
      </c>
      <c r="J86" s="6">
        <v>0.734375</v>
      </c>
      <c r="K86" s="6">
        <v>0.7708510638297873</v>
      </c>
      <c r="L86" s="6">
        <v>0.59947473533739914</v>
      </c>
      <c r="M86" s="4" t="s">
        <v>38</v>
      </c>
      <c r="N86" s="5">
        <v>0.167280042660339</v>
      </c>
      <c r="O86" s="4">
        <v>1</v>
      </c>
    </row>
    <row r="87" spans="1:15" x14ac:dyDescent="0.3">
      <c r="A87" s="4">
        <v>29</v>
      </c>
      <c r="B87" s="4">
        <v>29000</v>
      </c>
      <c r="C87" s="4" t="s">
        <v>15</v>
      </c>
      <c r="D87" s="4" t="s">
        <v>161</v>
      </c>
      <c r="E87" s="4" t="s">
        <v>17</v>
      </c>
      <c r="F87" s="4" t="s">
        <v>18</v>
      </c>
      <c r="G87" s="5">
        <v>0.72222222222222221</v>
      </c>
      <c r="H87" s="5">
        <v>0.60000000000000009</v>
      </c>
      <c r="I87" s="5">
        <v>0.05</v>
      </c>
      <c r="J87" s="6">
        <v>0.578125</v>
      </c>
      <c r="K87" s="6">
        <v>0.84486486486486467</v>
      </c>
      <c r="L87" s="6">
        <v>0.75362286816010637</v>
      </c>
      <c r="M87" s="4" t="s">
        <v>38</v>
      </c>
      <c r="N87" s="5">
        <v>0.167280042660339</v>
      </c>
      <c r="O87" s="4">
        <v>1</v>
      </c>
    </row>
    <row r="88" spans="1:15" x14ac:dyDescent="0.3">
      <c r="A88" s="4">
        <v>29</v>
      </c>
      <c r="B88" s="4">
        <v>29000</v>
      </c>
      <c r="C88" s="4" t="s">
        <v>15</v>
      </c>
      <c r="D88" s="4" t="s">
        <v>162</v>
      </c>
      <c r="E88" s="4" t="s">
        <v>17</v>
      </c>
      <c r="F88" s="4" t="s">
        <v>18</v>
      </c>
      <c r="G88" s="5">
        <v>0.9</v>
      </c>
      <c r="H88" s="5">
        <v>0.60000000000000009</v>
      </c>
      <c r="I88" s="5">
        <v>0.05</v>
      </c>
      <c r="J88" s="6">
        <v>0.46875</v>
      </c>
      <c r="K88" s="6">
        <v>0.86033333333333306</v>
      </c>
      <c r="L88" s="6">
        <v>0.70125477567632344</v>
      </c>
      <c r="M88" s="4" t="s">
        <v>38</v>
      </c>
      <c r="N88" s="5">
        <v>0.167280042660339</v>
      </c>
      <c r="O88" s="4">
        <v>1</v>
      </c>
    </row>
    <row r="89" spans="1:15" x14ac:dyDescent="0.3">
      <c r="A89" s="4">
        <v>30</v>
      </c>
      <c r="B89" s="4">
        <v>30000</v>
      </c>
      <c r="C89" s="4" t="s">
        <v>15</v>
      </c>
      <c r="D89" s="4" t="s">
        <v>16</v>
      </c>
      <c r="E89" s="4" t="s">
        <v>17</v>
      </c>
      <c r="F89" s="4" t="s">
        <v>18</v>
      </c>
      <c r="G89" s="5">
        <v>0.1</v>
      </c>
      <c r="H89" s="5">
        <v>0.4</v>
      </c>
      <c r="I89" s="5">
        <v>0.05</v>
      </c>
      <c r="J89" s="6">
        <v>0.69565217391304346</v>
      </c>
      <c r="K89" s="6">
        <v>0.76645833333333335</v>
      </c>
      <c r="L89" s="6">
        <v>0.64415961843461822</v>
      </c>
      <c r="M89" s="4" t="s">
        <v>19</v>
      </c>
      <c r="N89" s="5">
        <v>1</v>
      </c>
      <c r="O89" s="4">
        <v>1</v>
      </c>
    </row>
    <row r="90" spans="1:15" x14ac:dyDescent="0.3">
      <c r="A90" s="4">
        <v>30</v>
      </c>
      <c r="B90" s="4">
        <v>30000</v>
      </c>
      <c r="C90" s="4" t="s">
        <v>15</v>
      </c>
      <c r="D90" s="4" t="s">
        <v>161</v>
      </c>
      <c r="E90" s="4" t="s">
        <v>17</v>
      </c>
      <c r="F90" s="4" t="s">
        <v>18</v>
      </c>
      <c r="G90" s="5">
        <v>0.81111111111111112</v>
      </c>
      <c r="H90" s="5">
        <v>0.8</v>
      </c>
      <c r="I90" s="5">
        <v>0.05</v>
      </c>
      <c r="J90" s="6">
        <v>0.46376811594202899</v>
      </c>
      <c r="K90" s="6">
        <v>0.85499999999999976</v>
      </c>
      <c r="L90" s="6">
        <v>0.75736738105431578</v>
      </c>
      <c r="M90" s="4" t="s">
        <v>19</v>
      </c>
      <c r="N90" s="5">
        <v>1</v>
      </c>
      <c r="O90" s="4">
        <v>1</v>
      </c>
    </row>
    <row r="91" spans="1:15" x14ac:dyDescent="0.3">
      <c r="A91" s="4">
        <v>30</v>
      </c>
      <c r="B91" s="4">
        <v>30000</v>
      </c>
      <c r="C91" s="4" t="s">
        <v>15</v>
      </c>
      <c r="D91" s="4" t="s">
        <v>162</v>
      </c>
      <c r="E91" s="4" t="s">
        <v>17</v>
      </c>
      <c r="F91" s="4" t="s">
        <v>18</v>
      </c>
      <c r="G91" s="5">
        <v>0.81111111111111112</v>
      </c>
      <c r="H91" s="5">
        <v>0.8</v>
      </c>
      <c r="I91" s="5">
        <v>0.05</v>
      </c>
      <c r="J91" s="6">
        <v>0.46376811594202899</v>
      </c>
      <c r="K91" s="6">
        <v>0.85499999999999976</v>
      </c>
      <c r="L91" s="6">
        <v>0.75736738105431578</v>
      </c>
      <c r="M91" s="4" t="s">
        <v>19</v>
      </c>
      <c r="N91" s="5">
        <v>1</v>
      </c>
      <c r="O91" s="4">
        <v>1</v>
      </c>
    </row>
    <row r="92" spans="1:15" x14ac:dyDescent="0.3">
      <c r="A92" s="4">
        <v>31</v>
      </c>
      <c r="B92" s="4">
        <v>31000</v>
      </c>
      <c r="C92" s="4" t="s">
        <v>15</v>
      </c>
      <c r="D92" s="4" t="s">
        <v>16</v>
      </c>
      <c r="E92" s="4" t="s">
        <v>17</v>
      </c>
      <c r="F92" s="4" t="s">
        <v>18</v>
      </c>
      <c r="G92" s="5">
        <v>0.1</v>
      </c>
      <c r="H92" s="5">
        <v>0.4</v>
      </c>
      <c r="I92" s="5">
        <v>0.05</v>
      </c>
      <c r="J92" s="6">
        <v>0.70149253731343286</v>
      </c>
      <c r="K92" s="6">
        <v>0.75765957446808507</v>
      </c>
      <c r="L92" s="6">
        <v>0.62603079878337586</v>
      </c>
      <c r="M92" s="4" t="s">
        <v>39</v>
      </c>
      <c r="N92" s="5">
        <v>9.3370446753272912E-2</v>
      </c>
      <c r="O92" s="4">
        <v>0</v>
      </c>
    </row>
    <row r="93" spans="1:15" x14ac:dyDescent="0.3">
      <c r="A93" s="4">
        <v>31</v>
      </c>
      <c r="B93" s="4">
        <v>31000</v>
      </c>
      <c r="C93" s="4" t="s">
        <v>15</v>
      </c>
      <c r="D93" s="4" t="s">
        <v>161</v>
      </c>
      <c r="E93" s="4" t="s">
        <v>17</v>
      </c>
      <c r="F93" s="4" t="s">
        <v>18</v>
      </c>
      <c r="G93" s="5">
        <v>0.81111111111111112</v>
      </c>
      <c r="H93" s="5">
        <v>0.8</v>
      </c>
      <c r="I93" s="5">
        <v>0.05</v>
      </c>
      <c r="J93" s="6">
        <v>0.4925373134328358</v>
      </c>
      <c r="K93" s="6">
        <v>0.8330303030303029</v>
      </c>
      <c r="L93" s="6">
        <v>0.69755571988706944</v>
      </c>
      <c r="M93" s="4" t="s">
        <v>39</v>
      </c>
      <c r="N93" s="5">
        <v>9.3370446753272912E-2</v>
      </c>
      <c r="O93" s="4">
        <v>0</v>
      </c>
    </row>
    <row r="94" spans="1:15" x14ac:dyDescent="0.3">
      <c r="A94" s="4">
        <v>31</v>
      </c>
      <c r="B94" s="4">
        <v>31000</v>
      </c>
      <c r="C94" s="4" t="s">
        <v>15</v>
      </c>
      <c r="D94" s="4" t="s">
        <v>162</v>
      </c>
      <c r="E94" s="4" t="s">
        <v>17</v>
      </c>
      <c r="F94" s="4" t="s">
        <v>18</v>
      </c>
      <c r="G94" s="5">
        <v>0.81111111111111112</v>
      </c>
      <c r="H94" s="5">
        <v>0.8</v>
      </c>
      <c r="I94" s="5">
        <v>0.05</v>
      </c>
      <c r="J94" s="6">
        <v>0.4925373134328358</v>
      </c>
      <c r="K94" s="6">
        <v>0.8330303030303029</v>
      </c>
      <c r="L94" s="6">
        <v>0.69755571988706944</v>
      </c>
      <c r="M94" s="4" t="s">
        <v>39</v>
      </c>
      <c r="N94" s="5">
        <v>9.3370446753272912E-2</v>
      </c>
      <c r="O94" s="4">
        <v>0</v>
      </c>
    </row>
    <row r="95" spans="1:15" x14ac:dyDescent="0.3">
      <c r="A95" s="4">
        <v>32</v>
      </c>
      <c r="B95" s="4">
        <v>32000</v>
      </c>
      <c r="C95" s="4" t="s">
        <v>15</v>
      </c>
      <c r="D95" s="4" t="s">
        <v>16</v>
      </c>
      <c r="E95" s="4" t="s">
        <v>17</v>
      </c>
      <c r="F95" s="4" t="s">
        <v>18</v>
      </c>
      <c r="G95" s="5">
        <v>0.1</v>
      </c>
      <c r="H95" s="5">
        <v>0.4</v>
      </c>
      <c r="I95" s="5">
        <v>0.05</v>
      </c>
      <c r="J95" s="6">
        <v>0.70588235294117652</v>
      </c>
      <c r="K95" s="6">
        <v>0.77083333333333348</v>
      </c>
      <c r="L95" s="6">
        <v>0.6682405687798959</v>
      </c>
      <c r="M95" s="4" t="s">
        <v>40</v>
      </c>
      <c r="N95" s="5">
        <v>0.1134490431037104</v>
      </c>
      <c r="O95" s="4">
        <v>0</v>
      </c>
    </row>
    <row r="96" spans="1:15" x14ac:dyDescent="0.3">
      <c r="A96" s="4">
        <v>32</v>
      </c>
      <c r="B96" s="4">
        <v>32000</v>
      </c>
      <c r="C96" s="4" t="s">
        <v>15</v>
      </c>
      <c r="D96" s="4" t="s">
        <v>161</v>
      </c>
      <c r="E96" s="4" t="s">
        <v>17</v>
      </c>
      <c r="F96" s="4" t="s">
        <v>18</v>
      </c>
      <c r="G96" s="5">
        <v>0.81111111111111112</v>
      </c>
      <c r="H96" s="5">
        <v>0.8</v>
      </c>
      <c r="I96" s="5">
        <v>0.05</v>
      </c>
      <c r="J96" s="6">
        <v>0.45588235294117652</v>
      </c>
      <c r="K96" s="6">
        <v>0.86483870967741905</v>
      </c>
      <c r="L96" s="6">
        <v>0.737184478200273</v>
      </c>
      <c r="M96" s="4" t="s">
        <v>40</v>
      </c>
      <c r="N96" s="5">
        <v>0.1134490431037104</v>
      </c>
      <c r="O96" s="4">
        <v>0</v>
      </c>
    </row>
    <row r="97" spans="1:15" x14ac:dyDescent="0.3">
      <c r="A97" s="4">
        <v>32</v>
      </c>
      <c r="B97" s="4">
        <v>32000</v>
      </c>
      <c r="C97" s="4" t="s">
        <v>15</v>
      </c>
      <c r="D97" s="4" t="s">
        <v>162</v>
      </c>
      <c r="E97" s="4" t="s">
        <v>17</v>
      </c>
      <c r="F97" s="4" t="s">
        <v>18</v>
      </c>
      <c r="G97" s="5">
        <v>0.81111111111111112</v>
      </c>
      <c r="H97" s="5">
        <v>0.8</v>
      </c>
      <c r="I97" s="5">
        <v>0.05</v>
      </c>
      <c r="J97" s="6">
        <v>0.45588235294117652</v>
      </c>
      <c r="K97" s="6">
        <v>0.86483870967741905</v>
      </c>
      <c r="L97" s="6">
        <v>0.737184478200273</v>
      </c>
      <c r="M97" s="4" t="s">
        <v>40</v>
      </c>
      <c r="N97" s="5">
        <v>0.1134490431037104</v>
      </c>
      <c r="O97" s="4">
        <v>0</v>
      </c>
    </row>
    <row r="98" spans="1:15" x14ac:dyDescent="0.3">
      <c r="A98" s="4">
        <v>33</v>
      </c>
      <c r="B98" s="4">
        <v>33000</v>
      </c>
      <c r="C98" s="4" t="s">
        <v>15</v>
      </c>
      <c r="D98" s="4" t="s">
        <v>16</v>
      </c>
      <c r="E98" s="4" t="s">
        <v>17</v>
      </c>
      <c r="F98" s="4" t="s">
        <v>18</v>
      </c>
      <c r="G98" s="5">
        <v>0.1</v>
      </c>
      <c r="H98" s="5">
        <v>0.4</v>
      </c>
      <c r="I98" s="5">
        <v>0.05</v>
      </c>
      <c r="J98" s="6">
        <v>0.75</v>
      </c>
      <c r="K98" s="6">
        <v>0.78000000000000014</v>
      </c>
      <c r="L98" s="6">
        <v>0.59544712377354891</v>
      </c>
      <c r="M98" s="4" t="s">
        <v>41</v>
      </c>
      <c r="N98" s="5">
        <v>0.1555818942973039</v>
      </c>
      <c r="O98" s="4">
        <v>1</v>
      </c>
    </row>
    <row r="99" spans="1:15" x14ac:dyDescent="0.3">
      <c r="A99" s="4">
        <v>33</v>
      </c>
      <c r="B99" s="4">
        <v>33000</v>
      </c>
      <c r="C99" s="4" t="s">
        <v>15</v>
      </c>
      <c r="D99" s="4" t="s">
        <v>161</v>
      </c>
      <c r="E99" s="4" t="s">
        <v>17</v>
      </c>
      <c r="F99" s="4" t="s">
        <v>18</v>
      </c>
      <c r="G99" s="5">
        <v>0.72222222222222221</v>
      </c>
      <c r="H99" s="5">
        <v>0.60000000000000009</v>
      </c>
      <c r="I99" s="5">
        <v>0.05</v>
      </c>
      <c r="J99" s="6">
        <v>0.59375</v>
      </c>
      <c r="K99" s="6">
        <v>0.85552631578947358</v>
      </c>
      <c r="L99" s="6">
        <v>0.77031547629746167</v>
      </c>
      <c r="M99" s="4" t="s">
        <v>41</v>
      </c>
      <c r="N99" s="5">
        <v>0.1555818942973039</v>
      </c>
      <c r="O99" s="4">
        <v>1</v>
      </c>
    </row>
    <row r="100" spans="1:15" x14ac:dyDescent="0.3">
      <c r="A100" s="4">
        <v>33</v>
      </c>
      <c r="B100" s="4">
        <v>33000</v>
      </c>
      <c r="C100" s="4" t="s">
        <v>15</v>
      </c>
      <c r="D100" s="4" t="s">
        <v>162</v>
      </c>
      <c r="E100" s="4" t="s">
        <v>17</v>
      </c>
      <c r="F100" s="4" t="s">
        <v>18</v>
      </c>
      <c r="G100" s="5">
        <v>0.81111111111111112</v>
      </c>
      <c r="H100" s="5">
        <v>0.60000000000000009</v>
      </c>
      <c r="I100" s="5">
        <v>0.05</v>
      </c>
      <c r="J100" s="6">
        <v>0.515625</v>
      </c>
      <c r="K100" s="6">
        <v>0.86666666666666636</v>
      </c>
      <c r="L100" s="6">
        <v>0.72600847776423771</v>
      </c>
      <c r="M100" s="4" t="s">
        <v>41</v>
      </c>
      <c r="N100" s="5">
        <v>0.1555818942973039</v>
      </c>
      <c r="O100" s="4">
        <v>1</v>
      </c>
    </row>
    <row r="101" spans="1:15" x14ac:dyDescent="0.3">
      <c r="A101" s="4">
        <v>34</v>
      </c>
      <c r="B101" s="4">
        <v>34000</v>
      </c>
      <c r="C101" s="4" t="s">
        <v>15</v>
      </c>
      <c r="D101" s="4" t="s">
        <v>16</v>
      </c>
      <c r="E101" s="4" t="s">
        <v>17</v>
      </c>
      <c r="F101" s="4" t="s">
        <v>18</v>
      </c>
      <c r="G101" s="5">
        <v>0.1</v>
      </c>
      <c r="H101" s="5">
        <v>0.4</v>
      </c>
      <c r="I101" s="5">
        <v>0.05</v>
      </c>
      <c r="J101" s="6">
        <v>0.75409836065573765</v>
      </c>
      <c r="K101" s="6">
        <v>0.79717391304347818</v>
      </c>
      <c r="L101" s="6">
        <v>0.58797364144760844</v>
      </c>
      <c r="M101" s="4" t="s">
        <v>42</v>
      </c>
      <c r="N101" s="5">
        <v>0.129060699043648</v>
      </c>
      <c r="O101" s="4">
        <v>0</v>
      </c>
    </row>
    <row r="102" spans="1:15" x14ac:dyDescent="0.3">
      <c r="A102" s="4">
        <v>34</v>
      </c>
      <c r="B102" s="4">
        <v>34000</v>
      </c>
      <c r="C102" s="4" t="s">
        <v>15</v>
      </c>
      <c r="D102" s="4" t="s">
        <v>161</v>
      </c>
      <c r="E102" s="4" t="s">
        <v>17</v>
      </c>
      <c r="F102" s="4" t="s">
        <v>18</v>
      </c>
      <c r="G102" s="5">
        <v>0.72222222222222221</v>
      </c>
      <c r="H102" s="5">
        <v>0.60000000000000009</v>
      </c>
      <c r="I102" s="5">
        <v>0.05</v>
      </c>
      <c r="J102" s="6">
        <v>0.60655737704918034</v>
      </c>
      <c r="K102" s="6">
        <v>0.85891891891891858</v>
      </c>
      <c r="L102" s="6">
        <v>0.73704122171007758</v>
      </c>
      <c r="M102" s="4" t="s">
        <v>42</v>
      </c>
      <c r="N102" s="5">
        <v>0.129060699043648</v>
      </c>
      <c r="O102" s="4">
        <v>0</v>
      </c>
    </row>
    <row r="103" spans="1:15" x14ac:dyDescent="0.3">
      <c r="A103" s="4">
        <v>34</v>
      </c>
      <c r="B103" s="4">
        <v>34000</v>
      </c>
      <c r="C103" s="4" t="s">
        <v>15</v>
      </c>
      <c r="D103" s="4" t="s">
        <v>162</v>
      </c>
      <c r="E103" s="4" t="s">
        <v>17</v>
      </c>
      <c r="F103" s="4" t="s">
        <v>18</v>
      </c>
      <c r="G103" s="5">
        <v>0.81111111111111112</v>
      </c>
      <c r="H103" s="5">
        <v>0.60000000000000009</v>
      </c>
      <c r="I103" s="5">
        <v>0.05</v>
      </c>
      <c r="J103" s="6">
        <v>0.55737704918032782</v>
      </c>
      <c r="K103" s="6">
        <v>0.86529411764705855</v>
      </c>
      <c r="L103" s="6">
        <v>0.70035318701834037</v>
      </c>
      <c r="M103" s="4" t="s">
        <v>42</v>
      </c>
      <c r="N103" s="5">
        <v>0.129060699043648</v>
      </c>
      <c r="O103" s="4">
        <v>0</v>
      </c>
    </row>
    <row r="104" spans="1:15" x14ac:dyDescent="0.3">
      <c r="A104" s="4">
        <v>35</v>
      </c>
      <c r="B104" s="4">
        <v>35000</v>
      </c>
      <c r="C104" s="4" t="s">
        <v>15</v>
      </c>
      <c r="D104" s="4" t="s">
        <v>16</v>
      </c>
      <c r="E104" s="4" t="s">
        <v>17</v>
      </c>
      <c r="F104" s="4" t="s">
        <v>18</v>
      </c>
      <c r="G104" s="5">
        <v>0.1</v>
      </c>
      <c r="H104" s="5">
        <v>0.4</v>
      </c>
      <c r="I104" s="5">
        <v>0.05</v>
      </c>
      <c r="J104" s="6">
        <v>0.75409836065573765</v>
      </c>
      <c r="K104" s="6">
        <v>0.78391304347826074</v>
      </c>
      <c r="L104" s="6">
        <v>0.56100444801000227</v>
      </c>
      <c r="M104" s="4" t="s">
        <v>43</v>
      </c>
      <c r="N104" s="5">
        <v>0.16376669107901901</v>
      </c>
      <c r="O104" s="4">
        <v>1</v>
      </c>
    </row>
    <row r="105" spans="1:15" x14ac:dyDescent="0.3">
      <c r="A105" s="4">
        <v>35</v>
      </c>
      <c r="B105" s="4">
        <v>35000</v>
      </c>
      <c r="C105" s="4" t="s">
        <v>15</v>
      </c>
      <c r="D105" s="4" t="s">
        <v>161</v>
      </c>
      <c r="E105" s="4" t="s">
        <v>17</v>
      </c>
      <c r="F105" s="4" t="s">
        <v>18</v>
      </c>
      <c r="G105" s="5">
        <v>0.6333333333333333</v>
      </c>
      <c r="H105" s="5">
        <v>0.4</v>
      </c>
      <c r="I105" s="5">
        <v>0.18333333333333329</v>
      </c>
      <c r="J105" s="6">
        <v>0.45901639344262302</v>
      </c>
      <c r="K105" s="6">
        <v>0.84071428571428553</v>
      </c>
      <c r="L105" s="6">
        <v>0.72556788628761537</v>
      </c>
      <c r="M105" s="4" t="s">
        <v>43</v>
      </c>
      <c r="N105" s="5">
        <v>0.16376669107901901</v>
      </c>
      <c r="O105" s="4">
        <v>1</v>
      </c>
    </row>
    <row r="106" spans="1:15" x14ac:dyDescent="0.3">
      <c r="A106" s="4">
        <v>35</v>
      </c>
      <c r="B106" s="4">
        <v>35000</v>
      </c>
      <c r="C106" s="4" t="s">
        <v>15</v>
      </c>
      <c r="D106" s="4" t="s">
        <v>162</v>
      </c>
      <c r="E106" s="4" t="s">
        <v>17</v>
      </c>
      <c r="F106" s="4" t="s">
        <v>18</v>
      </c>
      <c r="G106" s="5">
        <v>0.9</v>
      </c>
      <c r="H106" s="5">
        <v>0.4</v>
      </c>
      <c r="I106" s="5">
        <v>0.05</v>
      </c>
      <c r="J106" s="6">
        <v>0.42622950819672129</v>
      </c>
      <c r="K106" s="6">
        <v>0.85923076923076913</v>
      </c>
      <c r="L106" s="6">
        <v>0.63728966481267257</v>
      </c>
      <c r="M106" s="4" t="s">
        <v>43</v>
      </c>
      <c r="N106" s="5">
        <v>0.16376669107901901</v>
      </c>
      <c r="O106" s="4">
        <v>1</v>
      </c>
    </row>
    <row r="107" spans="1:15" x14ac:dyDescent="0.3">
      <c r="A107" s="4">
        <v>36</v>
      </c>
      <c r="B107" s="4">
        <v>36000</v>
      </c>
      <c r="C107" s="4" t="s">
        <v>15</v>
      </c>
      <c r="D107" s="4" t="s">
        <v>16</v>
      </c>
      <c r="E107" s="4" t="s">
        <v>17</v>
      </c>
      <c r="F107" s="4" t="s">
        <v>18</v>
      </c>
      <c r="G107" s="5">
        <v>0.1</v>
      </c>
      <c r="H107" s="5">
        <v>0.4</v>
      </c>
      <c r="I107" s="5">
        <v>0.05</v>
      </c>
      <c r="J107" s="6">
        <v>0.78947368421052633</v>
      </c>
      <c r="K107" s="6">
        <v>0.77577777777777757</v>
      </c>
      <c r="L107" s="6">
        <v>0.64072609932408053</v>
      </c>
      <c r="M107" s="4" t="s">
        <v>19</v>
      </c>
      <c r="N107" s="5">
        <v>1</v>
      </c>
      <c r="O107" s="4">
        <v>1</v>
      </c>
    </row>
    <row r="108" spans="1:15" x14ac:dyDescent="0.3">
      <c r="A108" s="4">
        <v>36</v>
      </c>
      <c r="B108" s="4">
        <v>36000</v>
      </c>
      <c r="C108" s="4" t="s">
        <v>15</v>
      </c>
      <c r="D108" s="4" t="s">
        <v>161</v>
      </c>
      <c r="E108" s="4" t="s">
        <v>17</v>
      </c>
      <c r="F108" s="4" t="s">
        <v>18</v>
      </c>
      <c r="G108" s="5">
        <v>0.81111111111111112</v>
      </c>
      <c r="H108" s="5">
        <v>0.60000000000000009</v>
      </c>
      <c r="I108" s="5">
        <v>0.05</v>
      </c>
      <c r="J108" s="6">
        <v>0.57894736842105265</v>
      </c>
      <c r="K108" s="6">
        <v>0.85090909090909073</v>
      </c>
      <c r="L108" s="6">
        <v>0.73568348462719557</v>
      </c>
      <c r="M108" s="4" t="s">
        <v>19</v>
      </c>
      <c r="N108" s="5">
        <v>1</v>
      </c>
      <c r="O108" s="4">
        <v>1</v>
      </c>
    </row>
    <row r="109" spans="1:15" x14ac:dyDescent="0.3">
      <c r="A109" s="4">
        <v>36</v>
      </c>
      <c r="B109" s="4">
        <v>36000</v>
      </c>
      <c r="C109" s="4" t="s">
        <v>15</v>
      </c>
      <c r="D109" s="4" t="s">
        <v>162</v>
      </c>
      <c r="E109" s="4" t="s">
        <v>17</v>
      </c>
      <c r="F109" s="4" t="s">
        <v>18</v>
      </c>
      <c r="G109" s="5">
        <v>0.81111111111111112</v>
      </c>
      <c r="H109" s="5">
        <v>0.60000000000000009</v>
      </c>
      <c r="I109" s="5">
        <v>0.05</v>
      </c>
      <c r="J109" s="6">
        <v>0.57894736842105265</v>
      </c>
      <c r="K109" s="6">
        <v>0.85090909090909073</v>
      </c>
      <c r="L109" s="6">
        <v>0.73568348462719557</v>
      </c>
      <c r="M109" s="4" t="s">
        <v>19</v>
      </c>
      <c r="N109" s="5">
        <v>1</v>
      </c>
      <c r="O109" s="4">
        <v>1</v>
      </c>
    </row>
    <row r="110" spans="1:15" x14ac:dyDescent="0.3">
      <c r="A110" s="4">
        <v>37</v>
      </c>
      <c r="B110" s="4">
        <v>37000</v>
      </c>
      <c r="C110" s="4" t="s">
        <v>15</v>
      </c>
      <c r="D110" s="4" t="s">
        <v>16</v>
      </c>
      <c r="E110" s="4" t="s">
        <v>17</v>
      </c>
      <c r="F110" s="4" t="s">
        <v>18</v>
      </c>
      <c r="G110" s="5">
        <v>0.1</v>
      </c>
      <c r="H110" s="5">
        <v>0.4</v>
      </c>
      <c r="I110" s="5">
        <v>0.05</v>
      </c>
      <c r="J110" s="6">
        <v>0.72413793103448276</v>
      </c>
      <c r="K110" s="6">
        <v>0.79142857142857148</v>
      </c>
      <c r="L110" s="6">
        <v>0.61029343151274018</v>
      </c>
      <c r="M110" s="4" t="s">
        <v>44</v>
      </c>
      <c r="N110" s="5">
        <v>6.2605129081294578E-2</v>
      </c>
      <c r="O110" s="4">
        <v>0</v>
      </c>
    </row>
    <row r="111" spans="1:15" x14ac:dyDescent="0.3">
      <c r="A111" s="4">
        <v>37</v>
      </c>
      <c r="B111" s="4">
        <v>37000</v>
      </c>
      <c r="C111" s="4" t="s">
        <v>15</v>
      </c>
      <c r="D111" s="4" t="s">
        <v>161</v>
      </c>
      <c r="E111" s="4" t="s">
        <v>17</v>
      </c>
      <c r="F111" s="4" t="s">
        <v>18</v>
      </c>
      <c r="G111" s="5">
        <v>0.81111111111111112</v>
      </c>
      <c r="H111" s="5">
        <v>0.60000000000000009</v>
      </c>
      <c r="I111" s="5">
        <v>0.05</v>
      </c>
      <c r="J111" s="6">
        <v>0.55172413793103448</v>
      </c>
      <c r="K111" s="6">
        <v>0.85312499999999991</v>
      </c>
      <c r="L111" s="6">
        <v>0.71874598264859102</v>
      </c>
      <c r="M111" s="4" t="s">
        <v>44</v>
      </c>
      <c r="N111" s="5">
        <v>6.2605129081294578E-2</v>
      </c>
      <c r="O111" s="4">
        <v>0</v>
      </c>
    </row>
    <row r="112" spans="1:15" x14ac:dyDescent="0.3">
      <c r="A112" s="4">
        <v>37</v>
      </c>
      <c r="B112" s="4">
        <v>37000</v>
      </c>
      <c r="C112" s="4" t="s">
        <v>15</v>
      </c>
      <c r="D112" s="4" t="s">
        <v>162</v>
      </c>
      <c r="E112" s="4" t="s">
        <v>17</v>
      </c>
      <c r="F112" s="4" t="s">
        <v>18</v>
      </c>
      <c r="G112" s="5">
        <v>0.81111111111111112</v>
      </c>
      <c r="H112" s="5">
        <v>0.60000000000000009</v>
      </c>
      <c r="I112" s="5">
        <v>0.05</v>
      </c>
      <c r="J112" s="6">
        <v>0.55172413793103448</v>
      </c>
      <c r="K112" s="6">
        <v>0.85312499999999991</v>
      </c>
      <c r="L112" s="6">
        <v>0.71874598264859102</v>
      </c>
      <c r="M112" s="4" t="s">
        <v>44</v>
      </c>
      <c r="N112" s="5">
        <v>6.2605129081294578E-2</v>
      </c>
      <c r="O112" s="4">
        <v>0</v>
      </c>
    </row>
    <row r="113" spans="1:15" x14ac:dyDescent="0.3">
      <c r="A113" s="4">
        <v>38</v>
      </c>
      <c r="B113" s="4">
        <v>38000</v>
      </c>
      <c r="C113" s="4" t="s">
        <v>15</v>
      </c>
      <c r="D113" s="4" t="s">
        <v>16</v>
      </c>
      <c r="E113" s="4" t="s">
        <v>17</v>
      </c>
      <c r="F113" s="4" t="s">
        <v>18</v>
      </c>
      <c r="G113" s="5">
        <v>0.1</v>
      </c>
      <c r="H113" s="5">
        <v>0.4</v>
      </c>
      <c r="I113" s="5">
        <v>0.05</v>
      </c>
      <c r="J113" s="6">
        <v>0.68656716417910446</v>
      </c>
      <c r="K113" s="6">
        <v>0.77456521739130457</v>
      </c>
      <c r="L113" s="6">
        <v>0.61591056055598126</v>
      </c>
      <c r="M113" s="4" t="s">
        <v>45</v>
      </c>
      <c r="N113" s="5">
        <v>0.14741901733653259</v>
      </c>
      <c r="O113" s="4">
        <v>0</v>
      </c>
    </row>
    <row r="114" spans="1:15" x14ac:dyDescent="0.3">
      <c r="A114" s="4">
        <v>38</v>
      </c>
      <c r="B114" s="4">
        <v>38000</v>
      </c>
      <c r="C114" s="4" t="s">
        <v>15</v>
      </c>
      <c r="D114" s="4" t="s">
        <v>161</v>
      </c>
      <c r="E114" s="4" t="s">
        <v>17</v>
      </c>
      <c r="F114" s="4" t="s">
        <v>18</v>
      </c>
      <c r="G114" s="5">
        <v>0.81111111111111112</v>
      </c>
      <c r="H114" s="5">
        <v>0.60000000000000009</v>
      </c>
      <c r="I114" s="5">
        <v>0.05</v>
      </c>
      <c r="J114" s="6">
        <v>0.47761194029850751</v>
      </c>
      <c r="K114" s="6">
        <v>0.86031249999999981</v>
      </c>
      <c r="L114" s="6">
        <v>0.73006921472335606</v>
      </c>
      <c r="M114" s="4" t="s">
        <v>45</v>
      </c>
      <c r="N114" s="5">
        <v>0.14741901733653259</v>
      </c>
      <c r="O114" s="4">
        <v>0</v>
      </c>
    </row>
    <row r="115" spans="1:15" x14ac:dyDescent="0.3">
      <c r="A115" s="4">
        <v>38</v>
      </c>
      <c r="B115" s="4">
        <v>38000</v>
      </c>
      <c r="C115" s="4" t="s">
        <v>15</v>
      </c>
      <c r="D115" s="4" t="s">
        <v>162</v>
      </c>
      <c r="E115" s="4" t="s">
        <v>17</v>
      </c>
      <c r="F115" s="4" t="s">
        <v>18</v>
      </c>
      <c r="G115" s="5">
        <v>0.81111111111111112</v>
      </c>
      <c r="H115" s="5">
        <v>0.60000000000000009</v>
      </c>
      <c r="I115" s="5">
        <v>0.05</v>
      </c>
      <c r="J115" s="6">
        <v>0.47761194029850751</v>
      </c>
      <c r="K115" s="6">
        <v>0.86031249999999981</v>
      </c>
      <c r="L115" s="6">
        <v>0.73006921472335606</v>
      </c>
      <c r="M115" s="4" t="s">
        <v>45</v>
      </c>
      <c r="N115" s="5">
        <v>0.14741901733653259</v>
      </c>
      <c r="O115" s="4">
        <v>0</v>
      </c>
    </row>
    <row r="116" spans="1:15" x14ac:dyDescent="0.3">
      <c r="A116" s="4">
        <v>39</v>
      </c>
      <c r="B116" s="4">
        <v>39000</v>
      </c>
      <c r="C116" s="4" t="s">
        <v>15</v>
      </c>
      <c r="D116" s="4" t="s">
        <v>16</v>
      </c>
      <c r="E116" s="4" t="s">
        <v>17</v>
      </c>
      <c r="F116" s="4" t="s">
        <v>18</v>
      </c>
      <c r="G116" s="5">
        <v>0.1</v>
      </c>
      <c r="H116" s="5">
        <v>0.4</v>
      </c>
      <c r="I116" s="5">
        <v>0.05</v>
      </c>
      <c r="J116" s="6">
        <v>0.69230769230769229</v>
      </c>
      <c r="K116" s="6">
        <v>0.78155555555555545</v>
      </c>
      <c r="L116" s="6">
        <v>0.58334156895444944</v>
      </c>
      <c r="M116" s="4" t="s">
        <v>23</v>
      </c>
      <c r="N116" s="5">
        <v>0.17517462334531109</v>
      </c>
      <c r="O116" s="4">
        <v>1</v>
      </c>
    </row>
    <row r="117" spans="1:15" x14ac:dyDescent="0.3">
      <c r="A117" s="4">
        <v>39</v>
      </c>
      <c r="B117" s="4">
        <v>39000</v>
      </c>
      <c r="C117" s="4" t="s">
        <v>15</v>
      </c>
      <c r="D117" s="4" t="s">
        <v>161</v>
      </c>
      <c r="E117" s="4" t="s">
        <v>17</v>
      </c>
      <c r="F117" s="4" t="s">
        <v>18</v>
      </c>
      <c r="G117" s="5">
        <v>0.54444444444444451</v>
      </c>
      <c r="H117" s="5">
        <v>0.60000000000000009</v>
      </c>
      <c r="I117" s="5">
        <v>0.05</v>
      </c>
      <c r="J117" s="6">
        <v>0.58461538461538465</v>
      </c>
      <c r="K117" s="6">
        <v>0.84605263157894728</v>
      </c>
      <c r="L117" s="6">
        <v>0.74197690417274653</v>
      </c>
      <c r="M117" s="4" t="s">
        <v>23</v>
      </c>
      <c r="N117" s="5">
        <v>0.17517462334531109</v>
      </c>
      <c r="O117" s="4">
        <v>1</v>
      </c>
    </row>
    <row r="118" spans="1:15" x14ac:dyDescent="0.3">
      <c r="A118" s="4">
        <v>39</v>
      </c>
      <c r="B118" s="4">
        <v>39000</v>
      </c>
      <c r="C118" s="4" t="s">
        <v>15</v>
      </c>
      <c r="D118" s="4" t="s">
        <v>162</v>
      </c>
      <c r="E118" s="4" t="s">
        <v>17</v>
      </c>
      <c r="F118" s="4" t="s">
        <v>18</v>
      </c>
      <c r="G118" s="5">
        <v>0.9</v>
      </c>
      <c r="H118" s="5">
        <v>0.60000000000000009</v>
      </c>
      <c r="I118" s="5">
        <v>0.05</v>
      </c>
      <c r="J118" s="6">
        <v>0.44615384615384618</v>
      </c>
      <c r="K118" s="6">
        <v>0.86482758620689637</v>
      </c>
      <c r="L118" s="6">
        <v>0.70054573822019384</v>
      </c>
      <c r="M118" s="4" t="s">
        <v>23</v>
      </c>
      <c r="N118" s="5">
        <v>0.17517462334531109</v>
      </c>
      <c r="O118" s="4">
        <v>1</v>
      </c>
    </row>
    <row r="119" spans="1:15" x14ac:dyDescent="0.3">
      <c r="A119" s="4">
        <v>40</v>
      </c>
      <c r="B119" s="4">
        <v>40000</v>
      </c>
      <c r="C119" s="4" t="s">
        <v>15</v>
      </c>
      <c r="D119" s="4" t="s">
        <v>16</v>
      </c>
      <c r="E119" s="4" t="s">
        <v>17</v>
      </c>
      <c r="F119" s="4" t="s">
        <v>18</v>
      </c>
      <c r="G119" s="5">
        <v>0.1</v>
      </c>
      <c r="H119" s="5">
        <v>0.4</v>
      </c>
      <c r="I119" s="5">
        <v>0.05</v>
      </c>
      <c r="J119" s="6">
        <v>0.676056338028169</v>
      </c>
      <c r="K119" s="6">
        <v>0.76062500000000011</v>
      </c>
      <c r="L119" s="6">
        <v>0.63891217874146256</v>
      </c>
      <c r="M119" s="4" t="s">
        <v>46</v>
      </c>
      <c r="N119" s="5">
        <v>7.9269559785983948E-2</v>
      </c>
      <c r="O119" s="4">
        <v>0</v>
      </c>
    </row>
    <row r="120" spans="1:15" x14ac:dyDescent="0.3">
      <c r="A120" s="4">
        <v>40</v>
      </c>
      <c r="B120" s="4">
        <v>40000</v>
      </c>
      <c r="C120" s="4" t="s">
        <v>15</v>
      </c>
      <c r="D120" s="4" t="s">
        <v>161</v>
      </c>
      <c r="E120" s="4" t="s">
        <v>17</v>
      </c>
      <c r="F120" s="4" t="s">
        <v>18</v>
      </c>
      <c r="G120" s="5">
        <v>0.54444444444444451</v>
      </c>
      <c r="H120" s="5">
        <v>0.60000000000000009</v>
      </c>
      <c r="I120" s="5">
        <v>0.05</v>
      </c>
      <c r="J120" s="6">
        <v>0.57746478873239437</v>
      </c>
      <c r="K120" s="6">
        <v>0.82463414634146348</v>
      </c>
      <c r="L120" s="6">
        <v>0.63630476221163224</v>
      </c>
      <c r="M120" s="4" t="s">
        <v>46</v>
      </c>
      <c r="N120" s="5">
        <v>7.9269559785983948E-2</v>
      </c>
      <c r="O120" s="4">
        <v>0</v>
      </c>
    </row>
    <row r="121" spans="1:15" x14ac:dyDescent="0.3">
      <c r="A121" s="4">
        <v>40</v>
      </c>
      <c r="B121" s="4">
        <v>40000</v>
      </c>
      <c r="C121" s="4" t="s">
        <v>15</v>
      </c>
      <c r="D121" s="4" t="s">
        <v>162</v>
      </c>
      <c r="E121" s="4" t="s">
        <v>17</v>
      </c>
      <c r="F121" s="4" t="s">
        <v>18</v>
      </c>
      <c r="G121" s="5">
        <v>0.9</v>
      </c>
      <c r="H121" s="5">
        <v>0.60000000000000009</v>
      </c>
      <c r="I121" s="5">
        <v>0.05</v>
      </c>
      <c r="J121" s="6">
        <v>0.39436619718309862</v>
      </c>
      <c r="K121" s="6">
        <v>0.86357142857142843</v>
      </c>
      <c r="L121" s="6">
        <v>0.61876496330783215</v>
      </c>
      <c r="M121" s="4" t="s">
        <v>46</v>
      </c>
      <c r="N121" s="5">
        <v>7.9269559785983948E-2</v>
      </c>
      <c r="O121" s="4">
        <v>0</v>
      </c>
    </row>
    <row r="122" spans="1:15" x14ac:dyDescent="0.3">
      <c r="A122" s="4">
        <v>41</v>
      </c>
      <c r="B122" s="4">
        <v>41000</v>
      </c>
      <c r="C122" s="4" t="s">
        <v>15</v>
      </c>
      <c r="D122" s="4" t="s">
        <v>16</v>
      </c>
      <c r="E122" s="4" t="s">
        <v>17</v>
      </c>
      <c r="F122" s="4" t="s">
        <v>18</v>
      </c>
      <c r="G122" s="5">
        <v>0.1</v>
      </c>
      <c r="H122" s="5">
        <v>0.4</v>
      </c>
      <c r="I122" s="5">
        <v>0.05</v>
      </c>
      <c r="J122" s="6">
        <v>0.676056338028169</v>
      </c>
      <c r="K122" s="6">
        <v>0.75291666666666668</v>
      </c>
      <c r="L122" s="6">
        <v>0.55974792023374664</v>
      </c>
      <c r="M122" s="4" t="s">
        <v>19</v>
      </c>
      <c r="N122" s="5">
        <v>1</v>
      </c>
      <c r="O122" s="4">
        <v>1</v>
      </c>
    </row>
    <row r="123" spans="1:15" x14ac:dyDescent="0.3">
      <c r="A123" s="4">
        <v>41</v>
      </c>
      <c r="B123" s="4">
        <v>41000</v>
      </c>
      <c r="C123" s="4" t="s">
        <v>15</v>
      </c>
      <c r="D123" s="4" t="s">
        <v>161</v>
      </c>
      <c r="E123" s="4" t="s">
        <v>17</v>
      </c>
      <c r="F123" s="4" t="s">
        <v>18</v>
      </c>
      <c r="G123" s="5">
        <v>0.9</v>
      </c>
      <c r="H123" s="5">
        <v>0.4</v>
      </c>
      <c r="I123" s="5">
        <v>0.05</v>
      </c>
      <c r="J123" s="6">
        <v>0.42253521126760563</v>
      </c>
      <c r="K123" s="6">
        <v>0.80766666666666653</v>
      </c>
      <c r="L123" s="6">
        <v>0.71386161892459776</v>
      </c>
      <c r="M123" s="4" t="s">
        <v>19</v>
      </c>
      <c r="N123" s="5">
        <v>1</v>
      </c>
      <c r="O123" s="4">
        <v>1</v>
      </c>
    </row>
    <row r="124" spans="1:15" x14ac:dyDescent="0.3">
      <c r="A124" s="4">
        <v>41</v>
      </c>
      <c r="B124" s="4">
        <v>41000</v>
      </c>
      <c r="C124" s="4" t="s">
        <v>15</v>
      </c>
      <c r="D124" s="4" t="s">
        <v>162</v>
      </c>
      <c r="E124" s="4" t="s">
        <v>17</v>
      </c>
      <c r="F124" s="4" t="s">
        <v>18</v>
      </c>
      <c r="G124" s="5">
        <v>0.9</v>
      </c>
      <c r="H124" s="5">
        <v>0.60000000000000009</v>
      </c>
      <c r="I124" s="5">
        <v>0.05</v>
      </c>
      <c r="J124" s="6">
        <v>0.39436619718309862</v>
      </c>
      <c r="K124" s="6">
        <v>0.86535714285714271</v>
      </c>
      <c r="L124" s="6">
        <v>0.71386161892459776</v>
      </c>
      <c r="M124" s="4" t="s">
        <v>19</v>
      </c>
      <c r="N124" s="5">
        <v>1</v>
      </c>
      <c r="O124" s="4">
        <v>1</v>
      </c>
    </row>
    <row r="125" spans="1:15" x14ac:dyDescent="0.3">
      <c r="A125" s="4">
        <v>42</v>
      </c>
      <c r="B125" s="4">
        <v>42000</v>
      </c>
      <c r="C125" s="4" t="s">
        <v>15</v>
      </c>
      <c r="D125" s="4" t="s">
        <v>16</v>
      </c>
      <c r="E125" s="4" t="s">
        <v>17</v>
      </c>
      <c r="F125" s="4" t="s">
        <v>18</v>
      </c>
      <c r="G125" s="5">
        <v>0.1</v>
      </c>
      <c r="H125" s="5">
        <v>0.4</v>
      </c>
      <c r="I125" s="5">
        <v>0.05</v>
      </c>
      <c r="J125" s="6">
        <v>0.7384615384615385</v>
      </c>
      <c r="K125" s="6">
        <v>0.7572916666666667</v>
      </c>
      <c r="L125" s="6">
        <v>0.61698229920632153</v>
      </c>
      <c r="M125" s="4" t="s">
        <v>47</v>
      </c>
      <c r="N125" s="5">
        <v>0.1076916466264853</v>
      </c>
      <c r="O125" s="4">
        <v>0</v>
      </c>
    </row>
    <row r="126" spans="1:15" x14ac:dyDescent="0.3">
      <c r="A126" s="4">
        <v>42</v>
      </c>
      <c r="B126" s="4">
        <v>42000</v>
      </c>
      <c r="C126" s="4" t="s">
        <v>15</v>
      </c>
      <c r="D126" s="4" t="s">
        <v>161</v>
      </c>
      <c r="E126" s="4" t="s">
        <v>17</v>
      </c>
      <c r="F126" s="4" t="s">
        <v>18</v>
      </c>
      <c r="G126" s="5">
        <v>0.9</v>
      </c>
      <c r="H126" s="5">
        <v>0.4</v>
      </c>
      <c r="I126" s="5">
        <v>0.05</v>
      </c>
      <c r="J126" s="6">
        <v>0.44615384615384618</v>
      </c>
      <c r="K126" s="6">
        <v>0.80172413793103436</v>
      </c>
      <c r="L126" s="6">
        <v>0.62116955021818898</v>
      </c>
      <c r="M126" s="4" t="s">
        <v>47</v>
      </c>
      <c r="N126" s="5">
        <v>0.1076916466264853</v>
      </c>
      <c r="O126" s="4">
        <v>0</v>
      </c>
    </row>
    <row r="127" spans="1:15" x14ac:dyDescent="0.3">
      <c r="A127" s="4">
        <v>42</v>
      </c>
      <c r="B127" s="4">
        <v>42000</v>
      </c>
      <c r="C127" s="4" t="s">
        <v>15</v>
      </c>
      <c r="D127" s="4" t="s">
        <v>162</v>
      </c>
      <c r="E127" s="4" t="s">
        <v>17</v>
      </c>
      <c r="F127" s="4" t="s">
        <v>18</v>
      </c>
      <c r="G127" s="5">
        <v>0.9</v>
      </c>
      <c r="H127" s="5">
        <v>0.60000000000000009</v>
      </c>
      <c r="I127" s="5">
        <v>0.05</v>
      </c>
      <c r="J127" s="6">
        <v>0.43076923076923079</v>
      </c>
      <c r="K127" s="6">
        <v>0.83035714285714268</v>
      </c>
      <c r="L127" s="6">
        <v>0.62116955021818898</v>
      </c>
      <c r="M127" s="4" t="s">
        <v>47</v>
      </c>
      <c r="N127" s="5">
        <v>0.1076916466264853</v>
      </c>
      <c r="O127" s="4">
        <v>0</v>
      </c>
    </row>
    <row r="128" spans="1:15" x14ac:dyDescent="0.3">
      <c r="A128" s="4">
        <v>43</v>
      </c>
      <c r="B128" s="4">
        <v>43000</v>
      </c>
      <c r="C128" s="4" t="s">
        <v>15</v>
      </c>
      <c r="D128" s="4" t="s">
        <v>16</v>
      </c>
      <c r="E128" s="4" t="s">
        <v>17</v>
      </c>
      <c r="F128" s="4" t="s">
        <v>18</v>
      </c>
      <c r="G128" s="5">
        <v>0.1</v>
      </c>
      <c r="H128" s="5">
        <v>0.4</v>
      </c>
      <c r="I128" s="5">
        <v>0.05</v>
      </c>
      <c r="J128" s="6">
        <v>0.640625</v>
      </c>
      <c r="K128" s="6">
        <v>0.78268292682926821</v>
      </c>
      <c r="L128" s="6">
        <v>0.60263578125471873</v>
      </c>
      <c r="M128" s="4" t="s">
        <v>42</v>
      </c>
      <c r="N128" s="5">
        <v>0.1294644521479214</v>
      </c>
      <c r="O128" s="4">
        <v>0</v>
      </c>
    </row>
    <row r="129" spans="1:15" x14ac:dyDescent="0.3">
      <c r="A129" s="4">
        <v>43</v>
      </c>
      <c r="B129" s="4">
        <v>43000</v>
      </c>
      <c r="C129" s="4" t="s">
        <v>15</v>
      </c>
      <c r="D129" s="4" t="s">
        <v>161</v>
      </c>
      <c r="E129" s="4" t="s">
        <v>17</v>
      </c>
      <c r="F129" s="4" t="s">
        <v>18</v>
      </c>
      <c r="G129" s="5">
        <v>0.9</v>
      </c>
      <c r="H129" s="5">
        <v>0.4</v>
      </c>
      <c r="I129" s="5">
        <v>0.05</v>
      </c>
      <c r="J129" s="6">
        <v>0.46875</v>
      </c>
      <c r="K129" s="6">
        <v>0.83633333333333326</v>
      </c>
      <c r="L129" s="6">
        <v>0.66376041763074967</v>
      </c>
      <c r="M129" s="4" t="s">
        <v>42</v>
      </c>
      <c r="N129" s="5">
        <v>0.1294644521479214</v>
      </c>
      <c r="O129" s="4">
        <v>0</v>
      </c>
    </row>
    <row r="130" spans="1:15" x14ac:dyDescent="0.3">
      <c r="A130" s="4">
        <v>43</v>
      </c>
      <c r="B130" s="4">
        <v>43000</v>
      </c>
      <c r="C130" s="4" t="s">
        <v>15</v>
      </c>
      <c r="D130" s="4" t="s">
        <v>162</v>
      </c>
      <c r="E130" s="4" t="s">
        <v>17</v>
      </c>
      <c r="F130" s="4" t="s">
        <v>18</v>
      </c>
      <c r="G130" s="5">
        <v>0.9</v>
      </c>
      <c r="H130" s="5">
        <v>0.60000000000000009</v>
      </c>
      <c r="I130" s="5">
        <v>0.05</v>
      </c>
      <c r="J130" s="6">
        <v>0.453125</v>
      </c>
      <c r="K130" s="6">
        <v>0.86517241379310328</v>
      </c>
      <c r="L130" s="6">
        <v>0.66376041763074967</v>
      </c>
      <c r="M130" s="4" t="s">
        <v>42</v>
      </c>
      <c r="N130" s="5">
        <v>0.1294644521479214</v>
      </c>
      <c r="O130" s="4">
        <v>0</v>
      </c>
    </row>
    <row r="131" spans="1:15" x14ac:dyDescent="0.3">
      <c r="A131" s="4">
        <v>44</v>
      </c>
      <c r="B131" s="4">
        <v>44000</v>
      </c>
      <c r="C131" s="4" t="s">
        <v>15</v>
      </c>
      <c r="D131" s="4" t="s">
        <v>16</v>
      </c>
      <c r="E131" s="4" t="s">
        <v>17</v>
      </c>
      <c r="F131" s="4" t="s">
        <v>18</v>
      </c>
      <c r="G131" s="5">
        <v>0.1</v>
      </c>
      <c r="H131" s="5">
        <v>0.4</v>
      </c>
      <c r="I131" s="5">
        <v>0.05</v>
      </c>
      <c r="J131" s="6">
        <v>0.74576271186440679</v>
      </c>
      <c r="K131" s="6">
        <v>0.78454545454545466</v>
      </c>
      <c r="L131" s="6">
        <v>0.67847960623467551</v>
      </c>
      <c r="M131" s="4" t="s">
        <v>48</v>
      </c>
      <c r="N131" s="5">
        <v>0.1731906438575003</v>
      </c>
      <c r="O131" s="4">
        <v>1</v>
      </c>
    </row>
    <row r="132" spans="1:15" x14ac:dyDescent="0.3">
      <c r="A132" s="4">
        <v>44</v>
      </c>
      <c r="B132" s="4">
        <v>44000</v>
      </c>
      <c r="C132" s="4" t="s">
        <v>15</v>
      </c>
      <c r="D132" s="4" t="s">
        <v>161</v>
      </c>
      <c r="E132" s="4" t="s">
        <v>17</v>
      </c>
      <c r="F132" s="4" t="s">
        <v>18</v>
      </c>
      <c r="G132" s="5">
        <v>0.54444444444444451</v>
      </c>
      <c r="H132" s="5">
        <v>0.4</v>
      </c>
      <c r="I132" s="5">
        <v>0.05</v>
      </c>
      <c r="J132" s="6">
        <v>0.69491525423728817</v>
      </c>
      <c r="K132" s="6">
        <v>0.80975609756097555</v>
      </c>
      <c r="L132" s="6">
        <v>0.76330150947763131</v>
      </c>
      <c r="M132" s="4" t="s">
        <v>48</v>
      </c>
      <c r="N132" s="5">
        <v>0.1731906438575003</v>
      </c>
      <c r="O132" s="4">
        <v>1</v>
      </c>
    </row>
    <row r="133" spans="1:15" x14ac:dyDescent="0.3">
      <c r="A133" s="4">
        <v>44</v>
      </c>
      <c r="B133" s="4">
        <v>44000</v>
      </c>
      <c r="C133" s="4" t="s">
        <v>15</v>
      </c>
      <c r="D133" s="4" t="s">
        <v>162</v>
      </c>
      <c r="E133" s="4" t="s">
        <v>17</v>
      </c>
      <c r="F133" s="4" t="s">
        <v>18</v>
      </c>
      <c r="G133" s="5">
        <v>0.81111111111111112</v>
      </c>
      <c r="H133" s="5">
        <v>0.4</v>
      </c>
      <c r="I133" s="5">
        <v>0.05</v>
      </c>
      <c r="J133" s="6">
        <v>0.5423728813559322</v>
      </c>
      <c r="K133" s="6">
        <v>0.83718749999999986</v>
      </c>
      <c r="L133" s="6">
        <v>0.61620656210416003</v>
      </c>
      <c r="M133" s="4" t="s">
        <v>48</v>
      </c>
      <c r="N133" s="5">
        <v>0.1731906438575003</v>
      </c>
      <c r="O133" s="4">
        <v>1</v>
      </c>
    </row>
    <row r="134" spans="1:15" x14ac:dyDescent="0.3">
      <c r="A134" s="4">
        <v>45</v>
      </c>
      <c r="B134" s="4">
        <v>45000</v>
      </c>
      <c r="C134" s="4" t="s">
        <v>15</v>
      </c>
      <c r="D134" s="4" t="s">
        <v>16</v>
      </c>
      <c r="E134" s="4" t="s">
        <v>17</v>
      </c>
      <c r="F134" s="4" t="s">
        <v>18</v>
      </c>
      <c r="G134" s="5">
        <v>0.1</v>
      </c>
      <c r="H134" s="5">
        <v>0.4</v>
      </c>
      <c r="I134" s="5">
        <v>0.05</v>
      </c>
      <c r="J134" s="6">
        <v>0.72131147540983609</v>
      </c>
      <c r="K134" s="6">
        <v>0.78090909090909111</v>
      </c>
      <c r="L134" s="6">
        <v>0.66517179119677228</v>
      </c>
      <c r="M134" s="4" t="s">
        <v>49</v>
      </c>
      <c r="N134" s="5">
        <v>8.9914905845369666E-2</v>
      </c>
      <c r="O134" s="4">
        <v>0</v>
      </c>
    </row>
    <row r="135" spans="1:15" x14ac:dyDescent="0.3">
      <c r="A135" s="4">
        <v>45</v>
      </c>
      <c r="B135" s="4">
        <v>45000</v>
      </c>
      <c r="C135" s="4" t="s">
        <v>15</v>
      </c>
      <c r="D135" s="4" t="s">
        <v>161</v>
      </c>
      <c r="E135" s="4" t="s">
        <v>17</v>
      </c>
      <c r="F135" s="4" t="s">
        <v>18</v>
      </c>
      <c r="G135" s="5">
        <v>0.54444444444444451</v>
      </c>
      <c r="H135" s="5">
        <v>0.4</v>
      </c>
      <c r="I135" s="5">
        <v>0.05</v>
      </c>
      <c r="J135" s="6">
        <v>0.65573770491803274</v>
      </c>
      <c r="K135" s="6">
        <v>0.81325000000000025</v>
      </c>
      <c r="L135" s="6">
        <v>0.65807249636162835</v>
      </c>
      <c r="M135" s="4" t="s">
        <v>49</v>
      </c>
      <c r="N135" s="5">
        <v>8.9914905845369666E-2</v>
      </c>
      <c r="O135" s="4">
        <v>0</v>
      </c>
    </row>
    <row r="136" spans="1:15" x14ac:dyDescent="0.3">
      <c r="A136" s="4">
        <v>45</v>
      </c>
      <c r="B136" s="4">
        <v>45000</v>
      </c>
      <c r="C136" s="4" t="s">
        <v>15</v>
      </c>
      <c r="D136" s="4" t="s">
        <v>162</v>
      </c>
      <c r="E136" s="4" t="s">
        <v>17</v>
      </c>
      <c r="F136" s="4" t="s">
        <v>18</v>
      </c>
      <c r="G136" s="5">
        <v>0.81111111111111112</v>
      </c>
      <c r="H136" s="5">
        <v>0.4</v>
      </c>
      <c r="I136" s="5">
        <v>0.05</v>
      </c>
      <c r="J136" s="6">
        <v>0.52459016393442626</v>
      </c>
      <c r="K136" s="6">
        <v>0.83843749999999995</v>
      </c>
      <c r="L136" s="6">
        <v>0.74337869786224653</v>
      </c>
      <c r="M136" s="4" t="s">
        <v>49</v>
      </c>
      <c r="N136" s="5">
        <v>8.9914905845369666E-2</v>
      </c>
      <c r="O136" s="4">
        <v>0</v>
      </c>
    </row>
    <row r="137" spans="1:15" x14ac:dyDescent="0.3">
      <c r="A137" s="4">
        <v>46</v>
      </c>
      <c r="B137" s="4">
        <v>46000</v>
      </c>
      <c r="C137" s="4" t="s">
        <v>15</v>
      </c>
      <c r="D137" s="4" t="s">
        <v>16</v>
      </c>
      <c r="E137" s="4" t="s">
        <v>17</v>
      </c>
      <c r="F137" s="4" t="s">
        <v>18</v>
      </c>
      <c r="G137" s="5">
        <v>0.1</v>
      </c>
      <c r="H137" s="5">
        <v>0.4</v>
      </c>
      <c r="I137" s="5">
        <v>0.05</v>
      </c>
      <c r="J137" s="6">
        <v>0.734375</v>
      </c>
      <c r="K137" s="6">
        <v>0.76765957446808519</v>
      </c>
      <c r="L137" s="6">
        <v>0.67849332172442811</v>
      </c>
      <c r="M137" s="4" t="s">
        <v>19</v>
      </c>
      <c r="N137" s="5">
        <v>1</v>
      </c>
      <c r="O137" s="4">
        <v>1</v>
      </c>
    </row>
    <row r="138" spans="1:15" x14ac:dyDescent="0.3">
      <c r="A138" s="4">
        <v>46</v>
      </c>
      <c r="B138" s="4">
        <v>46000</v>
      </c>
      <c r="C138" s="4" t="s">
        <v>15</v>
      </c>
      <c r="D138" s="4" t="s">
        <v>161</v>
      </c>
      <c r="E138" s="4" t="s">
        <v>17</v>
      </c>
      <c r="F138" s="4" t="s">
        <v>18</v>
      </c>
      <c r="G138" s="5">
        <v>0.81111111111111112</v>
      </c>
      <c r="H138" s="5">
        <v>0.4</v>
      </c>
      <c r="I138" s="5">
        <v>0.05</v>
      </c>
      <c r="J138" s="6">
        <v>0.46875</v>
      </c>
      <c r="K138" s="6">
        <v>0.83566666666666667</v>
      </c>
      <c r="L138" s="6">
        <v>0.74788282411017926</v>
      </c>
      <c r="M138" s="4" t="s">
        <v>19</v>
      </c>
      <c r="N138" s="5">
        <v>1</v>
      </c>
      <c r="O138" s="4">
        <v>1</v>
      </c>
    </row>
    <row r="139" spans="1:15" x14ac:dyDescent="0.3">
      <c r="A139" s="4">
        <v>46</v>
      </c>
      <c r="B139" s="4">
        <v>46000</v>
      </c>
      <c r="C139" s="4" t="s">
        <v>15</v>
      </c>
      <c r="D139" s="4" t="s">
        <v>162</v>
      </c>
      <c r="E139" s="4" t="s">
        <v>17</v>
      </c>
      <c r="F139" s="4" t="s">
        <v>18</v>
      </c>
      <c r="G139" s="5">
        <v>0.81111111111111112</v>
      </c>
      <c r="H139" s="5">
        <v>0.4</v>
      </c>
      <c r="I139" s="5">
        <v>0.05</v>
      </c>
      <c r="J139" s="6">
        <v>0.46875</v>
      </c>
      <c r="K139" s="6">
        <v>0.83566666666666667</v>
      </c>
      <c r="L139" s="6">
        <v>0.74788282411017926</v>
      </c>
      <c r="M139" s="4" t="s">
        <v>19</v>
      </c>
      <c r="N139" s="5">
        <v>1</v>
      </c>
      <c r="O139" s="4">
        <v>1</v>
      </c>
    </row>
    <row r="140" spans="1:15" x14ac:dyDescent="0.3">
      <c r="A140" s="4">
        <v>47</v>
      </c>
      <c r="B140" s="4">
        <v>47000</v>
      </c>
      <c r="C140" s="4" t="s">
        <v>15</v>
      </c>
      <c r="D140" s="4" t="s">
        <v>16</v>
      </c>
      <c r="E140" s="4" t="s">
        <v>17</v>
      </c>
      <c r="F140" s="4" t="s">
        <v>18</v>
      </c>
      <c r="G140" s="5">
        <v>0.1</v>
      </c>
      <c r="H140" s="5">
        <v>0.4</v>
      </c>
      <c r="I140" s="5">
        <v>0.05</v>
      </c>
      <c r="J140" s="6">
        <v>0.73770491803278693</v>
      </c>
      <c r="K140" s="6">
        <v>0.80822222222222229</v>
      </c>
      <c r="L140" s="6">
        <v>0.76769570928337894</v>
      </c>
      <c r="M140" s="4" t="s">
        <v>19</v>
      </c>
      <c r="N140" s="5">
        <v>1</v>
      </c>
      <c r="O140" s="4">
        <v>1</v>
      </c>
    </row>
    <row r="141" spans="1:15" x14ac:dyDescent="0.3">
      <c r="A141" s="4">
        <v>47</v>
      </c>
      <c r="B141" s="4">
        <v>47000</v>
      </c>
      <c r="C141" s="4" t="s">
        <v>15</v>
      </c>
      <c r="D141" s="4" t="s">
        <v>161</v>
      </c>
      <c r="E141" s="4" t="s">
        <v>17</v>
      </c>
      <c r="F141" s="4" t="s">
        <v>18</v>
      </c>
      <c r="G141" s="5">
        <v>0.54444444444444451</v>
      </c>
      <c r="H141" s="5">
        <v>0.4</v>
      </c>
      <c r="I141" s="5">
        <v>0.05</v>
      </c>
      <c r="J141" s="6">
        <v>0.68852459016393441</v>
      </c>
      <c r="K141" s="6">
        <v>0.83047619047619059</v>
      </c>
      <c r="L141" s="6">
        <v>0.78646603360925882</v>
      </c>
      <c r="M141" s="4" t="s">
        <v>19</v>
      </c>
      <c r="N141" s="5">
        <v>1</v>
      </c>
      <c r="O141" s="4">
        <v>1</v>
      </c>
    </row>
    <row r="142" spans="1:15" x14ac:dyDescent="0.3">
      <c r="A142" s="4">
        <v>47</v>
      </c>
      <c r="B142" s="4">
        <v>47000</v>
      </c>
      <c r="C142" s="4" t="s">
        <v>15</v>
      </c>
      <c r="D142" s="4" t="s">
        <v>162</v>
      </c>
      <c r="E142" s="4" t="s">
        <v>17</v>
      </c>
      <c r="F142" s="4" t="s">
        <v>18</v>
      </c>
      <c r="G142" s="5">
        <v>0.9</v>
      </c>
      <c r="H142" s="5">
        <v>0.4</v>
      </c>
      <c r="I142" s="5">
        <v>0.05</v>
      </c>
      <c r="J142" s="6">
        <v>0.45901639344262302</v>
      </c>
      <c r="K142" s="6">
        <v>0.86749999999999983</v>
      </c>
      <c r="L142" s="6">
        <v>0.70579568202626797</v>
      </c>
      <c r="M142" s="4" t="s">
        <v>19</v>
      </c>
      <c r="N142" s="5">
        <v>1</v>
      </c>
      <c r="O142" s="4">
        <v>1</v>
      </c>
    </row>
    <row r="143" spans="1:15" x14ac:dyDescent="0.3">
      <c r="A143" s="4">
        <v>48</v>
      </c>
      <c r="B143" s="4">
        <v>48000</v>
      </c>
      <c r="C143" s="4" t="s">
        <v>15</v>
      </c>
      <c r="D143" s="4" t="s">
        <v>16</v>
      </c>
      <c r="E143" s="4" t="s">
        <v>17</v>
      </c>
      <c r="F143" s="4" t="s">
        <v>18</v>
      </c>
      <c r="G143" s="5">
        <v>0.1</v>
      </c>
      <c r="H143" s="5">
        <v>0.4</v>
      </c>
      <c r="I143" s="5">
        <v>0.05</v>
      </c>
      <c r="J143" s="6">
        <v>0.65671641791044777</v>
      </c>
      <c r="K143" s="6">
        <v>0.7986363636363637</v>
      </c>
      <c r="L143" s="6">
        <v>0.68931934536264661</v>
      </c>
      <c r="M143" s="4" t="s">
        <v>50</v>
      </c>
      <c r="N143" s="5">
        <v>8.4886181777097294E-2</v>
      </c>
      <c r="O143" s="4">
        <v>0</v>
      </c>
    </row>
    <row r="144" spans="1:15" x14ac:dyDescent="0.3">
      <c r="A144" s="4">
        <v>48</v>
      </c>
      <c r="B144" s="4">
        <v>48000</v>
      </c>
      <c r="C144" s="4" t="s">
        <v>15</v>
      </c>
      <c r="D144" s="4" t="s">
        <v>161</v>
      </c>
      <c r="E144" s="4" t="s">
        <v>17</v>
      </c>
      <c r="F144" s="4" t="s">
        <v>18</v>
      </c>
      <c r="G144" s="5">
        <v>0.54444444444444451</v>
      </c>
      <c r="H144" s="5">
        <v>0.4</v>
      </c>
      <c r="I144" s="5">
        <v>0.05</v>
      </c>
      <c r="J144" s="6">
        <v>0.59701492537313428</v>
      </c>
      <c r="K144" s="6">
        <v>0.82950000000000002</v>
      </c>
      <c r="L144" s="6">
        <v>0.78408190603429806</v>
      </c>
      <c r="M144" s="4" t="s">
        <v>50</v>
      </c>
      <c r="N144" s="5">
        <v>8.4886181777097294E-2</v>
      </c>
      <c r="O144" s="4">
        <v>0</v>
      </c>
    </row>
    <row r="145" spans="1:15" x14ac:dyDescent="0.3">
      <c r="A145" s="4">
        <v>48</v>
      </c>
      <c r="B145" s="4">
        <v>48000</v>
      </c>
      <c r="C145" s="4" t="s">
        <v>15</v>
      </c>
      <c r="D145" s="4" t="s">
        <v>162</v>
      </c>
      <c r="E145" s="4" t="s">
        <v>17</v>
      </c>
      <c r="F145" s="4" t="s">
        <v>18</v>
      </c>
      <c r="G145" s="5">
        <v>0.9</v>
      </c>
      <c r="H145" s="5">
        <v>0.4</v>
      </c>
      <c r="I145" s="5">
        <v>0.05</v>
      </c>
      <c r="J145" s="6">
        <v>0.38805970149253732</v>
      </c>
      <c r="K145" s="6">
        <v>0.86269230769230765</v>
      </c>
      <c r="L145" s="6">
        <v>0.62297431041548446</v>
      </c>
      <c r="M145" s="4" t="s">
        <v>50</v>
      </c>
      <c r="N145" s="5">
        <v>8.4886181777097294E-2</v>
      </c>
      <c r="O145" s="4">
        <v>0</v>
      </c>
    </row>
    <row r="146" spans="1:15" x14ac:dyDescent="0.3">
      <c r="A146" s="4">
        <v>49</v>
      </c>
      <c r="B146" s="4">
        <v>49000</v>
      </c>
      <c r="C146" s="4" t="s">
        <v>15</v>
      </c>
      <c r="D146" s="4" t="s">
        <v>16</v>
      </c>
      <c r="E146" s="4" t="s">
        <v>17</v>
      </c>
      <c r="F146" s="4" t="s">
        <v>18</v>
      </c>
      <c r="G146" s="5">
        <v>0.1</v>
      </c>
      <c r="H146" s="5">
        <v>0.4</v>
      </c>
      <c r="I146" s="5">
        <v>0.05</v>
      </c>
      <c r="J146" s="6">
        <v>0.734375</v>
      </c>
      <c r="K146" s="6">
        <v>0.80212765957446819</v>
      </c>
      <c r="L146" s="6">
        <v>0.63997425995975343</v>
      </c>
      <c r="M146" s="4" t="s">
        <v>25</v>
      </c>
      <c r="N146" s="5">
        <v>0.1124111135233011</v>
      </c>
      <c r="O146" s="4">
        <v>0</v>
      </c>
    </row>
    <row r="147" spans="1:15" x14ac:dyDescent="0.3">
      <c r="A147" s="4">
        <v>49</v>
      </c>
      <c r="B147" s="4">
        <v>49000</v>
      </c>
      <c r="C147" s="4" t="s">
        <v>15</v>
      </c>
      <c r="D147" s="4" t="s">
        <v>161</v>
      </c>
      <c r="E147" s="4" t="s">
        <v>17</v>
      </c>
      <c r="F147" s="4" t="s">
        <v>18</v>
      </c>
      <c r="G147" s="5">
        <v>0.54444444444444451</v>
      </c>
      <c r="H147" s="5">
        <v>0.4</v>
      </c>
      <c r="I147" s="5">
        <v>0.05</v>
      </c>
      <c r="J147" s="6">
        <v>0.71875</v>
      </c>
      <c r="K147" s="6">
        <v>0.80978260869565233</v>
      </c>
      <c r="L147" s="6">
        <v>0.64296162232211584</v>
      </c>
      <c r="M147" s="4" t="s">
        <v>25</v>
      </c>
      <c r="N147" s="5">
        <v>0.1124111135233011</v>
      </c>
      <c r="O147" s="4">
        <v>0</v>
      </c>
    </row>
    <row r="148" spans="1:15" x14ac:dyDescent="0.3">
      <c r="A148" s="4">
        <v>49</v>
      </c>
      <c r="B148" s="4">
        <v>49000</v>
      </c>
      <c r="C148" s="4" t="s">
        <v>15</v>
      </c>
      <c r="D148" s="4" t="s">
        <v>162</v>
      </c>
      <c r="E148" s="4" t="s">
        <v>17</v>
      </c>
      <c r="F148" s="4" t="s">
        <v>18</v>
      </c>
      <c r="G148" s="5">
        <v>0.9</v>
      </c>
      <c r="H148" s="5">
        <v>0.4</v>
      </c>
      <c r="I148" s="5">
        <v>0.05</v>
      </c>
      <c r="J148" s="6">
        <v>0.46875</v>
      </c>
      <c r="K148" s="6">
        <v>0.84033333333333315</v>
      </c>
      <c r="L148" s="6">
        <v>0.69627360574699537</v>
      </c>
      <c r="M148" s="4" t="s">
        <v>25</v>
      </c>
      <c r="N148" s="5">
        <v>0.1124111135233011</v>
      </c>
      <c r="O148" s="4">
        <v>0</v>
      </c>
    </row>
    <row r="149" spans="1:15" x14ac:dyDescent="0.3">
      <c r="A149" s="4">
        <v>50</v>
      </c>
      <c r="B149" s="4">
        <v>50000</v>
      </c>
      <c r="C149" s="4" t="s">
        <v>15</v>
      </c>
      <c r="D149" s="4" t="s">
        <v>16</v>
      </c>
      <c r="E149" s="4" t="s">
        <v>17</v>
      </c>
      <c r="F149" s="4" t="s">
        <v>18</v>
      </c>
      <c r="G149" s="5">
        <v>0.1</v>
      </c>
      <c r="H149" s="5">
        <v>0.4</v>
      </c>
      <c r="I149" s="5">
        <v>0.05</v>
      </c>
      <c r="J149" s="6">
        <v>0.80645161290322576</v>
      </c>
      <c r="K149" s="6">
        <v>0.7874000000000001</v>
      </c>
      <c r="L149" s="6">
        <v>0.70348445102828039</v>
      </c>
      <c r="M149" s="4" t="s">
        <v>51</v>
      </c>
      <c r="N149" s="5">
        <v>0.1601605791458417</v>
      </c>
      <c r="O149" s="4">
        <v>1</v>
      </c>
    </row>
    <row r="150" spans="1:15" x14ac:dyDescent="0.3">
      <c r="A150" s="4">
        <v>50</v>
      </c>
      <c r="B150" s="4">
        <v>50000</v>
      </c>
      <c r="C150" s="4" t="s">
        <v>15</v>
      </c>
      <c r="D150" s="4" t="s">
        <v>161</v>
      </c>
      <c r="E150" s="4" t="s">
        <v>17</v>
      </c>
      <c r="F150" s="4" t="s">
        <v>18</v>
      </c>
      <c r="G150" s="5">
        <v>0.54444444444444451</v>
      </c>
      <c r="H150" s="5">
        <v>0.60000000000000009</v>
      </c>
      <c r="I150" s="5">
        <v>0.05</v>
      </c>
      <c r="J150" s="6">
        <v>0.70967741935483875</v>
      </c>
      <c r="K150" s="6">
        <v>0.83818181818181825</v>
      </c>
      <c r="L150" s="6">
        <v>0.77106754385535503</v>
      </c>
      <c r="M150" s="4" t="s">
        <v>51</v>
      </c>
      <c r="N150" s="5">
        <v>0.1601605791458417</v>
      </c>
      <c r="O150" s="4">
        <v>1</v>
      </c>
    </row>
    <row r="151" spans="1:15" x14ac:dyDescent="0.3">
      <c r="A151" s="4">
        <v>50</v>
      </c>
      <c r="B151" s="4">
        <v>50000</v>
      </c>
      <c r="C151" s="4" t="s">
        <v>15</v>
      </c>
      <c r="D151" s="4" t="s">
        <v>162</v>
      </c>
      <c r="E151" s="4" t="s">
        <v>17</v>
      </c>
      <c r="F151" s="4" t="s">
        <v>18</v>
      </c>
      <c r="G151" s="5">
        <v>0.9</v>
      </c>
      <c r="H151" s="5">
        <v>0.60000000000000009</v>
      </c>
      <c r="I151" s="5">
        <v>0.05</v>
      </c>
      <c r="J151" s="6">
        <v>0.4838709677419355</v>
      </c>
      <c r="K151" s="6">
        <v>0.86666666666666659</v>
      </c>
      <c r="L151" s="6">
        <v>0.71736937466063355</v>
      </c>
      <c r="M151" s="4" t="s">
        <v>51</v>
      </c>
      <c r="N151" s="5">
        <v>0.1601605791458417</v>
      </c>
      <c r="O151" s="4">
        <v>1</v>
      </c>
    </row>
    <row r="152" spans="1:15" x14ac:dyDescent="0.3">
      <c r="A152" s="4">
        <v>51</v>
      </c>
      <c r="B152" s="4">
        <v>51000</v>
      </c>
      <c r="C152" s="4" t="s">
        <v>15</v>
      </c>
      <c r="D152" s="4" t="s">
        <v>16</v>
      </c>
      <c r="E152" s="4" t="s">
        <v>17</v>
      </c>
      <c r="F152" s="4" t="s">
        <v>18</v>
      </c>
      <c r="G152" s="5">
        <v>0.1</v>
      </c>
      <c r="H152" s="5">
        <v>0.4</v>
      </c>
      <c r="I152" s="5">
        <v>0.05</v>
      </c>
      <c r="J152" s="6">
        <v>0.74603174603174605</v>
      </c>
      <c r="K152" s="6">
        <v>0.78553191489361718</v>
      </c>
      <c r="L152" s="6">
        <v>0.80065039591433973</v>
      </c>
      <c r="M152" s="4" t="s">
        <v>30</v>
      </c>
      <c r="N152" s="5">
        <v>0.14230698377846179</v>
      </c>
      <c r="O152" s="4">
        <v>0</v>
      </c>
    </row>
    <row r="153" spans="1:15" x14ac:dyDescent="0.3">
      <c r="A153" s="4">
        <v>51</v>
      </c>
      <c r="B153" s="4">
        <v>51000</v>
      </c>
      <c r="C153" s="4" t="s">
        <v>15</v>
      </c>
      <c r="D153" s="4" t="s">
        <v>161</v>
      </c>
      <c r="E153" s="4" t="s">
        <v>17</v>
      </c>
      <c r="F153" s="4" t="s">
        <v>18</v>
      </c>
      <c r="G153" s="5">
        <v>0.54444444444444451</v>
      </c>
      <c r="H153" s="5">
        <v>0.60000000000000009</v>
      </c>
      <c r="I153" s="5">
        <v>0.05</v>
      </c>
      <c r="J153" s="6">
        <v>0.66666666666666663</v>
      </c>
      <c r="K153" s="6">
        <v>0.81952380952380954</v>
      </c>
      <c r="L153" s="6">
        <v>0.77165231066625439</v>
      </c>
      <c r="M153" s="4" t="s">
        <v>30</v>
      </c>
      <c r="N153" s="5">
        <v>0.14230698377846179</v>
      </c>
      <c r="O153" s="4">
        <v>0</v>
      </c>
    </row>
    <row r="154" spans="1:15" x14ac:dyDescent="0.3">
      <c r="A154" s="4">
        <v>51</v>
      </c>
      <c r="B154" s="4">
        <v>51000</v>
      </c>
      <c r="C154" s="4" t="s">
        <v>15</v>
      </c>
      <c r="D154" s="4" t="s">
        <v>162</v>
      </c>
      <c r="E154" s="4" t="s">
        <v>17</v>
      </c>
      <c r="F154" s="4" t="s">
        <v>18</v>
      </c>
      <c r="G154" s="5">
        <v>0.9</v>
      </c>
      <c r="H154" s="5">
        <v>0.60000000000000009</v>
      </c>
      <c r="I154" s="5">
        <v>0.05</v>
      </c>
      <c r="J154" s="6">
        <v>0.46031746031746029</v>
      </c>
      <c r="K154" s="6">
        <v>0.83482758620689634</v>
      </c>
      <c r="L154" s="6">
        <v>0.62611907491678331</v>
      </c>
      <c r="M154" s="4" t="s">
        <v>30</v>
      </c>
      <c r="N154" s="5">
        <v>0.14230698377846179</v>
      </c>
      <c r="O154" s="4">
        <v>0</v>
      </c>
    </row>
    <row r="155" spans="1:15" x14ac:dyDescent="0.3">
      <c r="A155" s="4">
        <v>52</v>
      </c>
      <c r="B155" s="4">
        <v>52000</v>
      </c>
      <c r="C155" s="4" t="s">
        <v>15</v>
      </c>
      <c r="D155" s="4" t="s">
        <v>16</v>
      </c>
      <c r="E155" s="4" t="s">
        <v>17</v>
      </c>
      <c r="F155" s="4" t="s">
        <v>18</v>
      </c>
      <c r="G155" s="5">
        <v>0.1</v>
      </c>
      <c r="H155" s="5">
        <v>0.4</v>
      </c>
      <c r="I155" s="5">
        <v>0.05</v>
      </c>
      <c r="J155" s="6">
        <v>0.77192982456140347</v>
      </c>
      <c r="K155" s="6">
        <v>0.77749999999999997</v>
      </c>
      <c r="L155" s="6">
        <v>0.74817018488453646</v>
      </c>
      <c r="M155" s="4" t="s">
        <v>19</v>
      </c>
      <c r="N155" s="5">
        <v>1</v>
      </c>
      <c r="O155" s="4">
        <v>1</v>
      </c>
    </row>
    <row r="156" spans="1:15" x14ac:dyDescent="0.3">
      <c r="A156" s="4">
        <v>52</v>
      </c>
      <c r="B156" s="4">
        <v>52000</v>
      </c>
      <c r="C156" s="4" t="s">
        <v>15</v>
      </c>
      <c r="D156" s="4" t="s">
        <v>161</v>
      </c>
      <c r="E156" s="4" t="s">
        <v>17</v>
      </c>
      <c r="F156" s="4" t="s">
        <v>18</v>
      </c>
      <c r="G156" s="5">
        <v>0.1</v>
      </c>
      <c r="H156" s="5">
        <v>0.60000000000000009</v>
      </c>
      <c r="I156" s="5">
        <v>0.05</v>
      </c>
      <c r="J156" s="6">
        <v>0.73684210526315785</v>
      </c>
      <c r="K156" s="6">
        <v>0.81452380952380954</v>
      </c>
      <c r="L156" s="6">
        <v>0.80881833303268458</v>
      </c>
      <c r="M156" s="4" t="s">
        <v>19</v>
      </c>
      <c r="N156" s="5">
        <v>1</v>
      </c>
      <c r="O156" s="4">
        <v>1</v>
      </c>
    </row>
    <row r="157" spans="1:15" x14ac:dyDescent="0.3">
      <c r="A157" s="4">
        <v>52</v>
      </c>
      <c r="B157" s="4">
        <v>52000</v>
      </c>
      <c r="C157" s="4" t="s">
        <v>15</v>
      </c>
      <c r="D157" s="4" t="s">
        <v>162</v>
      </c>
      <c r="E157" s="4" t="s">
        <v>17</v>
      </c>
      <c r="F157" s="4" t="s">
        <v>18</v>
      </c>
      <c r="G157" s="5">
        <v>0.9</v>
      </c>
      <c r="H157" s="5">
        <v>0.60000000000000009</v>
      </c>
      <c r="I157" s="5">
        <v>0.05</v>
      </c>
      <c r="J157" s="6">
        <v>0.43859649122807021</v>
      </c>
      <c r="K157" s="6">
        <v>0.88919999999999977</v>
      </c>
      <c r="L157" s="6">
        <v>0.7198667171383849</v>
      </c>
      <c r="M157" s="4" t="s">
        <v>19</v>
      </c>
      <c r="N157" s="5">
        <v>1</v>
      </c>
      <c r="O157" s="4">
        <v>1</v>
      </c>
    </row>
    <row r="158" spans="1:15" x14ac:dyDescent="0.3">
      <c r="A158" s="4">
        <v>53</v>
      </c>
      <c r="B158" s="4">
        <v>53000</v>
      </c>
      <c r="C158" s="4" t="s">
        <v>15</v>
      </c>
      <c r="D158" s="4" t="s">
        <v>16</v>
      </c>
      <c r="E158" s="4" t="s">
        <v>17</v>
      </c>
      <c r="F158" s="4" t="s">
        <v>18</v>
      </c>
      <c r="G158" s="5">
        <v>0.1</v>
      </c>
      <c r="H158" s="5">
        <v>0.4</v>
      </c>
      <c r="I158" s="5">
        <v>0.05</v>
      </c>
      <c r="J158" s="6">
        <v>0.74509803921568629</v>
      </c>
      <c r="K158" s="6">
        <v>0.81499999999999984</v>
      </c>
      <c r="L158" s="6">
        <v>0.72618869151800058</v>
      </c>
      <c r="M158" s="4" t="s">
        <v>40</v>
      </c>
      <c r="N158" s="5">
        <v>0.1128273192916852</v>
      </c>
      <c r="O158" s="4">
        <v>0</v>
      </c>
    </row>
    <row r="159" spans="1:15" x14ac:dyDescent="0.3">
      <c r="A159" s="4">
        <v>53</v>
      </c>
      <c r="B159" s="4">
        <v>53000</v>
      </c>
      <c r="C159" s="4" t="s">
        <v>15</v>
      </c>
      <c r="D159" s="4" t="s">
        <v>161</v>
      </c>
      <c r="E159" s="4" t="s">
        <v>17</v>
      </c>
      <c r="F159" s="4" t="s">
        <v>18</v>
      </c>
      <c r="G159" s="5">
        <v>0.1</v>
      </c>
      <c r="H159" s="5">
        <v>0.60000000000000009</v>
      </c>
      <c r="I159" s="5">
        <v>0.05</v>
      </c>
      <c r="J159" s="6">
        <v>0.72549019607843135</v>
      </c>
      <c r="K159" s="6">
        <v>0.83702702702702692</v>
      </c>
      <c r="L159" s="6">
        <v>0.75144121677052567</v>
      </c>
      <c r="M159" s="4" t="s">
        <v>40</v>
      </c>
      <c r="N159" s="5">
        <v>0.1128273192916852</v>
      </c>
      <c r="O159" s="4">
        <v>0</v>
      </c>
    </row>
    <row r="160" spans="1:15" x14ac:dyDescent="0.3">
      <c r="A160" s="4">
        <v>53</v>
      </c>
      <c r="B160" s="4">
        <v>53000</v>
      </c>
      <c r="C160" s="4" t="s">
        <v>15</v>
      </c>
      <c r="D160" s="4" t="s">
        <v>162</v>
      </c>
      <c r="E160" s="4" t="s">
        <v>17</v>
      </c>
      <c r="F160" s="4" t="s">
        <v>18</v>
      </c>
      <c r="G160" s="5">
        <v>0.9</v>
      </c>
      <c r="H160" s="5">
        <v>0.60000000000000009</v>
      </c>
      <c r="I160" s="5">
        <v>0.05</v>
      </c>
      <c r="J160" s="6">
        <v>0.56862745098039214</v>
      </c>
      <c r="K160" s="6">
        <v>0.86413793103448266</v>
      </c>
      <c r="L160" s="6">
        <v>0.69209946624744145</v>
      </c>
      <c r="M160" s="4" t="s">
        <v>40</v>
      </c>
      <c r="N160" s="5">
        <v>0.1128273192916852</v>
      </c>
      <c r="O160" s="4">
        <v>0</v>
      </c>
    </row>
    <row r="161" spans="1:15" x14ac:dyDescent="0.3">
      <c r="A161" s="4">
        <v>54</v>
      </c>
      <c r="B161" s="4">
        <v>54000</v>
      </c>
      <c r="C161" s="4" t="s">
        <v>15</v>
      </c>
      <c r="D161" s="4" t="s">
        <v>16</v>
      </c>
      <c r="E161" s="4" t="s">
        <v>17</v>
      </c>
      <c r="F161" s="4" t="s">
        <v>18</v>
      </c>
      <c r="G161" s="5">
        <v>0.1</v>
      </c>
      <c r="H161" s="5">
        <v>0.4</v>
      </c>
      <c r="I161" s="5">
        <v>0.05</v>
      </c>
      <c r="J161" s="6">
        <v>0.73684210526315785</v>
      </c>
      <c r="K161" s="6">
        <v>0.81309523809523809</v>
      </c>
      <c r="L161" s="6">
        <v>0.70959715424254455</v>
      </c>
      <c r="M161" s="4" t="s">
        <v>19</v>
      </c>
      <c r="N161" s="5">
        <v>1</v>
      </c>
      <c r="O161" s="4">
        <v>1</v>
      </c>
    </row>
    <row r="162" spans="1:15" x14ac:dyDescent="0.3">
      <c r="A162" s="4">
        <v>54</v>
      </c>
      <c r="B162" s="4">
        <v>54000</v>
      </c>
      <c r="C162" s="4" t="s">
        <v>15</v>
      </c>
      <c r="D162" s="4" t="s">
        <v>161</v>
      </c>
      <c r="E162" s="4" t="s">
        <v>17</v>
      </c>
      <c r="F162" s="4" t="s">
        <v>18</v>
      </c>
      <c r="G162" s="5">
        <v>0.1</v>
      </c>
      <c r="H162" s="5">
        <v>0.4</v>
      </c>
      <c r="I162" s="5">
        <v>0.05</v>
      </c>
      <c r="J162" s="6">
        <v>0.73684210526315785</v>
      </c>
      <c r="K162" s="6">
        <v>0.81309523809523809</v>
      </c>
      <c r="L162" s="6">
        <v>0.70959715424254455</v>
      </c>
      <c r="M162" s="4" t="s">
        <v>19</v>
      </c>
      <c r="N162" s="5">
        <v>1</v>
      </c>
      <c r="O162" s="4">
        <v>1</v>
      </c>
    </row>
    <row r="163" spans="1:15" x14ac:dyDescent="0.3">
      <c r="A163" s="4">
        <v>54</v>
      </c>
      <c r="B163" s="4">
        <v>54000</v>
      </c>
      <c r="C163" s="4" t="s">
        <v>15</v>
      </c>
      <c r="D163" s="4" t="s">
        <v>162</v>
      </c>
      <c r="E163" s="4" t="s">
        <v>17</v>
      </c>
      <c r="F163" s="4" t="s">
        <v>18</v>
      </c>
      <c r="G163" s="5">
        <v>0.81111111111111112</v>
      </c>
      <c r="H163" s="5">
        <v>0.4</v>
      </c>
      <c r="I163" s="5">
        <v>0.05</v>
      </c>
      <c r="J163" s="6">
        <v>0.56140350877192979</v>
      </c>
      <c r="K163" s="6">
        <v>0.86</v>
      </c>
      <c r="L163" s="6">
        <v>0.66845745701927539</v>
      </c>
      <c r="M163" s="4" t="s">
        <v>19</v>
      </c>
      <c r="N163" s="5">
        <v>1</v>
      </c>
      <c r="O163" s="4">
        <v>1</v>
      </c>
    </row>
    <row r="164" spans="1:15" x14ac:dyDescent="0.3">
      <c r="A164" s="4">
        <v>55</v>
      </c>
      <c r="B164" s="4">
        <v>55000</v>
      </c>
      <c r="C164" s="4" t="s">
        <v>15</v>
      </c>
      <c r="D164" s="4" t="s">
        <v>16</v>
      </c>
      <c r="E164" s="4" t="s">
        <v>17</v>
      </c>
      <c r="F164" s="4" t="s">
        <v>18</v>
      </c>
      <c r="G164" s="5">
        <v>0.1</v>
      </c>
      <c r="H164" s="5">
        <v>0.4</v>
      </c>
      <c r="I164" s="5">
        <v>0.05</v>
      </c>
      <c r="J164" s="6">
        <v>0.78947368421052633</v>
      </c>
      <c r="K164" s="6">
        <v>0.79799999999999993</v>
      </c>
      <c r="L164" s="6">
        <v>0.6614417382305976</v>
      </c>
      <c r="M164" s="4" t="s">
        <v>52</v>
      </c>
      <c r="N164" s="5">
        <v>8.7709479982460092E-2</v>
      </c>
      <c r="O164" s="4">
        <v>0</v>
      </c>
    </row>
    <row r="165" spans="1:15" x14ac:dyDescent="0.3">
      <c r="A165" s="4">
        <v>55</v>
      </c>
      <c r="B165" s="4">
        <v>55000</v>
      </c>
      <c r="C165" s="4" t="s">
        <v>15</v>
      </c>
      <c r="D165" s="4" t="s">
        <v>161</v>
      </c>
      <c r="E165" s="4" t="s">
        <v>17</v>
      </c>
      <c r="F165" s="4" t="s">
        <v>18</v>
      </c>
      <c r="G165" s="5">
        <v>0.1</v>
      </c>
      <c r="H165" s="5">
        <v>0.4</v>
      </c>
      <c r="I165" s="5">
        <v>0.05</v>
      </c>
      <c r="J165" s="6">
        <v>0.78947368421052633</v>
      </c>
      <c r="K165" s="6">
        <v>0.79799999999999993</v>
      </c>
      <c r="L165" s="6">
        <v>0.6614417382305976</v>
      </c>
      <c r="M165" s="4" t="s">
        <v>52</v>
      </c>
      <c r="N165" s="5">
        <v>8.7709479982460092E-2</v>
      </c>
      <c r="O165" s="4">
        <v>0</v>
      </c>
    </row>
    <row r="166" spans="1:15" x14ac:dyDescent="0.3">
      <c r="A166" s="4">
        <v>55</v>
      </c>
      <c r="B166" s="4">
        <v>55000</v>
      </c>
      <c r="C166" s="4" t="s">
        <v>15</v>
      </c>
      <c r="D166" s="4" t="s">
        <v>162</v>
      </c>
      <c r="E166" s="4" t="s">
        <v>17</v>
      </c>
      <c r="F166" s="4" t="s">
        <v>18</v>
      </c>
      <c r="G166" s="5">
        <v>0.81111111111111112</v>
      </c>
      <c r="H166" s="5">
        <v>0.4</v>
      </c>
      <c r="I166" s="5">
        <v>0.05</v>
      </c>
      <c r="J166" s="6">
        <v>0.57894736842105265</v>
      </c>
      <c r="K166" s="6">
        <v>0.85939393939393904</v>
      </c>
      <c r="L166" s="6">
        <v>0.67699930467534775</v>
      </c>
      <c r="M166" s="4" t="s">
        <v>52</v>
      </c>
      <c r="N166" s="5">
        <v>8.7709479982460092E-2</v>
      </c>
      <c r="O166" s="4">
        <v>0</v>
      </c>
    </row>
    <row r="167" spans="1:15" x14ac:dyDescent="0.3">
      <c r="A167" s="4">
        <v>56</v>
      </c>
      <c r="B167" s="4">
        <v>56000</v>
      </c>
      <c r="C167" s="4" t="s">
        <v>15</v>
      </c>
      <c r="D167" s="4" t="s">
        <v>16</v>
      </c>
      <c r="E167" s="4" t="s">
        <v>17</v>
      </c>
      <c r="F167" s="4" t="s">
        <v>18</v>
      </c>
      <c r="G167" s="5">
        <v>0.1</v>
      </c>
      <c r="H167" s="5">
        <v>0.4</v>
      </c>
      <c r="I167" s="5">
        <v>0.05</v>
      </c>
      <c r="J167" s="6">
        <v>0.75438596491228072</v>
      </c>
      <c r="K167" s="6">
        <v>0.81395348837209314</v>
      </c>
      <c r="L167" s="6">
        <v>0.72096130281189608</v>
      </c>
      <c r="M167" s="4" t="s">
        <v>47</v>
      </c>
      <c r="N167" s="5">
        <v>0.1084411182114443</v>
      </c>
      <c r="O167" s="4">
        <v>0</v>
      </c>
    </row>
    <row r="168" spans="1:15" x14ac:dyDescent="0.3">
      <c r="A168" s="4">
        <v>56</v>
      </c>
      <c r="B168" s="4">
        <v>56000</v>
      </c>
      <c r="C168" s="4" t="s">
        <v>15</v>
      </c>
      <c r="D168" s="4" t="s">
        <v>161</v>
      </c>
      <c r="E168" s="4" t="s">
        <v>17</v>
      </c>
      <c r="F168" s="4" t="s">
        <v>18</v>
      </c>
      <c r="G168" s="5">
        <v>0.1</v>
      </c>
      <c r="H168" s="5">
        <v>0.4</v>
      </c>
      <c r="I168" s="5">
        <v>0.05</v>
      </c>
      <c r="J168" s="6">
        <v>0.75438596491228072</v>
      </c>
      <c r="K168" s="6">
        <v>0.81395348837209314</v>
      </c>
      <c r="L168" s="6">
        <v>0.72096130281189608</v>
      </c>
      <c r="M168" s="4" t="s">
        <v>47</v>
      </c>
      <c r="N168" s="5">
        <v>0.1084411182114443</v>
      </c>
      <c r="O168" s="4">
        <v>0</v>
      </c>
    </row>
    <row r="169" spans="1:15" x14ac:dyDescent="0.3">
      <c r="A169" s="4">
        <v>56</v>
      </c>
      <c r="B169" s="4">
        <v>56000</v>
      </c>
      <c r="C169" s="4" t="s">
        <v>15</v>
      </c>
      <c r="D169" s="4" t="s">
        <v>162</v>
      </c>
      <c r="E169" s="4" t="s">
        <v>17</v>
      </c>
      <c r="F169" s="4" t="s">
        <v>18</v>
      </c>
      <c r="G169" s="5">
        <v>0.81111111111111112</v>
      </c>
      <c r="H169" s="5">
        <v>0.4</v>
      </c>
      <c r="I169" s="5">
        <v>0.05</v>
      </c>
      <c r="J169" s="6">
        <v>0.57894736842105265</v>
      </c>
      <c r="K169" s="6">
        <v>0.86424242424242437</v>
      </c>
      <c r="L169" s="6">
        <v>0.72220118242189435</v>
      </c>
      <c r="M169" s="4" t="s">
        <v>47</v>
      </c>
      <c r="N169" s="5">
        <v>0.1084411182114443</v>
      </c>
      <c r="O169" s="4">
        <v>0</v>
      </c>
    </row>
    <row r="170" spans="1:15" x14ac:dyDescent="0.3">
      <c r="A170" s="4">
        <v>57</v>
      </c>
      <c r="B170" s="4">
        <v>57000</v>
      </c>
      <c r="C170" s="4" t="s">
        <v>15</v>
      </c>
      <c r="D170" s="4" t="s">
        <v>16</v>
      </c>
      <c r="E170" s="4" t="s">
        <v>17</v>
      </c>
      <c r="F170" s="4" t="s">
        <v>18</v>
      </c>
      <c r="G170" s="5">
        <v>0.1</v>
      </c>
      <c r="H170" s="5">
        <v>0.4</v>
      </c>
      <c r="I170" s="5">
        <v>0.05</v>
      </c>
      <c r="J170" s="6">
        <v>0.75</v>
      </c>
      <c r="K170" s="6">
        <v>0.7857777777777778</v>
      </c>
      <c r="L170" s="6">
        <v>0.63447019087843015</v>
      </c>
      <c r="M170" s="4" t="s">
        <v>53</v>
      </c>
      <c r="N170" s="5">
        <v>0.17798391644064321</v>
      </c>
      <c r="O170" s="4">
        <v>1</v>
      </c>
    </row>
    <row r="171" spans="1:15" x14ac:dyDescent="0.3">
      <c r="A171" s="4">
        <v>57</v>
      </c>
      <c r="B171" s="4">
        <v>57000</v>
      </c>
      <c r="C171" s="4" t="s">
        <v>15</v>
      </c>
      <c r="D171" s="4" t="s">
        <v>161</v>
      </c>
      <c r="E171" s="4" t="s">
        <v>17</v>
      </c>
      <c r="F171" s="4" t="s">
        <v>18</v>
      </c>
      <c r="G171" s="5">
        <v>0.54444444444444451</v>
      </c>
      <c r="H171" s="5">
        <v>0.4</v>
      </c>
      <c r="I171" s="5">
        <v>0.05</v>
      </c>
      <c r="J171" s="6">
        <v>0.6166666666666667</v>
      </c>
      <c r="K171" s="6">
        <v>0.85432432432432426</v>
      </c>
      <c r="L171" s="6">
        <v>0.66916116392001657</v>
      </c>
      <c r="M171" s="4" t="s">
        <v>53</v>
      </c>
      <c r="N171" s="5">
        <v>0.17798391644064321</v>
      </c>
      <c r="O171" s="4">
        <v>1</v>
      </c>
    </row>
    <row r="172" spans="1:15" x14ac:dyDescent="0.3">
      <c r="A172" s="4">
        <v>57</v>
      </c>
      <c r="B172" s="4">
        <v>57000</v>
      </c>
      <c r="C172" s="4" t="s">
        <v>15</v>
      </c>
      <c r="D172" s="4" t="s">
        <v>162</v>
      </c>
      <c r="E172" s="4" t="s">
        <v>17</v>
      </c>
      <c r="F172" s="4" t="s">
        <v>18</v>
      </c>
      <c r="G172" s="5">
        <v>0.9</v>
      </c>
      <c r="H172" s="5">
        <v>0.4</v>
      </c>
      <c r="I172" s="5">
        <v>0.05</v>
      </c>
      <c r="J172" s="6">
        <v>0.51666666666666672</v>
      </c>
      <c r="K172" s="6">
        <v>0.87225806451612897</v>
      </c>
      <c r="L172" s="6">
        <v>0.60449797409325434</v>
      </c>
      <c r="M172" s="4" t="s">
        <v>53</v>
      </c>
      <c r="N172" s="5">
        <v>0.17798391644064321</v>
      </c>
      <c r="O172" s="4">
        <v>1</v>
      </c>
    </row>
    <row r="173" spans="1:15" x14ac:dyDescent="0.3">
      <c r="A173" s="4">
        <v>58</v>
      </c>
      <c r="B173" s="4">
        <v>58000</v>
      </c>
      <c r="C173" s="4" t="s">
        <v>15</v>
      </c>
      <c r="D173" s="4" t="s">
        <v>16</v>
      </c>
      <c r="E173" s="4" t="s">
        <v>17</v>
      </c>
      <c r="F173" s="4" t="s">
        <v>18</v>
      </c>
      <c r="G173" s="5">
        <v>0.1</v>
      </c>
      <c r="H173" s="5">
        <v>0.4</v>
      </c>
      <c r="I173" s="5">
        <v>0.05</v>
      </c>
      <c r="J173" s="6">
        <v>0.65079365079365081</v>
      </c>
      <c r="K173" s="6">
        <v>0.79512195121951224</v>
      </c>
      <c r="L173" s="6">
        <v>0.68011635943114757</v>
      </c>
      <c r="M173" s="4" t="s">
        <v>19</v>
      </c>
      <c r="N173" s="5">
        <v>1</v>
      </c>
      <c r="O173" s="4">
        <v>1</v>
      </c>
    </row>
    <row r="174" spans="1:15" x14ac:dyDescent="0.3">
      <c r="A174" s="4">
        <v>58</v>
      </c>
      <c r="B174" s="4">
        <v>58000</v>
      </c>
      <c r="C174" s="4" t="s">
        <v>15</v>
      </c>
      <c r="D174" s="4" t="s">
        <v>161</v>
      </c>
      <c r="E174" s="4" t="s">
        <v>17</v>
      </c>
      <c r="F174" s="4" t="s">
        <v>18</v>
      </c>
      <c r="G174" s="5">
        <v>0.72222222222222221</v>
      </c>
      <c r="H174" s="5">
        <v>0.4</v>
      </c>
      <c r="I174" s="5">
        <v>0.05</v>
      </c>
      <c r="J174" s="6">
        <v>0.52380952380952384</v>
      </c>
      <c r="K174" s="6">
        <v>0.86060606060606071</v>
      </c>
      <c r="L174" s="6">
        <v>0.731720729657096</v>
      </c>
      <c r="M174" s="4" t="s">
        <v>19</v>
      </c>
      <c r="N174" s="5">
        <v>1</v>
      </c>
      <c r="O174" s="4">
        <v>1</v>
      </c>
    </row>
    <row r="175" spans="1:15" x14ac:dyDescent="0.3">
      <c r="A175" s="4">
        <v>58</v>
      </c>
      <c r="B175" s="4">
        <v>58000</v>
      </c>
      <c r="C175" s="4" t="s">
        <v>15</v>
      </c>
      <c r="D175" s="4" t="s">
        <v>162</v>
      </c>
      <c r="E175" s="4" t="s">
        <v>17</v>
      </c>
      <c r="F175" s="4" t="s">
        <v>18</v>
      </c>
      <c r="G175" s="5">
        <v>0.9</v>
      </c>
      <c r="H175" s="5">
        <v>0.4</v>
      </c>
      <c r="I175" s="5">
        <v>0.05</v>
      </c>
      <c r="J175" s="6">
        <v>0.46031746031746029</v>
      </c>
      <c r="K175" s="6">
        <v>0.86517241379310361</v>
      </c>
      <c r="L175" s="6">
        <v>0.67747142489188283</v>
      </c>
      <c r="M175" s="4" t="s">
        <v>19</v>
      </c>
      <c r="N175" s="5">
        <v>1</v>
      </c>
      <c r="O175" s="4">
        <v>1</v>
      </c>
    </row>
    <row r="176" spans="1:15" x14ac:dyDescent="0.3">
      <c r="A176" s="4">
        <v>59</v>
      </c>
      <c r="B176" s="4">
        <v>59000</v>
      </c>
      <c r="C176" s="4" t="s">
        <v>15</v>
      </c>
      <c r="D176" s="4" t="s">
        <v>16</v>
      </c>
      <c r="E176" s="4" t="s">
        <v>17</v>
      </c>
      <c r="F176" s="4" t="s">
        <v>18</v>
      </c>
      <c r="G176" s="5">
        <v>0.1</v>
      </c>
      <c r="H176" s="5">
        <v>0.4</v>
      </c>
      <c r="I176" s="5">
        <v>0.05</v>
      </c>
      <c r="J176" s="6">
        <v>0.6271186440677966</v>
      </c>
      <c r="K176" s="6">
        <v>0.80918918918918903</v>
      </c>
      <c r="L176" s="6">
        <v>0.6375412711335986</v>
      </c>
      <c r="M176" s="4" t="s">
        <v>19</v>
      </c>
      <c r="N176" s="5">
        <v>1</v>
      </c>
      <c r="O176" s="4">
        <v>1</v>
      </c>
    </row>
    <row r="177" spans="1:15" x14ac:dyDescent="0.3">
      <c r="A177" s="4">
        <v>59</v>
      </c>
      <c r="B177" s="4">
        <v>59000</v>
      </c>
      <c r="C177" s="4" t="s">
        <v>15</v>
      </c>
      <c r="D177" s="4" t="s">
        <v>161</v>
      </c>
      <c r="E177" s="4" t="s">
        <v>17</v>
      </c>
      <c r="F177" s="4" t="s">
        <v>18</v>
      </c>
      <c r="G177" s="5">
        <v>0.72222222222222221</v>
      </c>
      <c r="H177" s="5">
        <v>0.8</v>
      </c>
      <c r="I177" s="5">
        <v>0.05</v>
      </c>
      <c r="J177" s="6">
        <v>0.52542372881355937</v>
      </c>
      <c r="K177" s="6">
        <v>0.87322580645161296</v>
      </c>
      <c r="L177" s="6">
        <v>0.77081859421392684</v>
      </c>
      <c r="M177" s="4" t="s">
        <v>19</v>
      </c>
      <c r="N177" s="5">
        <v>1</v>
      </c>
      <c r="O177" s="4">
        <v>1</v>
      </c>
    </row>
    <row r="178" spans="1:15" x14ac:dyDescent="0.3">
      <c r="A178" s="4">
        <v>59</v>
      </c>
      <c r="B178" s="4">
        <v>59000</v>
      </c>
      <c r="C178" s="4" t="s">
        <v>15</v>
      </c>
      <c r="D178" s="4" t="s">
        <v>162</v>
      </c>
      <c r="E178" s="4" t="s">
        <v>17</v>
      </c>
      <c r="F178" s="4" t="s">
        <v>18</v>
      </c>
      <c r="G178" s="5">
        <v>0.9</v>
      </c>
      <c r="H178" s="5">
        <v>0.8</v>
      </c>
      <c r="I178" s="5">
        <v>0.05</v>
      </c>
      <c r="J178" s="6">
        <v>0.40677966101694918</v>
      </c>
      <c r="K178" s="6">
        <v>0.88583333333333325</v>
      </c>
      <c r="L178" s="6">
        <v>0.64727800471053676</v>
      </c>
      <c r="M178" s="4" t="s">
        <v>19</v>
      </c>
      <c r="N178" s="5">
        <v>1</v>
      </c>
      <c r="O178" s="4">
        <v>1</v>
      </c>
    </row>
    <row r="179" spans="1:15" x14ac:dyDescent="0.3">
      <c r="A179" s="4">
        <v>60</v>
      </c>
      <c r="B179" s="4">
        <v>60000</v>
      </c>
      <c r="C179" s="4" t="s">
        <v>15</v>
      </c>
      <c r="D179" s="4" t="s">
        <v>16</v>
      </c>
      <c r="E179" s="4" t="s">
        <v>17</v>
      </c>
      <c r="F179" s="4" t="s">
        <v>18</v>
      </c>
      <c r="G179" s="5">
        <v>0.1</v>
      </c>
      <c r="H179" s="5">
        <v>0.4</v>
      </c>
      <c r="I179" s="5">
        <v>0.05</v>
      </c>
      <c r="J179" s="6">
        <v>0.69090909090909092</v>
      </c>
      <c r="K179" s="6">
        <v>0.80763157894736848</v>
      </c>
      <c r="L179" s="6">
        <v>0.62016299613740633</v>
      </c>
      <c r="M179" s="4" t="s">
        <v>54</v>
      </c>
      <c r="N179" s="5">
        <v>0.13761496595042649</v>
      </c>
      <c r="O179" s="4">
        <v>0</v>
      </c>
    </row>
    <row r="180" spans="1:15" x14ac:dyDescent="0.3">
      <c r="A180" s="4">
        <v>60</v>
      </c>
      <c r="B180" s="4">
        <v>60000</v>
      </c>
      <c r="C180" s="4" t="s">
        <v>15</v>
      </c>
      <c r="D180" s="4" t="s">
        <v>161</v>
      </c>
      <c r="E180" s="4" t="s">
        <v>17</v>
      </c>
      <c r="F180" s="4" t="s">
        <v>18</v>
      </c>
      <c r="G180" s="5">
        <v>0.72222222222222221</v>
      </c>
      <c r="H180" s="5">
        <v>0.8</v>
      </c>
      <c r="I180" s="5">
        <v>0.05</v>
      </c>
      <c r="J180" s="6">
        <v>0.58181818181818179</v>
      </c>
      <c r="K180" s="6">
        <v>0.84125000000000005</v>
      </c>
      <c r="L180" s="6">
        <v>0.73387600157755184</v>
      </c>
      <c r="M180" s="4" t="s">
        <v>54</v>
      </c>
      <c r="N180" s="5">
        <v>0.13761496595042649</v>
      </c>
      <c r="O180" s="4">
        <v>0</v>
      </c>
    </row>
    <row r="181" spans="1:15" x14ac:dyDescent="0.3">
      <c r="A181" s="4">
        <v>60</v>
      </c>
      <c r="B181" s="4">
        <v>60000</v>
      </c>
      <c r="C181" s="4" t="s">
        <v>15</v>
      </c>
      <c r="D181" s="4" t="s">
        <v>162</v>
      </c>
      <c r="E181" s="4" t="s">
        <v>17</v>
      </c>
      <c r="F181" s="4" t="s">
        <v>18</v>
      </c>
      <c r="G181" s="5">
        <v>0.9</v>
      </c>
      <c r="H181" s="5">
        <v>0.8</v>
      </c>
      <c r="I181" s="5">
        <v>0.05</v>
      </c>
      <c r="J181" s="6">
        <v>0.45454545454545447</v>
      </c>
      <c r="K181" s="6">
        <v>0.8528</v>
      </c>
      <c r="L181" s="6">
        <v>0.6500099342264346</v>
      </c>
      <c r="M181" s="4" t="s">
        <v>54</v>
      </c>
      <c r="N181" s="5">
        <v>0.13761496595042649</v>
      </c>
      <c r="O181" s="4">
        <v>0</v>
      </c>
    </row>
    <row r="182" spans="1:15" x14ac:dyDescent="0.3">
      <c r="A182" s="4">
        <v>61</v>
      </c>
      <c r="B182" s="4">
        <v>61000</v>
      </c>
      <c r="C182" s="4" t="s">
        <v>15</v>
      </c>
      <c r="D182" s="4" t="s">
        <v>16</v>
      </c>
      <c r="E182" s="4" t="s">
        <v>17</v>
      </c>
      <c r="F182" s="4" t="s">
        <v>18</v>
      </c>
      <c r="G182" s="5">
        <v>0.1</v>
      </c>
      <c r="H182" s="5">
        <v>0.4</v>
      </c>
      <c r="I182" s="5">
        <v>0.05</v>
      </c>
      <c r="J182" s="6">
        <v>0.75</v>
      </c>
      <c r="K182" s="6">
        <v>0.78714285714285714</v>
      </c>
      <c r="L182" s="6">
        <v>0.5989520161236046</v>
      </c>
      <c r="M182" s="4" t="s">
        <v>19</v>
      </c>
      <c r="N182" s="5">
        <v>1</v>
      </c>
      <c r="O182" s="4">
        <v>1</v>
      </c>
    </row>
    <row r="183" spans="1:15" x14ac:dyDescent="0.3">
      <c r="A183" s="4">
        <v>61</v>
      </c>
      <c r="B183" s="4">
        <v>61000</v>
      </c>
      <c r="C183" s="4" t="s">
        <v>15</v>
      </c>
      <c r="D183" s="4" t="s">
        <v>161</v>
      </c>
      <c r="E183" s="4" t="s">
        <v>17</v>
      </c>
      <c r="F183" s="4" t="s">
        <v>18</v>
      </c>
      <c r="G183" s="5">
        <v>0.1</v>
      </c>
      <c r="H183" s="5">
        <v>0.8</v>
      </c>
      <c r="I183" s="5">
        <v>0.25</v>
      </c>
      <c r="J183" s="6">
        <v>0.5178571428571429</v>
      </c>
      <c r="K183" s="6">
        <v>0.81068965517241387</v>
      </c>
      <c r="L183" s="6">
        <v>0.7195722412415263</v>
      </c>
      <c r="M183" s="4" t="s">
        <v>19</v>
      </c>
      <c r="N183" s="5">
        <v>1</v>
      </c>
      <c r="O183" s="4">
        <v>1</v>
      </c>
    </row>
    <row r="184" spans="1:15" x14ac:dyDescent="0.3">
      <c r="A184" s="4">
        <v>61</v>
      </c>
      <c r="B184" s="4">
        <v>61000</v>
      </c>
      <c r="C184" s="4" t="s">
        <v>15</v>
      </c>
      <c r="D184" s="4" t="s">
        <v>162</v>
      </c>
      <c r="E184" s="4" t="s">
        <v>17</v>
      </c>
      <c r="F184" s="4" t="s">
        <v>18</v>
      </c>
      <c r="G184" s="5">
        <v>0.9</v>
      </c>
      <c r="H184" s="5">
        <v>0.8</v>
      </c>
      <c r="I184" s="5">
        <v>0.05</v>
      </c>
      <c r="J184" s="6">
        <v>0.42857142857142849</v>
      </c>
      <c r="K184" s="6">
        <v>0.88333333333333341</v>
      </c>
      <c r="L184" s="6">
        <v>0.65303565393508578</v>
      </c>
      <c r="M184" s="4" t="s">
        <v>19</v>
      </c>
      <c r="N184" s="5">
        <v>1</v>
      </c>
      <c r="O184" s="4">
        <v>1</v>
      </c>
    </row>
    <row r="185" spans="1:15" x14ac:dyDescent="0.3">
      <c r="A185" s="4">
        <v>62</v>
      </c>
      <c r="B185" s="4">
        <v>62000</v>
      </c>
      <c r="C185" s="4" t="s">
        <v>15</v>
      </c>
      <c r="D185" s="4" t="s">
        <v>16</v>
      </c>
      <c r="E185" s="4" t="s">
        <v>17</v>
      </c>
      <c r="F185" s="4" t="s">
        <v>18</v>
      </c>
      <c r="G185" s="5">
        <v>0.1</v>
      </c>
      <c r="H185" s="5">
        <v>0.4</v>
      </c>
      <c r="I185" s="5">
        <v>0.05</v>
      </c>
      <c r="J185" s="6">
        <v>0.70491803278688525</v>
      </c>
      <c r="K185" s="6">
        <v>0.79046511627906968</v>
      </c>
      <c r="L185" s="6">
        <v>0.67629400396410067</v>
      </c>
      <c r="M185" s="4" t="s">
        <v>19</v>
      </c>
      <c r="N185" s="5">
        <v>1</v>
      </c>
      <c r="O185" s="4">
        <v>1</v>
      </c>
    </row>
    <row r="186" spans="1:15" x14ac:dyDescent="0.3">
      <c r="A186" s="4">
        <v>62</v>
      </c>
      <c r="B186" s="4">
        <v>62000</v>
      </c>
      <c r="C186" s="4" t="s">
        <v>15</v>
      </c>
      <c r="D186" s="4" t="s">
        <v>161</v>
      </c>
      <c r="E186" s="4" t="s">
        <v>17</v>
      </c>
      <c r="F186" s="4" t="s">
        <v>18</v>
      </c>
      <c r="G186" s="5">
        <v>0.72222222222222221</v>
      </c>
      <c r="H186" s="5">
        <v>0.8</v>
      </c>
      <c r="I186" s="5">
        <v>0.05</v>
      </c>
      <c r="J186" s="6">
        <v>0.54098360655737709</v>
      </c>
      <c r="K186" s="6">
        <v>0.881212121212121</v>
      </c>
      <c r="L186" s="6">
        <v>0.76796723249655341</v>
      </c>
      <c r="M186" s="4" t="s">
        <v>19</v>
      </c>
      <c r="N186" s="5">
        <v>1</v>
      </c>
      <c r="O186" s="4">
        <v>1</v>
      </c>
    </row>
    <row r="187" spans="1:15" x14ac:dyDescent="0.3">
      <c r="A187" s="4">
        <v>62</v>
      </c>
      <c r="B187" s="4">
        <v>62000</v>
      </c>
      <c r="C187" s="4" t="s">
        <v>15</v>
      </c>
      <c r="D187" s="4" t="s">
        <v>162</v>
      </c>
      <c r="E187" s="4" t="s">
        <v>17</v>
      </c>
      <c r="F187" s="4" t="s">
        <v>18</v>
      </c>
      <c r="G187" s="5">
        <v>0.9</v>
      </c>
      <c r="H187" s="5">
        <v>0.8</v>
      </c>
      <c r="I187" s="5">
        <v>0.05</v>
      </c>
      <c r="J187" s="6">
        <v>0.42622950819672129</v>
      </c>
      <c r="K187" s="6">
        <v>0.89307692307692288</v>
      </c>
      <c r="L187" s="6">
        <v>0.73896313655862256</v>
      </c>
      <c r="M187" s="4" t="s">
        <v>19</v>
      </c>
      <c r="N187" s="5">
        <v>1</v>
      </c>
      <c r="O187" s="4">
        <v>1</v>
      </c>
    </row>
    <row r="188" spans="1:15" x14ac:dyDescent="0.3">
      <c r="A188" s="4">
        <v>63</v>
      </c>
      <c r="B188" s="4">
        <v>63000</v>
      </c>
      <c r="C188" s="4" t="s">
        <v>15</v>
      </c>
      <c r="D188" s="4" t="s">
        <v>16</v>
      </c>
      <c r="E188" s="4" t="s">
        <v>17</v>
      </c>
      <c r="F188" s="4" t="s">
        <v>18</v>
      </c>
      <c r="G188" s="5">
        <v>0.1</v>
      </c>
      <c r="H188" s="5">
        <v>0.4</v>
      </c>
      <c r="I188" s="5">
        <v>0.05</v>
      </c>
      <c r="J188" s="6">
        <v>0.734375</v>
      </c>
      <c r="K188" s="6">
        <v>0.77489361702127646</v>
      </c>
      <c r="L188" s="6">
        <v>0.68841075095454929</v>
      </c>
      <c r="M188" s="4" t="s">
        <v>55</v>
      </c>
      <c r="N188" s="5">
        <v>0.2660797841624305</v>
      </c>
      <c r="O188" s="4">
        <v>1</v>
      </c>
    </row>
    <row r="189" spans="1:15" x14ac:dyDescent="0.3">
      <c r="A189" s="4">
        <v>63</v>
      </c>
      <c r="B189" s="4">
        <v>63000</v>
      </c>
      <c r="C189" s="4" t="s">
        <v>15</v>
      </c>
      <c r="D189" s="4" t="s">
        <v>161</v>
      </c>
      <c r="E189" s="4" t="s">
        <v>17</v>
      </c>
      <c r="F189" s="4" t="s">
        <v>18</v>
      </c>
      <c r="G189" s="5">
        <v>0.6333333333333333</v>
      </c>
      <c r="H189" s="5">
        <v>0.60000000000000009</v>
      </c>
      <c r="I189" s="5">
        <v>0.1166666666666667</v>
      </c>
      <c r="J189" s="6">
        <v>0.53125</v>
      </c>
      <c r="K189" s="6">
        <v>0.86676470588235288</v>
      </c>
      <c r="L189" s="6">
        <v>0.81013905902092198</v>
      </c>
      <c r="M189" s="4" t="s">
        <v>55</v>
      </c>
      <c r="N189" s="5">
        <v>0.2660797841624305</v>
      </c>
      <c r="O189" s="4">
        <v>1</v>
      </c>
    </row>
    <row r="190" spans="1:15" x14ac:dyDescent="0.3">
      <c r="A190" s="4">
        <v>63</v>
      </c>
      <c r="B190" s="4">
        <v>63000</v>
      </c>
      <c r="C190" s="4" t="s">
        <v>15</v>
      </c>
      <c r="D190" s="4" t="s">
        <v>162</v>
      </c>
      <c r="E190" s="4" t="s">
        <v>17</v>
      </c>
      <c r="F190" s="4" t="s">
        <v>18</v>
      </c>
      <c r="G190" s="5">
        <v>0.9</v>
      </c>
      <c r="H190" s="5">
        <v>0.60000000000000009</v>
      </c>
      <c r="I190" s="5">
        <v>0.05</v>
      </c>
      <c r="J190" s="6">
        <v>0.421875</v>
      </c>
      <c r="K190" s="6">
        <v>0.89444444444444438</v>
      </c>
      <c r="L190" s="6">
        <v>0.7672331151966022</v>
      </c>
      <c r="M190" s="4" t="s">
        <v>55</v>
      </c>
      <c r="N190" s="5">
        <v>0.2660797841624305</v>
      </c>
      <c r="O190" s="4">
        <v>1</v>
      </c>
    </row>
    <row r="191" spans="1:15" x14ac:dyDescent="0.3">
      <c r="A191" s="4">
        <v>64</v>
      </c>
      <c r="B191" s="4">
        <v>64000</v>
      </c>
      <c r="C191" s="4" t="s">
        <v>15</v>
      </c>
      <c r="D191" s="4" t="s">
        <v>16</v>
      </c>
      <c r="E191" s="4" t="s">
        <v>17</v>
      </c>
      <c r="F191" s="4" t="s">
        <v>18</v>
      </c>
      <c r="G191" s="5">
        <v>0.1</v>
      </c>
      <c r="H191" s="5">
        <v>0.4</v>
      </c>
      <c r="I191" s="5">
        <v>0.05</v>
      </c>
      <c r="J191" s="6">
        <v>0.7</v>
      </c>
      <c r="K191" s="6">
        <v>0.75836734693877539</v>
      </c>
      <c r="L191" s="6">
        <v>0.71714869928202918</v>
      </c>
      <c r="M191" s="4" t="s">
        <v>49</v>
      </c>
      <c r="N191" s="5">
        <v>8.965569471239658E-2</v>
      </c>
      <c r="O191" s="4">
        <v>0</v>
      </c>
    </row>
    <row r="192" spans="1:15" x14ac:dyDescent="0.3">
      <c r="A192" s="4">
        <v>64</v>
      </c>
      <c r="B192" s="4">
        <v>64000</v>
      </c>
      <c r="C192" s="4" t="s">
        <v>15</v>
      </c>
      <c r="D192" s="4" t="s">
        <v>161</v>
      </c>
      <c r="E192" s="4" t="s">
        <v>17</v>
      </c>
      <c r="F192" s="4" t="s">
        <v>18</v>
      </c>
      <c r="G192" s="5">
        <v>0.6333333333333333</v>
      </c>
      <c r="H192" s="5">
        <v>0.60000000000000009</v>
      </c>
      <c r="I192" s="5">
        <v>0.1166666666666667</v>
      </c>
      <c r="J192" s="6">
        <v>0.45714285714285707</v>
      </c>
      <c r="K192" s="6">
        <v>0.864375</v>
      </c>
      <c r="L192" s="6">
        <v>0.76495169365272375</v>
      </c>
      <c r="M192" s="4" t="s">
        <v>49</v>
      </c>
      <c r="N192" s="5">
        <v>8.965569471239658E-2</v>
      </c>
      <c r="O192" s="4">
        <v>0</v>
      </c>
    </row>
    <row r="193" spans="1:15" x14ac:dyDescent="0.3">
      <c r="A193" s="4">
        <v>64</v>
      </c>
      <c r="B193" s="4">
        <v>64000</v>
      </c>
      <c r="C193" s="4" t="s">
        <v>15</v>
      </c>
      <c r="D193" s="4" t="s">
        <v>162</v>
      </c>
      <c r="E193" s="4" t="s">
        <v>17</v>
      </c>
      <c r="F193" s="4" t="s">
        <v>18</v>
      </c>
      <c r="G193" s="5">
        <v>0.9</v>
      </c>
      <c r="H193" s="5">
        <v>0.60000000000000009</v>
      </c>
      <c r="I193" s="5">
        <v>0.05</v>
      </c>
      <c r="J193" s="6">
        <v>0.35714285714285721</v>
      </c>
      <c r="K193" s="6">
        <v>0.8899999999999999</v>
      </c>
      <c r="L193" s="6">
        <v>0.69090580134865098</v>
      </c>
      <c r="M193" s="4" t="s">
        <v>49</v>
      </c>
      <c r="N193" s="5">
        <v>8.965569471239658E-2</v>
      </c>
      <c r="O193" s="4">
        <v>0</v>
      </c>
    </row>
    <row r="194" spans="1:15" x14ac:dyDescent="0.3">
      <c r="A194" s="4">
        <v>65</v>
      </c>
      <c r="B194" s="4">
        <v>65000</v>
      </c>
      <c r="C194" s="4" t="s">
        <v>15</v>
      </c>
      <c r="D194" s="4" t="s">
        <v>16</v>
      </c>
      <c r="E194" s="4" t="s">
        <v>17</v>
      </c>
      <c r="F194" s="4" t="s">
        <v>18</v>
      </c>
      <c r="G194" s="5">
        <v>0.1</v>
      </c>
      <c r="H194" s="5">
        <v>0.4</v>
      </c>
      <c r="I194" s="5">
        <v>0.05</v>
      </c>
      <c r="J194" s="6">
        <v>0.70149253731343286</v>
      </c>
      <c r="K194" s="6">
        <v>0.78404255319148941</v>
      </c>
      <c r="L194" s="6">
        <v>0.78414507116074506</v>
      </c>
      <c r="M194" s="4" t="s">
        <v>56</v>
      </c>
      <c r="N194" s="5">
        <v>0.16485167015880431</v>
      </c>
      <c r="O194" s="4">
        <v>1</v>
      </c>
    </row>
    <row r="195" spans="1:15" x14ac:dyDescent="0.3">
      <c r="A195" s="4">
        <v>65</v>
      </c>
      <c r="B195" s="4">
        <v>65000</v>
      </c>
      <c r="C195" s="4" t="s">
        <v>15</v>
      </c>
      <c r="D195" s="4" t="s">
        <v>161</v>
      </c>
      <c r="E195" s="4" t="s">
        <v>17</v>
      </c>
      <c r="F195" s="4" t="s">
        <v>18</v>
      </c>
      <c r="G195" s="5">
        <v>0.54444444444444451</v>
      </c>
      <c r="H195" s="5">
        <v>0.60000000000000009</v>
      </c>
      <c r="I195" s="5">
        <v>0.05</v>
      </c>
      <c r="J195" s="6">
        <v>0.56716417910447758</v>
      </c>
      <c r="K195" s="6">
        <v>0.86473684210526314</v>
      </c>
      <c r="L195" s="6">
        <v>0.81679711839326863</v>
      </c>
      <c r="M195" s="4" t="s">
        <v>56</v>
      </c>
      <c r="N195" s="5">
        <v>0.16485167015880431</v>
      </c>
      <c r="O195" s="4">
        <v>1</v>
      </c>
    </row>
    <row r="196" spans="1:15" x14ac:dyDescent="0.3">
      <c r="A196" s="4">
        <v>65</v>
      </c>
      <c r="B196" s="4">
        <v>65000</v>
      </c>
      <c r="C196" s="4" t="s">
        <v>15</v>
      </c>
      <c r="D196" s="4" t="s">
        <v>162</v>
      </c>
      <c r="E196" s="4" t="s">
        <v>17</v>
      </c>
      <c r="F196" s="4" t="s">
        <v>18</v>
      </c>
      <c r="G196" s="5">
        <v>0.9</v>
      </c>
      <c r="H196" s="5">
        <v>0.60000000000000009</v>
      </c>
      <c r="I196" s="5">
        <v>0.05</v>
      </c>
      <c r="J196" s="6">
        <v>0.43283582089552242</v>
      </c>
      <c r="K196" s="6">
        <v>0.89551724137931021</v>
      </c>
      <c r="L196" s="6">
        <v>0.77747773783683605</v>
      </c>
      <c r="M196" s="4" t="s">
        <v>56</v>
      </c>
      <c r="N196" s="5">
        <v>0.16485167015880431</v>
      </c>
      <c r="O196" s="4">
        <v>1</v>
      </c>
    </row>
    <row r="197" spans="1:15" x14ac:dyDescent="0.3">
      <c r="A197" s="4">
        <v>66</v>
      </c>
      <c r="B197" s="4">
        <v>66000</v>
      </c>
      <c r="C197" s="4" t="s">
        <v>15</v>
      </c>
      <c r="D197" s="4" t="s">
        <v>16</v>
      </c>
      <c r="E197" s="4" t="s">
        <v>17</v>
      </c>
      <c r="F197" s="4" t="s">
        <v>18</v>
      </c>
      <c r="G197" s="5">
        <v>0.1</v>
      </c>
      <c r="H197" s="5">
        <v>0.4</v>
      </c>
      <c r="I197" s="5">
        <v>0.05</v>
      </c>
      <c r="J197" s="6">
        <v>0.671875</v>
      </c>
      <c r="K197" s="6">
        <v>0.80604651162790708</v>
      </c>
      <c r="L197" s="6">
        <v>0.75171856998460118</v>
      </c>
      <c r="M197" s="4" t="s">
        <v>57</v>
      </c>
      <c r="N197" s="5">
        <v>5.3713134207473742E-2</v>
      </c>
      <c r="O197" s="4">
        <v>0</v>
      </c>
    </row>
    <row r="198" spans="1:15" x14ac:dyDescent="0.3">
      <c r="A198" s="4">
        <v>66</v>
      </c>
      <c r="B198" s="4">
        <v>66000</v>
      </c>
      <c r="C198" s="4" t="s">
        <v>15</v>
      </c>
      <c r="D198" s="4" t="s">
        <v>161</v>
      </c>
      <c r="E198" s="4" t="s">
        <v>17</v>
      </c>
      <c r="F198" s="4" t="s">
        <v>18</v>
      </c>
      <c r="G198" s="5">
        <v>0.54444444444444451</v>
      </c>
      <c r="H198" s="5">
        <v>0.60000000000000009</v>
      </c>
      <c r="I198" s="5">
        <v>0.05</v>
      </c>
      <c r="J198" s="6">
        <v>0.59375</v>
      </c>
      <c r="K198" s="6">
        <v>0.85947368421052628</v>
      </c>
      <c r="L198" s="6">
        <v>0.78421856998460115</v>
      </c>
      <c r="M198" s="4" t="s">
        <v>57</v>
      </c>
      <c r="N198" s="5">
        <v>5.3713134207473742E-2</v>
      </c>
      <c r="O198" s="4">
        <v>0</v>
      </c>
    </row>
    <row r="199" spans="1:15" x14ac:dyDescent="0.3">
      <c r="A199" s="4">
        <v>66</v>
      </c>
      <c r="B199" s="4">
        <v>66000</v>
      </c>
      <c r="C199" s="4" t="s">
        <v>15</v>
      </c>
      <c r="D199" s="4" t="s">
        <v>162</v>
      </c>
      <c r="E199" s="4" t="s">
        <v>17</v>
      </c>
      <c r="F199" s="4" t="s">
        <v>18</v>
      </c>
      <c r="G199" s="5">
        <v>0.9</v>
      </c>
      <c r="H199" s="5">
        <v>0.60000000000000009</v>
      </c>
      <c r="I199" s="5">
        <v>0.05</v>
      </c>
      <c r="J199" s="6">
        <v>0.4375</v>
      </c>
      <c r="K199" s="6">
        <v>0.89571428571428535</v>
      </c>
      <c r="L199" s="6">
        <v>0.73835408895284638</v>
      </c>
      <c r="M199" s="4" t="s">
        <v>57</v>
      </c>
      <c r="N199" s="5">
        <v>5.3713134207473742E-2</v>
      </c>
      <c r="O199" s="4">
        <v>0</v>
      </c>
    </row>
    <row r="200" spans="1:15" x14ac:dyDescent="0.3">
      <c r="A200" s="4">
        <v>67</v>
      </c>
      <c r="B200" s="4">
        <v>67000</v>
      </c>
      <c r="C200" s="4" t="s">
        <v>15</v>
      </c>
      <c r="D200" s="4" t="s">
        <v>16</v>
      </c>
      <c r="E200" s="4" t="s">
        <v>17</v>
      </c>
      <c r="F200" s="4" t="s">
        <v>18</v>
      </c>
      <c r="G200" s="5">
        <v>0.1</v>
      </c>
      <c r="H200" s="5">
        <v>0.4</v>
      </c>
      <c r="I200" s="5">
        <v>0.05</v>
      </c>
      <c r="J200" s="6">
        <v>0.67142857142857137</v>
      </c>
      <c r="K200" s="6">
        <v>0.80531914893617029</v>
      </c>
      <c r="L200" s="6">
        <v>0.68542105011722509</v>
      </c>
      <c r="M200" s="4" t="s">
        <v>58</v>
      </c>
      <c r="N200" s="5">
        <v>0.1254775264468955</v>
      </c>
      <c r="O200" s="4">
        <v>0</v>
      </c>
    </row>
    <row r="201" spans="1:15" x14ac:dyDescent="0.3">
      <c r="A201" s="4">
        <v>67</v>
      </c>
      <c r="B201" s="4">
        <v>67000</v>
      </c>
      <c r="C201" s="4" t="s">
        <v>15</v>
      </c>
      <c r="D201" s="4" t="s">
        <v>161</v>
      </c>
      <c r="E201" s="4" t="s">
        <v>17</v>
      </c>
      <c r="F201" s="4" t="s">
        <v>18</v>
      </c>
      <c r="G201" s="5">
        <v>0.54444444444444451</v>
      </c>
      <c r="H201" s="5">
        <v>0.60000000000000009</v>
      </c>
      <c r="I201" s="5">
        <v>0.05</v>
      </c>
      <c r="J201" s="6">
        <v>0.6</v>
      </c>
      <c r="K201" s="6">
        <v>0.84166666666666667</v>
      </c>
      <c r="L201" s="6">
        <v>0.77008576725662337</v>
      </c>
      <c r="M201" s="4" t="s">
        <v>58</v>
      </c>
      <c r="N201" s="5">
        <v>0.1254775264468955</v>
      </c>
      <c r="O201" s="4">
        <v>0</v>
      </c>
    </row>
    <row r="202" spans="1:15" x14ac:dyDescent="0.3">
      <c r="A202" s="4">
        <v>67</v>
      </c>
      <c r="B202" s="4">
        <v>67000</v>
      </c>
      <c r="C202" s="4" t="s">
        <v>15</v>
      </c>
      <c r="D202" s="4" t="s">
        <v>162</v>
      </c>
      <c r="E202" s="4" t="s">
        <v>17</v>
      </c>
      <c r="F202" s="4" t="s">
        <v>18</v>
      </c>
      <c r="G202" s="5">
        <v>0.9</v>
      </c>
      <c r="H202" s="5">
        <v>0.60000000000000009</v>
      </c>
      <c r="I202" s="5">
        <v>0.05</v>
      </c>
      <c r="J202" s="6">
        <v>0.42857142857142849</v>
      </c>
      <c r="K202" s="6">
        <v>0.87066666666666648</v>
      </c>
      <c r="L202" s="6">
        <v>0.69354514719447646</v>
      </c>
      <c r="M202" s="4" t="s">
        <v>58</v>
      </c>
      <c r="N202" s="5">
        <v>0.1254775264468955</v>
      </c>
      <c r="O202" s="4">
        <v>0</v>
      </c>
    </row>
    <row r="203" spans="1:15" x14ac:dyDescent="0.3">
      <c r="A203" s="4">
        <v>68</v>
      </c>
      <c r="B203" s="4">
        <v>68000</v>
      </c>
      <c r="C203" s="4" t="s">
        <v>15</v>
      </c>
      <c r="D203" s="4" t="s">
        <v>16</v>
      </c>
      <c r="E203" s="4" t="s">
        <v>17</v>
      </c>
      <c r="F203" s="4" t="s">
        <v>18</v>
      </c>
      <c r="G203" s="5">
        <v>0.1</v>
      </c>
      <c r="H203" s="5">
        <v>0.4</v>
      </c>
      <c r="I203" s="5">
        <v>0.05</v>
      </c>
      <c r="J203" s="6">
        <v>0.72058823529411764</v>
      </c>
      <c r="K203" s="6">
        <v>0.76632653061224498</v>
      </c>
      <c r="L203" s="6">
        <v>0.53647657031417972</v>
      </c>
      <c r="M203" s="4" t="s">
        <v>56</v>
      </c>
      <c r="N203" s="5">
        <v>0.16534479385370901</v>
      </c>
      <c r="O203" s="4">
        <v>1</v>
      </c>
    </row>
    <row r="204" spans="1:15" x14ac:dyDescent="0.3">
      <c r="A204" s="4">
        <v>68</v>
      </c>
      <c r="B204" s="4">
        <v>68000</v>
      </c>
      <c r="C204" s="4" t="s">
        <v>15</v>
      </c>
      <c r="D204" s="4" t="s">
        <v>162</v>
      </c>
      <c r="E204" s="4" t="s">
        <v>17</v>
      </c>
      <c r="F204" s="4" t="s">
        <v>18</v>
      </c>
      <c r="G204" s="5">
        <v>0.81111111111111112</v>
      </c>
      <c r="H204" s="5">
        <v>0.60000000000000009</v>
      </c>
      <c r="I204" s="5">
        <v>0.05</v>
      </c>
      <c r="J204" s="6">
        <v>0.48529411764705882</v>
      </c>
      <c r="K204" s="6">
        <v>0.86363636363636342</v>
      </c>
      <c r="L204" s="6">
        <v>0.61594206252095618</v>
      </c>
      <c r="M204" s="4" t="s">
        <v>56</v>
      </c>
      <c r="N204" s="5">
        <v>0.16534479385370901</v>
      </c>
      <c r="O204" s="4">
        <v>1</v>
      </c>
    </row>
    <row r="205" spans="1:15" x14ac:dyDescent="0.3">
      <c r="A205" s="4">
        <v>68</v>
      </c>
      <c r="B205" s="4">
        <v>68000</v>
      </c>
      <c r="C205" s="4" t="s">
        <v>15</v>
      </c>
      <c r="D205" s="4" t="s">
        <v>161</v>
      </c>
      <c r="E205" s="4" t="s">
        <v>17</v>
      </c>
      <c r="F205" s="4" t="s">
        <v>18</v>
      </c>
      <c r="G205" s="5">
        <v>0.9</v>
      </c>
      <c r="H205" s="5">
        <v>0.4</v>
      </c>
      <c r="I205" s="5">
        <v>0.05</v>
      </c>
      <c r="J205" s="6">
        <v>0.4264705882352941</v>
      </c>
      <c r="K205" s="6">
        <v>0.83379310344827562</v>
      </c>
      <c r="L205" s="6">
        <v>0.69293482033607567</v>
      </c>
      <c r="M205" s="4" t="s">
        <v>56</v>
      </c>
      <c r="N205" s="5">
        <v>0.16534479385370901</v>
      </c>
      <c r="O205" s="4">
        <v>1</v>
      </c>
    </row>
    <row r="206" spans="1:15" x14ac:dyDescent="0.3">
      <c r="A206" s="4">
        <v>69</v>
      </c>
      <c r="B206" s="4">
        <v>69000</v>
      </c>
      <c r="C206" s="4" t="s">
        <v>15</v>
      </c>
      <c r="D206" s="4" t="s">
        <v>16</v>
      </c>
      <c r="E206" s="4" t="s">
        <v>17</v>
      </c>
      <c r="F206" s="4" t="s">
        <v>18</v>
      </c>
      <c r="G206" s="5">
        <v>0.1</v>
      </c>
      <c r="H206" s="5">
        <v>0.4</v>
      </c>
      <c r="I206" s="5">
        <v>0.05</v>
      </c>
      <c r="J206" s="6">
        <v>0.765625</v>
      </c>
      <c r="K206" s="6">
        <v>0.76734693877551019</v>
      </c>
      <c r="L206" s="6">
        <v>0.6324193123104922</v>
      </c>
      <c r="M206" s="4" t="s">
        <v>59</v>
      </c>
      <c r="N206" s="5">
        <v>9.1188072708564175E-2</v>
      </c>
      <c r="O206" s="4">
        <v>0</v>
      </c>
    </row>
    <row r="207" spans="1:15" x14ac:dyDescent="0.3">
      <c r="A207" s="4">
        <v>69</v>
      </c>
      <c r="B207" s="4">
        <v>69000</v>
      </c>
      <c r="C207" s="4" t="s">
        <v>15</v>
      </c>
      <c r="D207" s="4" t="s">
        <v>162</v>
      </c>
      <c r="E207" s="4" t="s">
        <v>17</v>
      </c>
      <c r="F207" s="4" t="s">
        <v>18</v>
      </c>
      <c r="G207" s="5">
        <v>0.81111111111111112</v>
      </c>
      <c r="H207" s="5">
        <v>0.60000000000000009</v>
      </c>
      <c r="I207" s="5">
        <v>0.05</v>
      </c>
      <c r="J207" s="6">
        <v>0.515625</v>
      </c>
      <c r="K207" s="6">
        <v>0.86515151515151489</v>
      </c>
      <c r="L207" s="6">
        <v>0.64740339519022805</v>
      </c>
      <c r="M207" s="4" t="s">
        <v>59</v>
      </c>
      <c r="N207" s="5">
        <v>9.1188072708564175E-2</v>
      </c>
      <c r="O207" s="4">
        <v>0</v>
      </c>
    </row>
    <row r="208" spans="1:15" x14ac:dyDescent="0.3">
      <c r="A208" s="4">
        <v>69</v>
      </c>
      <c r="B208" s="4">
        <v>69000</v>
      </c>
      <c r="C208" s="4" t="s">
        <v>15</v>
      </c>
      <c r="D208" s="4" t="s">
        <v>161</v>
      </c>
      <c r="E208" s="4" t="s">
        <v>17</v>
      </c>
      <c r="F208" s="4" t="s">
        <v>18</v>
      </c>
      <c r="G208" s="5">
        <v>0.9</v>
      </c>
      <c r="H208" s="5">
        <v>0.4</v>
      </c>
      <c r="I208" s="5">
        <v>0.05</v>
      </c>
      <c r="J208" s="6">
        <v>0.484375</v>
      </c>
      <c r="K208" s="6">
        <v>0.83967741935483853</v>
      </c>
      <c r="L208" s="6">
        <v>0.71676508930601479</v>
      </c>
      <c r="M208" s="4" t="s">
        <v>59</v>
      </c>
      <c r="N208" s="5">
        <v>9.1188072708564175E-2</v>
      </c>
      <c r="O208" s="4">
        <v>0</v>
      </c>
    </row>
    <row r="209" spans="1:15" x14ac:dyDescent="0.3">
      <c r="A209" s="4">
        <v>70</v>
      </c>
      <c r="B209" s="4">
        <v>70000</v>
      </c>
      <c r="C209" s="4" t="s">
        <v>15</v>
      </c>
      <c r="D209" s="4" t="s">
        <v>16</v>
      </c>
      <c r="E209" s="4" t="s">
        <v>17</v>
      </c>
      <c r="F209" s="4" t="s">
        <v>18</v>
      </c>
      <c r="G209" s="5">
        <v>0.1</v>
      </c>
      <c r="H209" s="5">
        <v>0.4</v>
      </c>
      <c r="I209" s="5">
        <v>0.05</v>
      </c>
      <c r="J209" s="6">
        <v>0.6470588235294118</v>
      </c>
      <c r="K209" s="6">
        <v>0.77568181818181803</v>
      </c>
      <c r="L209" s="6">
        <v>0.56018062792025436</v>
      </c>
      <c r="M209" s="4" t="s">
        <v>19</v>
      </c>
      <c r="N209" s="5">
        <v>1</v>
      </c>
      <c r="O209" s="4">
        <v>1</v>
      </c>
    </row>
    <row r="210" spans="1:15" x14ac:dyDescent="0.3">
      <c r="A210" s="4">
        <v>70</v>
      </c>
      <c r="B210" s="4">
        <v>70000</v>
      </c>
      <c r="C210" s="4" t="s">
        <v>15</v>
      </c>
      <c r="D210" s="4" t="s">
        <v>161</v>
      </c>
      <c r="E210" s="4" t="s">
        <v>17</v>
      </c>
      <c r="F210" s="4" t="s">
        <v>18</v>
      </c>
      <c r="G210" s="5">
        <v>0.81111111111111112</v>
      </c>
      <c r="H210" s="5">
        <v>0.4</v>
      </c>
      <c r="I210" s="5">
        <v>0.05</v>
      </c>
      <c r="J210" s="6">
        <v>0.48529411764705882</v>
      </c>
      <c r="K210" s="6">
        <v>0.83454545454545448</v>
      </c>
      <c r="L210" s="6">
        <v>0.73263123559820054</v>
      </c>
      <c r="M210" s="4" t="s">
        <v>19</v>
      </c>
      <c r="N210" s="5">
        <v>1</v>
      </c>
      <c r="O210" s="4">
        <v>1</v>
      </c>
    </row>
    <row r="211" spans="1:15" x14ac:dyDescent="0.3">
      <c r="A211" s="4">
        <v>70</v>
      </c>
      <c r="B211" s="4">
        <v>70000</v>
      </c>
      <c r="C211" s="4" t="s">
        <v>15</v>
      </c>
      <c r="D211" s="4" t="s">
        <v>162</v>
      </c>
      <c r="E211" s="4" t="s">
        <v>17</v>
      </c>
      <c r="F211" s="4" t="s">
        <v>18</v>
      </c>
      <c r="G211" s="5">
        <v>0.81111111111111112</v>
      </c>
      <c r="H211" s="5">
        <v>0.60000000000000009</v>
      </c>
      <c r="I211" s="5">
        <v>0.05</v>
      </c>
      <c r="J211" s="6">
        <v>0.47058823529411759</v>
      </c>
      <c r="K211" s="6">
        <v>0.86062499999999997</v>
      </c>
      <c r="L211" s="6">
        <v>0.73263123559820054</v>
      </c>
      <c r="M211" s="4" t="s">
        <v>19</v>
      </c>
      <c r="N211" s="5">
        <v>1</v>
      </c>
      <c r="O211" s="4">
        <v>1</v>
      </c>
    </row>
    <row r="212" spans="1:15" x14ac:dyDescent="0.3">
      <c r="A212" s="4">
        <v>71</v>
      </c>
      <c r="B212" s="4">
        <v>71000</v>
      </c>
      <c r="C212" s="4" t="s">
        <v>15</v>
      </c>
      <c r="D212" s="4" t="s">
        <v>16</v>
      </c>
      <c r="E212" s="4" t="s">
        <v>17</v>
      </c>
      <c r="F212" s="4" t="s">
        <v>18</v>
      </c>
      <c r="G212" s="5">
        <v>0.1</v>
      </c>
      <c r="H212" s="5">
        <v>0.4</v>
      </c>
      <c r="I212" s="5">
        <v>0.05</v>
      </c>
      <c r="J212" s="6">
        <v>0.69696969696969702</v>
      </c>
      <c r="K212" s="6">
        <v>0.77065217391304353</v>
      </c>
      <c r="L212" s="6">
        <v>0.55242096830605325</v>
      </c>
      <c r="M212" s="4" t="s">
        <v>60</v>
      </c>
      <c r="N212" s="5">
        <v>0.10715112468227431</v>
      </c>
      <c r="O212" s="4">
        <v>0</v>
      </c>
    </row>
    <row r="213" spans="1:15" x14ac:dyDescent="0.3">
      <c r="A213" s="4">
        <v>71</v>
      </c>
      <c r="B213" s="4">
        <v>71000</v>
      </c>
      <c r="C213" s="4" t="s">
        <v>15</v>
      </c>
      <c r="D213" s="4" t="s">
        <v>161</v>
      </c>
      <c r="E213" s="4" t="s">
        <v>17</v>
      </c>
      <c r="F213" s="4" t="s">
        <v>18</v>
      </c>
      <c r="G213" s="5">
        <v>0.81111111111111112</v>
      </c>
      <c r="H213" s="5">
        <v>0.4</v>
      </c>
      <c r="I213" s="5">
        <v>0.05</v>
      </c>
      <c r="J213" s="6">
        <v>0.56060606060606055</v>
      </c>
      <c r="K213" s="6">
        <v>0.81729729729729705</v>
      </c>
      <c r="L213" s="6">
        <v>0.68163276687990049</v>
      </c>
      <c r="M213" s="4" t="s">
        <v>60</v>
      </c>
      <c r="N213" s="5">
        <v>0.10715112468227431</v>
      </c>
      <c r="O213" s="4">
        <v>0</v>
      </c>
    </row>
    <row r="214" spans="1:15" x14ac:dyDescent="0.3">
      <c r="A214" s="4">
        <v>71</v>
      </c>
      <c r="B214" s="4">
        <v>71000</v>
      </c>
      <c r="C214" s="4" t="s">
        <v>15</v>
      </c>
      <c r="D214" s="4" t="s">
        <v>162</v>
      </c>
      <c r="E214" s="4" t="s">
        <v>17</v>
      </c>
      <c r="F214" s="4" t="s">
        <v>18</v>
      </c>
      <c r="G214" s="5">
        <v>0.81111111111111112</v>
      </c>
      <c r="H214" s="5">
        <v>0.60000000000000009</v>
      </c>
      <c r="I214" s="5">
        <v>0.05</v>
      </c>
      <c r="J214" s="6">
        <v>0.53030303030303028</v>
      </c>
      <c r="K214" s="6">
        <v>0.86399999999999977</v>
      </c>
      <c r="L214" s="6">
        <v>0.69610040952254315</v>
      </c>
      <c r="M214" s="4" t="s">
        <v>60</v>
      </c>
      <c r="N214" s="5">
        <v>0.10715112468227431</v>
      </c>
      <c r="O214" s="4">
        <v>0</v>
      </c>
    </row>
    <row r="215" spans="1:15" x14ac:dyDescent="0.3">
      <c r="A215" s="4">
        <v>72</v>
      </c>
      <c r="B215" s="4">
        <v>72000</v>
      </c>
      <c r="C215" s="4" t="s">
        <v>15</v>
      </c>
      <c r="D215" s="4" t="s">
        <v>16</v>
      </c>
      <c r="E215" s="4" t="s">
        <v>17</v>
      </c>
      <c r="F215" s="4" t="s">
        <v>18</v>
      </c>
      <c r="G215" s="5">
        <v>0.1</v>
      </c>
      <c r="H215" s="5">
        <v>0.4</v>
      </c>
      <c r="I215" s="5">
        <v>0.05</v>
      </c>
      <c r="J215" s="6">
        <v>0.68493150684931503</v>
      </c>
      <c r="K215" s="6">
        <v>0.80380000000000007</v>
      </c>
      <c r="L215" s="6">
        <v>0.65531617176233514</v>
      </c>
      <c r="M215" s="4" t="s">
        <v>61</v>
      </c>
      <c r="N215" s="5">
        <v>0.18430274274544081</v>
      </c>
      <c r="O215" s="4">
        <v>1</v>
      </c>
    </row>
    <row r="216" spans="1:15" x14ac:dyDescent="0.3">
      <c r="A216" s="4">
        <v>72</v>
      </c>
      <c r="B216" s="4">
        <v>72000</v>
      </c>
      <c r="C216" s="4" t="s">
        <v>15</v>
      </c>
      <c r="D216" s="4" t="s">
        <v>161</v>
      </c>
      <c r="E216" s="4" t="s">
        <v>17</v>
      </c>
      <c r="F216" s="4" t="s">
        <v>18</v>
      </c>
      <c r="G216" s="5">
        <v>0.72222222222222221</v>
      </c>
      <c r="H216" s="5">
        <v>0.4</v>
      </c>
      <c r="I216" s="5">
        <v>0.05</v>
      </c>
      <c r="J216" s="6">
        <v>0.57534246575342463</v>
      </c>
      <c r="K216" s="6">
        <v>0.85309523809523824</v>
      </c>
      <c r="L216" s="6">
        <v>0.77560999594725466</v>
      </c>
      <c r="M216" s="4" t="s">
        <v>61</v>
      </c>
      <c r="N216" s="5">
        <v>0.18430274274544081</v>
      </c>
      <c r="O216" s="4">
        <v>1</v>
      </c>
    </row>
    <row r="217" spans="1:15" x14ac:dyDescent="0.3">
      <c r="A217" s="4">
        <v>72</v>
      </c>
      <c r="B217" s="4">
        <v>72000</v>
      </c>
      <c r="C217" s="4" t="s">
        <v>15</v>
      </c>
      <c r="D217" s="4" t="s">
        <v>162</v>
      </c>
      <c r="E217" s="4" t="s">
        <v>17</v>
      </c>
      <c r="F217" s="4" t="s">
        <v>18</v>
      </c>
      <c r="G217" s="5">
        <v>0.9</v>
      </c>
      <c r="H217" s="5">
        <v>0.4</v>
      </c>
      <c r="I217" s="5">
        <v>0.05</v>
      </c>
      <c r="J217" s="6">
        <v>0.41095890410958902</v>
      </c>
      <c r="K217" s="6">
        <v>0.8703333333333334</v>
      </c>
      <c r="L217" s="6">
        <v>0.65633559719310142</v>
      </c>
      <c r="M217" s="4" t="s">
        <v>61</v>
      </c>
      <c r="N217" s="5">
        <v>0.18430274274544081</v>
      </c>
      <c r="O217" s="4">
        <v>1</v>
      </c>
    </row>
    <row r="218" spans="1:15" x14ac:dyDescent="0.3">
      <c r="A218" s="4">
        <v>73</v>
      </c>
      <c r="B218" s="4">
        <v>73000</v>
      </c>
      <c r="C218" s="4" t="s">
        <v>15</v>
      </c>
      <c r="D218" s="4" t="s">
        <v>16</v>
      </c>
      <c r="E218" s="4" t="s">
        <v>17</v>
      </c>
      <c r="F218" s="4" t="s">
        <v>18</v>
      </c>
      <c r="G218" s="5">
        <v>0.1</v>
      </c>
      <c r="H218" s="5">
        <v>0.4</v>
      </c>
      <c r="I218" s="5">
        <v>0.05</v>
      </c>
      <c r="J218" s="6">
        <v>0.69863013698630139</v>
      </c>
      <c r="K218" s="6">
        <v>0.78627450980392155</v>
      </c>
      <c r="L218" s="6">
        <v>0.60976410386853419</v>
      </c>
      <c r="M218" s="4" t="s">
        <v>19</v>
      </c>
      <c r="N218" s="5">
        <v>1</v>
      </c>
      <c r="O218" s="4">
        <v>1</v>
      </c>
    </row>
    <row r="219" spans="1:15" x14ac:dyDescent="0.3">
      <c r="A219" s="4">
        <v>73</v>
      </c>
      <c r="B219" s="4">
        <v>73000</v>
      </c>
      <c r="C219" s="4" t="s">
        <v>15</v>
      </c>
      <c r="D219" s="4" t="s">
        <v>161</v>
      </c>
      <c r="E219" s="4" t="s">
        <v>17</v>
      </c>
      <c r="F219" s="4" t="s">
        <v>18</v>
      </c>
      <c r="G219" s="5">
        <v>0.54444444444444451</v>
      </c>
      <c r="H219" s="5">
        <v>0.4</v>
      </c>
      <c r="I219" s="5">
        <v>0.05</v>
      </c>
      <c r="J219" s="6">
        <v>0.58904109589041098</v>
      </c>
      <c r="K219" s="6">
        <v>0.84744186046511638</v>
      </c>
      <c r="L219" s="6">
        <v>0.80834934293144189</v>
      </c>
      <c r="M219" s="4" t="s">
        <v>19</v>
      </c>
      <c r="N219" s="5">
        <v>1</v>
      </c>
      <c r="O219" s="4">
        <v>1</v>
      </c>
    </row>
    <row r="220" spans="1:15" x14ac:dyDescent="0.3">
      <c r="A220" s="4">
        <v>73</v>
      </c>
      <c r="B220" s="4">
        <v>73000</v>
      </c>
      <c r="C220" s="4" t="s">
        <v>15</v>
      </c>
      <c r="D220" s="4" t="s">
        <v>162</v>
      </c>
      <c r="E220" s="4" t="s">
        <v>17</v>
      </c>
      <c r="F220" s="4" t="s">
        <v>18</v>
      </c>
      <c r="G220" s="5">
        <v>0.9</v>
      </c>
      <c r="H220" s="5">
        <v>0.4</v>
      </c>
      <c r="I220" s="5">
        <v>0.05</v>
      </c>
      <c r="J220" s="6">
        <v>0.42465753424657532</v>
      </c>
      <c r="K220" s="6">
        <v>0.87354838709677407</v>
      </c>
      <c r="L220" s="6">
        <v>0.69670277183199747</v>
      </c>
      <c r="M220" s="4" t="s">
        <v>19</v>
      </c>
      <c r="N220" s="5">
        <v>1</v>
      </c>
      <c r="O220" s="4">
        <v>1</v>
      </c>
    </row>
    <row r="221" spans="1:15" x14ac:dyDescent="0.3">
      <c r="A221" s="4">
        <v>74</v>
      </c>
      <c r="B221" s="4">
        <v>74000</v>
      </c>
      <c r="C221" s="4" t="s">
        <v>15</v>
      </c>
      <c r="D221" s="4" t="s">
        <v>16</v>
      </c>
      <c r="E221" s="4" t="s">
        <v>17</v>
      </c>
      <c r="F221" s="4" t="s">
        <v>18</v>
      </c>
      <c r="G221" s="5">
        <v>0.1</v>
      </c>
      <c r="H221" s="5">
        <v>0.4</v>
      </c>
      <c r="I221" s="5">
        <v>0.05</v>
      </c>
      <c r="J221" s="6">
        <v>0.73972602739726023</v>
      </c>
      <c r="K221" s="6">
        <v>0.76481481481481461</v>
      </c>
      <c r="L221" s="6">
        <v>0.63739054151086505</v>
      </c>
      <c r="M221" s="4" t="s">
        <v>62</v>
      </c>
      <c r="N221" s="5">
        <v>6.4030739139251974E-2</v>
      </c>
      <c r="O221" s="4">
        <v>0</v>
      </c>
    </row>
    <row r="222" spans="1:15" x14ac:dyDescent="0.3">
      <c r="A222" s="4">
        <v>74</v>
      </c>
      <c r="B222" s="4">
        <v>74000</v>
      </c>
      <c r="C222" s="4" t="s">
        <v>15</v>
      </c>
      <c r="D222" s="4" t="s">
        <v>161</v>
      </c>
      <c r="E222" s="4" t="s">
        <v>17</v>
      </c>
      <c r="F222" s="4" t="s">
        <v>18</v>
      </c>
      <c r="G222" s="5">
        <v>0.54444444444444451</v>
      </c>
      <c r="H222" s="5">
        <v>0.4</v>
      </c>
      <c r="I222" s="5">
        <v>0.05</v>
      </c>
      <c r="J222" s="6">
        <v>0.61643835616438358</v>
      </c>
      <c r="K222" s="6">
        <v>0.82444444444444442</v>
      </c>
      <c r="L222" s="6">
        <v>0.77345572086735115</v>
      </c>
      <c r="M222" s="4" t="s">
        <v>62</v>
      </c>
      <c r="N222" s="5">
        <v>6.4030739139251974E-2</v>
      </c>
      <c r="O222" s="4">
        <v>0</v>
      </c>
    </row>
    <row r="223" spans="1:15" x14ac:dyDescent="0.3">
      <c r="A223" s="4">
        <v>74</v>
      </c>
      <c r="B223" s="4">
        <v>74000</v>
      </c>
      <c r="C223" s="4" t="s">
        <v>15</v>
      </c>
      <c r="D223" s="4" t="s">
        <v>162</v>
      </c>
      <c r="E223" s="4" t="s">
        <v>17</v>
      </c>
      <c r="F223" s="4" t="s">
        <v>18</v>
      </c>
      <c r="G223" s="5">
        <v>0.9</v>
      </c>
      <c r="H223" s="5">
        <v>0.4</v>
      </c>
      <c r="I223" s="5">
        <v>0.05</v>
      </c>
      <c r="J223" s="6">
        <v>0.43835616438356162</v>
      </c>
      <c r="K223" s="6">
        <v>0.84843750000000007</v>
      </c>
      <c r="L223" s="6">
        <v>0.70940071120169201</v>
      </c>
      <c r="M223" s="4" t="s">
        <v>62</v>
      </c>
      <c r="N223" s="5">
        <v>6.4030739139251974E-2</v>
      </c>
      <c r="O223" s="4">
        <v>0</v>
      </c>
    </row>
    <row r="224" spans="1:15" x14ac:dyDescent="0.3">
      <c r="A224" s="4">
        <v>75</v>
      </c>
      <c r="B224" s="4">
        <v>75000</v>
      </c>
      <c r="C224" s="4" t="s">
        <v>15</v>
      </c>
      <c r="D224" s="4" t="s">
        <v>16</v>
      </c>
      <c r="E224" s="4" t="s">
        <v>17</v>
      </c>
      <c r="F224" s="4" t="s">
        <v>18</v>
      </c>
      <c r="G224" s="5">
        <v>0.1</v>
      </c>
      <c r="H224" s="5">
        <v>0.4</v>
      </c>
      <c r="I224" s="5">
        <v>0.05</v>
      </c>
      <c r="J224" s="6">
        <v>0.70422535211267601</v>
      </c>
      <c r="K224" s="6">
        <v>0.77900000000000003</v>
      </c>
      <c r="L224" s="6">
        <v>0.62023118521057252</v>
      </c>
      <c r="M224" s="4" t="s">
        <v>47</v>
      </c>
      <c r="N224" s="5">
        <v>0.1080485386945983</v>
      </c>
      <c r="O224" s="4">
        <v>0</v>
      </c>
    </row>
    <row r="225" spans="1:15" x14ac:dyDescent="0.3">
      <c r="A225" s="4">
        <v>75</v>
      </c>
      <c r="B225" s="4">
        <v>75000</v>
      </c>
      <c r="C225" s="4" t="s">
        <v>15</v>
      </c>
      <c r="D225" s="4" t="s">
        <v>161</v>
      </c>
      <c r="E225" s="4" t="s">
        <v>17</v>
      </c>
      <c r="F225" s="4" t="s">
        <v>18</v>
      </c>
      <c r="G225" s="5">
        <v>0.54444444444444451</v>
      </c>
      <c r="H225" s="5">
        <v>0.4</v>
      </c>
      <c r="I225" s="5">
        <v>0.05</v>
      </c>
      <c r="J225" s="6">
        <v>0.59154929577464788</v>
      </c>
      <c r="K225" s="6">
        <v>0.83214285714285718</v>
      </c>
      <c r="L225" s="6">
        <v>0.7450592529535891</v>
      </c>
      <c r="M225" s="4" t="s">
        <v>47</v>
      </c>
      <c r="N225" s="5">
        <v>0.1080485386945983</v>
      </c>
      <c r="O225" s="4">
        <v>0</v>
      </c>
    </row>
    <row r="226" spans="1:15" x14ac:dyDescent="0.3">
      <c r="A226" s="4">
        <v>75</v>
      </c>
      <c r="B226" s="4">
        <v>75000</v>
      </c>
      <c r="C226" s="4" t="s">
        <v>15</v>
      </c>
      <c r="D226" s="4" t="s">
        <v>162</v>
      </c>
      <c r="E226" s="4" t="s">
        <v>17</v>
      </c>
      <c r="F226" s="4" t="s">
        <v>18</v>
      </c>
      <c r="G226" s="5">
        <v>0.9</v>
      </c>
      <c r="H226" s="5">
        <v>0.4</v>
      </c>
      <c r="I226" s="5">
        <v>0.05</v>
      </c>
      <c r="J226" s="6">
        <v>0.49295774647887319</v>
      </c>
      <c r="K226" s="6">
        <v>0.85257142857142854</v>
      </c>
      <c r="L226" s="6">
        <v>0.70521429595903762</v>
      </c>
      <c r="M226" s="4" t="s">
        <v>47</v>
      </c>
      <c r="N226" s="5">
        <v>0.1080485386945983</v>
      </c>
      <c r="O226" s="4">
        <v>0</v>
      </c>
    </row>
    <row r="227" spans="1:15" x14ac:dyDescent="0.3">
      <c r="A227" s="4">
        <v>76</v>
      </c>
      <c r="B227" s="4">
        <v>76000</v>
      </c>
      <c r="C227" s="4" t="s">
        <v>15</v>
      </c>
      <c r="D227" s="4" t="s">
        <v>16</v>
      </c>
      <c r="E227" s="4" t="s">
        <v>17</v>
      </c>
      <c r="F227" s="4" t="s">
        <v>18</v>
      </c>
      <c r="G227" s="5">
        <v>0.1</v>
      </c>
      <c r="H227" s="5">
        <v>0.4</v>
      </c>
      <c r="I227" s="5">
        <v>0.05</v>
      </c>
      <c r="J227" s="6">
        <v>0.69444444444444442</v>
      </c>
      <c r="K227" s="6">
        <v>0.74840000000000007</v>
      </c>
      <c r="L227" s="6">
        <v>0.53430600852043497</v>
      </c>
      <c r="M227" s="4" t="s">
        <v>19</v>
      </c>
      <c r="N227" s="5">
        <v>1</v>
      </c>
      <c r="O227" s="4">
        <v>1</v>
      </c>
    </row>
    <row r="228" spans="1:15" x14ac:dyDescent="0.3">
      <c r="A228" s="4">
        <v>76</v>
      </c>
      <c r="B228" s="4">
        <v>76000</v>
      </c>
      <c r="C228" s="4" t="s">
        <v>15</v>
      </c>
      <c r="D228" s="4" t="s">
        <v>161</v>
      </c>
      <c r="E228" s="4" t="s">
        <v>17</v>
      </c>
      <c r="F228" s="4" t="s">
        <v>18</v>
      </c>
      <c r="G228" s="5">
        <v>0.54444444444444451</v>
      </c>
      <c r="H228" s="5">
        <v>0.8</v>
      </c>
      <c r="I228" s="5">
        <v>0.05</v>
      </c>
      <c r="J228" s="6">
        <v>0.51388888888888884</v>
      </c>
      <c r="K228" s="6">
        <v>0.87324324324324309</v>
      </c>
      <c r="L228" s="6">
        <v>0.76826716243049309</v>
      </c>
      <c r="M228" s="4" t="s">
        <v>19</v>
      </c>
      <c r="N228" s="5">
        <v>1</v>
      </c>
      <c r="O228" s="4">
        <v>1</v>
      </c>
    </row>
    <row r="229" spans="1:15" x14ac:dyDescent="0.3">
      <c r="A229" s="4">
        <v>76</v>
      </c>
      <c r="B229" s="4">
        <v>76000</v>
      </c>
      <c r="C229" s="4" t="s">
        <v>15</v>
      </c>
      <c r="D229" s="4" t="s">
        <v>162</v>
      </c>
      <c r="E229" s="4" t="s">
        <v>17</v>
      </c>
      <c r="F229" s="4" t="s">
        <v>18</v>
      </c>
      <c r="G229" s="5">
        <v>0.9</v>
      </c>
      <c r="H229" s="5">
        <v>0.8</v>
      </c>
      <c r="I229" s="5">
        <v>0.05</v>
      </c>
      <c r="J229" s="6">
        <v>0.3888888888888889</v>
      </c>
      <c r="K229" s="6">
        <v>0.89499999999999991</v>
      </c>
      <c r="L229" s="6">
        <v>0.73118453536751071</v>
      </c>
      <c r="M229" s="4" t="s">
        <v>19</v>
      </c>
      <c r="N229" s="5">
        <v>1</v>
      </c>
      <c r="O229" s="4">
        <v>1</v>
      </c>
    </row>
    <row r="230" spans="1:15" x14ac:dyDescent="0.3">
      <c r="A230" s="4">
        <v>77</v>
      </c>
      <c r="B230" s="4">
        <v>77000</v>
      </c>
      <c r="C230" s="4" t="s">
        <v>15</v>
      </c>
      <c r="D230" s="4" t="s">
        <v>16</v>
      </c>
      <c r="E230" s="4" t="s">
        <v>17</v>
      </c>
      <c r="F230" s="4" t="s">
        <v>18</v>
      </c>
      <c r="G230" s="5">
        <v>0.1</v>
      </c>
      <c r="H230" s="5">
        <v>0.4</v>
      </c>
      <c r="I230" s="5">
        <v>0.05</v>
      </c>
      <c r="J230" s="6">
        <v>0.70149253731343286</v>
      </c>
      <c r="K230" s="6">
        <v>0.75744680851063828</v>
      </c>
      <c r="L230" s="6">
        <v>0.58991147598159899</v>
      </c>
      <c r="M230" s="4" t="s">
        <v>63</v>
      </c>
      <c r="N230" s="5">
        <v>0.1105562495217106</v>
      </c>
      <c r="O230" s="4">
        <v>0</v>
      </c>
    </row>
    <row r="231" spans="1:15" x14ac:dyDescent="0.3">
      <c r="A231" s="4">
        <v>77</v>
      </c>
      <c r="B231" s="4">
        <v>77000</v>
      </c>
      <c r="C231" s="4" t="s">
        <v>15</v>
      </c>
      <c r="D231" s="4" t="s">
        <v>161</v>
      </c>
      <c r="E231" s="4" t="s">
        <v>17</v>
      </c>
      <c r="F231" s="4" t="s">
        <v>18</v>
      </c>
      <c r="G231" s="5">
        <v>0.54444444444444451</v>
      </c>
      <c r="H231" s="5">
        <v>0.8</v>
      </c>
      <c r="I231" s="5">
        <v>0.05</v>
      </c>
      <c r="J231" s="6">
        <v>0.53731343283582089</v>
      </c>
      <c r="K231" s="6">
        <v>0.86972222222222217</v>
      </c>
      <c r="L231" s="6">
        <v>0.67966706747070982</v>
      </c>
      <c r="M231" s="4" t="s">
        <v>63</v>
      </c>
      <c r="N231" s="5">
        <v>0.1105562495217106</v>
      </c>
      <c r="O231" s="4">
        <v>0</v>
      </c>
    </row>
    <row r="232" spans="1:15" x14ac:dyDescent="0.3">
      <c r="A232" s="4">
        <v>77</v>
      </c>
      <c r="B232" s="4">
        <v>77000</v>
      </c>
      <c r="C232" s="4" t="s">
        <v>15</v>
      </c>
      <c r="D232" s="4" t="s">
        <v>162</v>
      </c>
      <c r="E232" s="4" t="s">
        <v>17</v>
      </c>
      <c r="F232" s="4" t="s">
        <v>18</v>
      </c>
      <c r="G232" s="5">
        <v>0.9</v>
      </c>
      <c r="H232" s="5">
        <v>0.8</v>
      </c>
      <c r="I232" s="5">
        <v>0.05</v>
      </c>
      <c r="J232" s="6">
        <v>0.37313432835820898</v>
      </c>
      <c r="K232" s="6">
        <v>0.88879999999999992</v>
      </c>
      <c r="L232" s="6">
        <v>0.64868197940500616</v>
      </c>
      <c r="M232" s="4" t="s">
        <v>63</v>
      </c>
      <c r="N232" s="5">
        <v>0.1105562495217106</v>
      </c>
      <c r="O232" s="4">
        <v>0</v>
      </c>
    </row>
    <row r="233" spans="1:15" x14ac:dyDescent="0.3">
      <c r="A233" s="4">
        <v>78</v>
      </c>
      <c r="B233" s="4">
        <v>78000</v>
      </c>
      <c r="C233" s="4" t="s">
        <v>15</v>
      </c>
      <c r="D233" s="4" t="s">
        <v>16</v>
      </c>
      <c r="E233" s="4" t="s">
        <v>17</v>
      </c>
      <c r="F233" s="4" t="s">
        <v>18</v>
      </c>
      <c r="G233" s="5">
        <v>0.1</v>
      </c>
      <c r="H233" s="5">
        <v>0.4</v>
      </c>
      <c r="I233" s="5">
        <v>0.05</v>
      </c>
      <c r="J233" s="6">
        <v>0.72058823529411764</v>
      </c>
      <c r="K233" s="6">
        <v>0.75020408163265306</v>
      </c>
      <c r="L233" s="6">
        <v>0.61042397776798718</v>
      </c>
      <c r="M233" s="4" t="s">
        <v>19</v>
      </c>
      <c r="N233" s="5">
        <v>1</v>
      </c>
      <c r="O233" s="4">
        <v>1</v>
      </c>
    </row>
    <row r="234" spans="1:15" x14ac:dyDescent="0.3">
      <c r="A234" s="4">
        <v>78</v>
      </c>
      <c r="B234" s="4">
        <v>78000</v>
      </c>
      <c r="C234" s="4" t="s">
        <v>15</v>
      </c>
      <c r="D234" s="4" t="s">
        <v>161</v>
      </c>
      <c r="E234" s="4" t="s">
        <v>17</v>
      </c>
      <c r="F234" s="4" t="s">
        <v>18</v>
      </c>
      <c r="G234" s="5">
        <v>0.54444444444444451</v>
      </c>
      <c r="H234" s="5">
        <v>0.8</v>
      </c>
      <c r="I234" s="5">
        <v>0.05</v>
      </c>
      <c r="J234" s="6">
        <v>0.52941176470588236</v>
      </c>
      <c r="K234" s="6">
        <v>0.86999999999999977</v>
      </c>
      <c r="L234" s="6">
        <v>0.75071470226144976</v>
      </c>
      <c r="M234" s="4" t="s">
        <v>19</v>
      </c>
      <c r="N234" s="5">
        <v>1</v>
      </c>
      <c r="O234" s="4">
        <v>1</v>
      </c>
    </row>
    <row r="235" spans="1:15" x14ac:dyDescent="0.3">
      <c r="A235" s="4">
        <v>78</v>
      </c>
      <c r="B235" s="4">
        <v>78000</v>
      </c>
      <c r="C235" s="4" t="s">
        <v>15</v>
      </c>
      <c r="D235" s="4" t="s">
        <v>162</v>
      </c>
      <c r="E235" s="4" t="s">
        <v>17</v>
      </c>
      <c r="F235" s="4" t="s">
        <v>18</v>
      </c>
      <c r="G235" s="5">
        <v>0.9</v>
      </c>
      <c r="H235" s="5">
        <v>0.8</v>
      </c>
      <c r="I235" s="5">
        <v>0.05</v>
      </c>
      <c r="J235" s="6">
        <v>0.39705882352941169</v>
      </c>
      <c r="K235" s="6">
        <v>0.89222222222222225</v>
      </c>
      <c r="L235" s="6">
        <v>0.71406573489567993</v>
      </c>
      <c r="M235" s="4" t="s">
        <v>19</v>
      </c>
      <c r="N235" s="5">
        <v>1</v>
      </c>
      <c r="O235" s="4">
        <v>1</v>
      </c>
    </row>
    <row r="236" spans="1:15" x14ac:dyDescent="0.3">
      <c r="A236" s="4">
        <v>79</v>
      </c>
      <c r="B236" s="4">
        <v>79000</v>
      </c>
      <c r="C236" s="4" t="s">
        <v>15</v>
      </c>
      <c r="D236" s="4" t="s">
        <v>16</v>
      </c>
      <c r="E236" s="4" t="s">
        <v>17</v>
      </c>
      <c r="F236" s="4" t="s">
        <v>18</v>
      </c>
      <c r="G236" s="5">
        <v>0.1</v>
      </c>
      <c r="H236" s="5">
        <v>0.4</v>
      </c>
      <c r="I236" s="5">
        <v>0.05</v>
      </c>
      <c r="J236" s="6">
        <v>0.71666666666666667</v>
      </c>
      <c r="K236" s="6">
        <v>0.78139534883720896</v>
      </c>
      <c r="L236" s="6">
        <v>0.64322919537376733</v>
      </c>
      <c r="M236" s="4" t="s">
        <v>19</v>
      </c>
      <c r="N236" s="5">
        <v>1</v>
      </c>
      <c r="O236" s="4">
        <v>1</v>
      </c>
    </row>
    <row r="237" spans="1:15" x14ac:dyDescent="0.3">
      <c r="A237" s="4">
        <v>79</v>
      </c>
      <c r="B237" s="4">
        <v>79000</v>
      </c>
      <c r="C237" s="4" t="s">
        <v>15</v>
      </c>
      <c r="D237" s="4" t="s">
        <v>161</v>
      </c>
      <c r="E237" s="4" t="s">
        <v>17</v>
      </c>
      <c r="F237" s="4" t="s">
        <v>18</v>
      </c>
      <c r="G237" s="5">
        <v>0.1</v>
      </c>
      <c r="H237" s="5">
        <v>0.8</v>
      </c>
      <c r="I237" s="5">
        <v>0.25</v>
      </c>
      <c r="J237" s="6">
        <v>0.46666666666666667</v>
      </c>
      <c r="K237" s="6">
        <v>0.81392857142857111</v>
      </c>
      <c r="L237" s="6">
        <v>0.78045682849053633</v>
      </c>
      <c r="M237" s="4" t="s">
        <v>19</v>
      </c>
      <c r="N237" s="5">
        <v>1</v>
      </c>
      <c r="O237" s="4">
        <v>1</v>
      </c>
    </row>
    <row r="238" spans="1:15" x14ac:dyDescent="0.3">
      <c r="A238" s="4">
        <v>79</v>
      </c>
      <c r="B238" s="4">
        <v>79000</v>
      </c>
      <c r="C238" s="4" t="s">
        <v>15</v>
      </c>
      <c r="D238" s="4" t="s">
        <v>162</v>
      </c>
      <c r="E238" s="4" t="s">
        <v>17</v>
      </c>
      <c r="F238" s="4" t="s">
        <v>18</v>
      </c>
      <c r="G238" s="5">
        <v>0.9</v>
      </c>
      <c r="H238" s="5">
        <v>0.8</v>
      </c>
      <c r="I238" s="5">
        <v>0.05</v>
      </c>
      <c r="J238" s="6">
        <v>0.43333333333333329</v>
      </c>
      <c r="K238" s="6">
        <v>0.89461538461538437</v>
      </c>
      <c r="L238" s="6">
        <v>0.64947996426637755</v>
      </c>
      <c r="M238" s="4" t="s">
        <v>19</v>
      </c>
      <c r="N238" s="5">
        <v>1</v>
      </c>
      <c r="O238" s="4">
        <v>1</v>
      </c>
    </row>
    <row r="239" spans="1:15" x14ac:dyDescent="0.3">
      <c r="A239" s="4">
        <v>80</v>
      </c>
      <c r="B239" s="4">
        <v>80000</v>
      </c>
      <c r="C239" s="4" t="s">
        <v>15</v>
      </c>
      <c r="D239" s="4" t="s">
        <v>16</v>
      </c>
      <c r="E239" s="4" t="s">
        <v>17</v>
      </c>
      <c r="F239" s="4" t="s">
        <v>18</v>
      </c>
      <c r="G239" s="5">
        <v>0.1</v>
      </c>
      <c r="H239" s="5">
        <v>0.4</v>
      </c>
      <c r="I239" s="5">
        <v>0.05</v>
      </c>
      <c r="J239" s="6">
        <v>0.73134328358208955</v>
      </c>
      <c r="K239" s="6">
        <v>0.74979591836734694</v>
      </c>
      <c r="L239" s="6">
        <v>0.56924242691065863</v>
      </c>
      <c r="M239" s="4" t="s">
        <v>19</v>
      </c>
      <c r="N239" s="5">
        <v>1</v>
      </c>
      <c r="O239" s="4">
        <v>1</v>
      </c>
    </row>
    <row r="240" spans="1:15" x14ac:dyDescent="0.3">
      <c r="A240" s="4">
        <v>80</v>
      </c>
      <c r="B240" s="4">
        <v>80000</v>
      </c>
      <c r="C240" s="4" t="s">
        <v>15</v>
      </c>
      <c r="D240" s="4" t="s">
        <v>161</v>
      </c>
      <c r="E240" s="4" t="s">
        <v>17</v>
      </c>
      <c r="F240" s="4" t="s">
        <v>18</v>
      </c>
      <c r="G240" s="5">
        <v>0.1</v>
      </c>
      <c r="H240" s="5">
        <v>0.8</v>
      </c>
      <c r="I240" s="5">
        <v>0.25</v>
      </c>
      <c r="J240" s="6">
        <v>0.44776119402985082</v>
      </c>
      <c r="K240" s="6">
        <v>0.80833333333333324</v>
      </c>
      <c r="L240" s="6">
        <v>0.76164549195801479</v>
      </c>
      <c r="M240" s="4" t="s">
        <v>19</v>
      </c>
      <c r="N240" s="5">
        <v>1</v>
      </c>
      <c r="O240" s="4">
        <v>1</v>
      </c>
    </row>
    <row r="241" spans="1:15" x14ac:dyDescent="0.3">
      <c r="A241" s="4">
        <v>80</v>
      </c>
      <c r="B241" s="4">
        <v>80000</v>
      </c>
      <c r="C241" s="4" t="s">
        <v>15</v>
      </c>
      <c r="D241" s="4" t="s">
        <v>162</v>
      </c>
      <c r="E241" s="4" t="s">
        <v>17</v>
      </c>
      <c r="F241" s="4" t="s">
        <v>18</v>
      </c>
      <c r="G241" s="5">
        <v>0.9</v>
      </c>
      <c r="H241" s="5">
        <v>0.8</v>
      </c>
      <c r="I241" s="5">
        <v>0.05</v>
      </c>
      <c r="J241" s="6">
        <v>0.40298507462686572</v>
      </c>
      <c r="K241" s="6">
        <v>0.89666666666666628</v>
      </c>
      <c r="L241" s="6">
        <v>0.68961835388070536</v>
      </c>
      <c r="M241" s="4" t="s">
        <v>19</v>
      </c>
      <c r="N241" s="5">
        <v>1</v>
      </c>
      <c r="O241" s="4">
        <v>1</v>
      </c>
    </row>
    <row r="242" spans="1:15" x14ac:dyDescent="0.3">
      <c r="A242" s="4">
        <v>81</v>
      </c>
      <c r="B242" s="4">
        <v>81000</v>
      </c>
      <c r="C242" s="4" t="s">
        <v>15</v>
      </c>
      <c r="D242" s="4" t="s">
        <v>16</v>
      </c>
      <c r="E242" s="4" t="s">
        <v>17</v>
      </c>
      <c r="F242" s="4" t="s">
        <v>18</v>
      </c>
      <c r="G242" s="5">
        <v>0.1</v>
      </c>
      <c r="H242" s="5">
        <v>0.4</v>
      </c>
      <c r="I242" s="5">
        <v>0.05</v>
      </c>
      <c r="J242" s="6">
        <v>0.69696969696969702</v>
      </c>
      <c r="K242" s="6">
        <v>0.77630434782608693</v>
      </c>
      <c r="L242" s="6">
        <v>0.58727885236556832</v>
      </c>
      <c r="M242" s="4" t="s">
        <v>60</v>
      </c>
      <c r="N242" s="5">
        <v>0.106527654834498</v>
      </c>
      <c r="O242" s="4">
        <v>0</v>
      </c>
    </row>
    <row r="243" spans="1:15" x14ac:dyDescent="0.3">
      <c r="A243" s="4">
        <v>81</v>
      </c>
      <c r="B243" s="4">
        <v>81000</v>
      </c>
      <c r="C243" s="4" t="s">
        <v>15</v>
      </c>
      <c r="D243" s="4" t="s">
        <v>161</v>
      </c>
      <c r="E243" s="4" t="s">
        <v>17</v>
      </c>
      <c r="F243" s="4" t="s">
        <v>18</v>
      </c>
      <c r="G243" s="5">
        <v>0.1</v>
      </c>
      <c r="H243" s="5">
        <v>0.8</v>
      </c>
      <c r="I243" s="5">
        <v>0.25</v>
      </c>
      <c r="J243" s="6">
        <v>0.48484848484848492</v>
      </c>
      <c r="K243" s="6">
        <v>0.79375000000000007</v>
      </c>
      <c r="L243" s="6">
        <v>0.6725703926950527</v>
      </c>
      <c r="M243" s="4" t="s">
        <v>60</v>
      </c>
      <c r="N243" s="5">
        <v>0.106527654834498</v>
      </c>
      <c r="O243" s="4">
        <v>0</v>
      </c>
    </row>
    <row r="244" spans="1:15" x14ac:dyDescent="0.3">
      <c r="A244" s="4">
        <v>81</v>
      </c>
      <c r="B244" s="4">
        <v>81000</v>
      </c>
      <c r="C244" s="4" t="s">
        <v>15</v>
      </c>
      <c r="D244" s="4" t="s">
        <v>162</v>
      </c>
      <c r="E244" s="4" t="s">
        <v>17</v>
      </c>
      <c r="F244" s="4" t="s">
        <v>18</v>
      </c>
      <c r="G244" s="5">
        <v>0.9</v>
      </c>
      <c r="H244" s="5">
        <v>0.8</v>
      </c>
      <c r="I244" s="5">
        <v>0.05</v>
      </c>
      <c r="J244" s="6">
        <v>0.42424242424242431</v>
      </c>
      <c r="K244" s="6">
        <v>0.86678571428571405</v>
      </c>
      <c r="L244" s="6">
        <v>0.62719079351387108</v>
      </c>
      <c r="M244" s="4" t="s">
        <v>60</v>
      </c>
      <c r="N244" s="5">
        <v>0.106527654834498</v>
      </c>
      <c r="O244" s="4">
        <v>0</v>
      </c>
    </row>
    <row r="245" spans="1:15" x14ac:dyDescent="0.3">
      <c r="A245" s="4">
        <v>82</v>
      </c>
      <c r="B245" s="4">
        <v>82000</v>
      </c>
      <c r="C245" s="4" t="s">
        <v>15</v>
      </c>
      <c r="D245" s="4" t="s">
        <v>16</v>
      </c>
      <c r="E245" s="4" t="s">
        <v>17</v>
      </c>
      <c r="F245" s="4" t="s">
        <v>18</v>
      </c>
      <c r="G245" s="5">
        <v>0.1</v>
      </c>
      <c r="H245" s="5">
        <v>0.4</v>
      </c>
      <c r="I245" s="5">
        <v>0.05</v>
      </c>
      <c r="J245" s="6">
        <v>0.70769230769230773</v>
      </c>
      <c r="K245" s="6">
        <v>0.77956521739130447</v>
      </c>
      <c r="L245" s="6">
        <v>0.56060497458799208</v>
      </c>
      <c r="M245" s="4" t="s">
        <v>64</v>
      </c>
      <c r="N245" s="5">
        <v>0.1222818660752968</v>
      </c>
      <c r="O245" s="4">
        <v>0</v>
      </c>
    </row>
    <row r="246" spans="1:15" x14ac:dyDescent="0.3">
      <c r="A246" s="4">
        <v>82</v>
      </c>
      <c r="B246" s="4">
        <v>82000</v>
      </c>
      <c r="C246" s="4" t="s">
        <v>15</v>
      </c>
      <c r="D246" s="4" t="s">
        <v>161</v>
      </c>
      <c r="E246" s="4" t="s">
        <v>17</v>
      </c>
      <c r="F246" s="4" t="s">
        <v>18</v>
      </c>
      <c r="G246" s="5">
        <v>0.1</v>
      </c>
      <c r="H246" s="5">
        <v>0.8</v>
      </c>
      <c r="I246" s="5">
        <v>0.25</v>
      </c>
      <c r="J246" s="6">
        <v>0.43076923076923079</v>
      </c>
      <c r="K246" s="6">
        <v>0.80857142857142872</v>
      </c>
      <c r="L246" s="6">
        <v>0.28469313440315502</v>
      </c>
      <c r="M246" s="4" t="s">
        <v>64</v>
      </c>
      <c r="N246" s="5">
        <v>0.1222818660752968</v>
      </c>
      <c r="O246" s="4">
        <v>0</v>
      </c>
    </row>
    <row r="247" spans="1:15" x14ac:dyDescent="0.3">
      <c r="A247" s="4">
        <v>82</v>
      </c>
      <c r="B247" s="4">
        <v>82000</v>
      </c>
      <c r="C247" s="4" t="s">
        <v>15</v>
      </c>
      <c r="D247" s="4" t="s">
        <v>162</v>
      </c>
      <c r="E247" s="4" t="s">
        <v>17</v>
      </c>
      <c r="F247" s="4" t="s">
        <v>18</v>
      </c>
      <c r="G247" s="5">
        <v>0.9</v>
      </c>
      <c r="H247" s="5">
        <v>0.8</v>
      </c>
      <c r="I247" s="5">
        <v>0.05</v>
      </c>
      <c r="J247" s="6">
        <v>0.44615384615384618</v>
      </c>
      <c r="K247" s="6">
        <v>0.86793103448275843</v>
      </c>
      <c r="L247" s="6">
        <v>0.60003500614875027</v>
      </c>
      <c r="M247" s="4" t="s">
        <v>64</v>
      </c>
      <c r="N247" s="5">
        <v>0.1222818660752968</v>
      </c>
      <c r="O247" s="4">
        <v>0</v>
      </c>
    </row>
    <row r="248" spans="1:15" x14ac:dyDescent="0.3">
      <c r="A248" s="4">
        <v>83</v>
      </c>
      <c r="B248" s="4">
        <v>83000</v>
      </c>
      <c r="C248" s="4" t="s">
        <v>15</v>
      </c>
      <c r="D248" s="4" t="s">
        <v>16</v>
      </c>
      <c r="E248" s="4" t="s">
        <v>17</v>
      </c>
      <c r="F248" s="4" t="s">
        <v>18</v>
      </c>
      <c r="G248" s="5">
        <v>0.1</v>
      </c>
      <c r="H248" s="5">
        <v>0.4</v>
      </c>
      <c r="I248" s="5">
        <v>0.05</v>
      </c>
      <c r="J248" s="6">
        <v>0.78688524590163933</v>
      </c>
      <c r="K248" s="6">
        <v>0.78104166666666652</v>
      </c>
      <c r="L248" s="6">
        <v>0.58486710322439206</v>
      </c>
      <c r="M248" s="4" t="s">
        <v>65</v>
      </c>
      <c r="N248" s="5">
        <v>0.1360942592554483</v>
      </c>
      <c r="O248" s="4">
        <v>0</v>
      </c>
    </row>
    <row r="249" spans="1:15" x14ac:dyDescent="0.3">
      <c r="A249" s="4">
        <v>83</v>
      </c>
      <c r="B249" s="4">
        <v>83000</v>
      </c>
      <c r="C249" s="4" t="s">
        <v>15</v>
      </c>
      <c r="D249" s="4" t="s">
        <v>161</v>
      </c>
      <c r="E249" s="4" t="s">
        <v>17</v>
      </c>
      <c r="F249" s="4" t="s">
        <v>18</v>
      </c>
      <c r="G249" s="5">
        <v>0.1</v>
      </c>
      <c r="H249" s="5">
        <v>0.8</v>
      </c>
      <c r="I249" s="5">
        <v>0.25</v>
      </c>
      <c r="J249" s="6">
        <v>0.44262295081967212</v>
      </c>
      <c r="K249" s="6">
        <v>0.81518518518518523</v>
      </c>
      <c r="L249" s="6">
        <v>0.49729773113464942</v>
      </c>
      <c r="M249" s="4" t="s">
        <v>65</v>
      </c>
      <c r="N249" s="5">
        <v>0.1360942592554483</v>
      </c>
      <c r="O249" s="4">
        <v>0</v>
      </c>
    </row>
    <row r="250" spans="1:15" x14ac:dyDescent="0.3">
      <c r="A250" s="4">
        <v>83</v>
      </c>
      <c r="B250" s="4">
        <v>83000</v>
      </c>
      <c r="C250" s="4" t="s">
        <v>15</v>
      </c>
      <c r="D250" s="4" t="s">
        <v>162</v>
      </c>
      <c r="E250" s="4" t="s">
        <v>17</v>
      </c>
      <c r="F250" s="4" t="s">
        <v>18</v>
      </c>
      <c r="G250" s="5">
        <v>0.9</v>
      </c>
      <c r="H250" s="5">
        <v>0.8</v>
      </c>
      <c r="I250" s="5">
        <v>0.05</v>
      </c>
      <c r="J250" s="6">
        <v>0.45901639344262302</v>
      </c>
      <c r="K250" s="6">
        <v>0.86535714285714271</v>
      </c>
      <c r="L250" s="6">
        <v>0.6608945561185704</v>
      </c>
      <c r="M250" s="4" t="s">
        <v>65</v>
      </c>
      <c r="N250" s="5">
        <v>0.1360942592554483</v>
      </c>
      <c r="O250" s="4">
        <v>0</v>
      </c>
    </row>
    <row r="251" spans="1:15" x14ac:dyDescent="0.3">
      <c r="A251" s="4">
        <v>84</v>
      </c>
      <c r="B251" s="4">
        <v>84000</v>
      </c>
      <c r="C251" s="4" t="s">
        <v>15</v>
      </c>
      <c r="D251" s="4" t="s">
        <v>16</v>
      </c>
      <c r="E251" s="4" t="s">
        <v>17</v>
      </c>
      <c r="F251" s="4" t="s">
        <v>18</v>
      </c>
      <c r="G251" s="5">
        <v>0.1</v>
      </c>
      <c r="H251" s="5">
        <v>0.4</v>
      </c>
      <c r="I251" s="5">
        <v>0.05</v>
      </c>
      <c r="J251" s="6">
        <v>0.73770491803278693</v>
      </c>
      <c r="K251" s="6">
        <v>0.7839999999999997</v>
      </c>
      <c r="L251" s="6">
        <v>0.52201817915274951</v>
      </c>
      <c r="M251" s="4" t="s">
        <v>66</v>
      </c>
      <c r="N251" s="5">
        <v>0.15366695856604429</v>
      </c>
      <c r="O251" s="4">
        <v>1</v>
      </c>
    </row>
    <row r="252" spans="1:15" x14ac:dyDescent="0.3">
      <c r="A252" s="4">
        <v>84</v>
      </c>
      <c r="B252" s="4">
        <v>84000</v>
      </c>
      <c r="C252" s="4" t="s">
        <v>15</v>
      </c>
      <c r="D252" s="4" t="s">
        <v>161</v>
      </c>
      <c r="E252" s="4" t="s">
        <v>17</v>
      </c>
      <c r="F252" s="4" t="s">
        <v>18</v>
      </c>
      <c r="G252" s="5">
        <v>0.54444444444444451</v>
      </c>
      <c r="H252" s="5">
        <v>0.4</v>
      </c>
      <c r="I252" s="5">
        <v>0.05</v>
      </c>
      <c r="J252" s="6">
        <v>0.62295081967213117</v>
      </c>
      <c r="K252" s="6">
        <v>0.84078947368421031</v>
      </c>
      <c r="L252" s="6">
        <v>0.69752322965780011</v>
      </c>
      <c r="M252" s="4" t="s">
        <v>66</v>
      </c>
      <c r="N252" s="5">
        <v>0.15366695856604429</v>
      </c>
      <c r="O252" s="4">
        <v>1</v>
      </c>
    </row>
    <row r="253" spans="1:15" x14ac:dyDescent="0.3">
      <c r="A253" s="4">
        <v>84</v>
      </c>
      <c r="B253" s="4">
        <v>84000</v>
      </c>
      <c r="C253" s="4" t="s">
        <v>15</v>
      </c>
      <c r="D253" s="4" t="s">
        <v>162</v>
      </c>
      <c r="E253" s="4" t="s">
        <v>17</v>
      </c>
      <c r="F253" s="4" t="s">
        <v>18</v>
      </c>
      <c r="G253" s="5">
        <v>0.9</v>
      </c>
      <c r="H253" s="5">
        <v>0.4</v>
      </c>
      <c r="I253" s="5">
        <v>0.05</v>
      </c>
      <c r="J253" s="6">
        <v>0.45901639344262302</v>
      </c>
      <c r="K253" s="6">
        <v>0.86107142857142827</v>
      </c>
      <c r="L253" s="6">
        <v>0.66529588920467508</v>
      </c>
      <c r="M253" s="4" t="s">
        <v>66</v>
      </c>
      <c r="N253" s="5">
        <v>0.15366695856604429</v>
      </c>
      <c r="O253" s="4">
        <v>1</v>
      </c>
    </row>
    <row r="254" spans="1:15" x14ac:dyDescent="0.3">
      <c r="A254" s="4">
        <v>85</v>
      </c>
      <c r="B254" s="4">
        <v>85000</v>
      </c>
      <c r="C254" s="4" t="s">
        <v>15</v>
      </c>
      <c r="D254" s="4" t="s">
        <v>16</v>
      </c>
      <c r="E254" s="4" t="s">
        <v>17</v>
      </c>
      <c r="F254" s="4" t="s">
        <v>18</v>
      </c>
      <c r="G254" s="5">
        <v>0.1</v>
      </c>
      <c r="H254" s="5">
        <v>0.4</v>
      </c>
      <c r="I254" s="5">
        <v>0.05</v>
      </c>
      <c r="J254" s="6">
        <v>0.7142857142857143</v>
      </c>
      <c r="K254" s="6">
        <v>0.78333333333333321</v>
      </c>
      <c r="L254" s="6">
        <v>0.59950780832686978</v>
      </c>
      <c r="M254" s="4" t="s">
        <v>24</v>
      </c>
      <c r="N254" s="5">
        <v>7.2948891289643714E-2</v>
      </c>
      <c r="O254" s="4">
        <v>0</v>
      </c>
    </row>
    <row r="255" spans="1:15" x14ac:dyDescent="0.3">
      <c r="A255" s="4">
        <v>85</v>
      </c>
      <c r="B255" s="4">
        <v>85000</v>
      </c>
      <c r="C255" s="4" t="s">
        <v>15</v>
      </c>
      <c r="D255" s="4" t="s">
        <v>161</v>
      </c>
      <c r="E255" s="4" t="s">
        <v>17</v>
      </c>
      <c r="F255" s="4" t="s">
        <v>18</v>
      </c>
      <c r="G255" s="5">
        <v>0.54444444444444451</v>
      </c>
      <c r="H255" s="5">
        <v>0.4</v>
      </c>
      <c r="I255" s="5">
        <v>0.05</v>
      </c>
      <c r="J255" s="6">
        <v>0.58730158730158732</v>
      </c>
      <c r="K255" s="6">
        <v>0.84621621621621612</v>
      </c>
      <c r="L255" s="6">
        <v>0.73473970892835427</v>
      </c>
      <c r="M255" s="4" t="s">
        <v>24</v>
      </c>
      <c r="N255" s="5">
        <v>7.2948891289643714E-2</v>
      </c>
      <c r="O255" s="4">
        <v>0</v>
      </c>
    </row>
    <row r="256" spans="1:15" x14ac:dyDescent="0.3">
      <c r="A256" s="4">
        <v>85</v>
      </c>
      <c r="B256" s="4">
        <v>85000</v>
      </c>
      <c r="C256" s="4" t="s">
        <v>15</v>
      </c>
      <c r="D256" s="4" t="s">
        <v>162</v>
      </c>
      <c r="E256" s="4" t="s">
        <v>17</v>
      </c>
      <c r="F256" s="4" t="s">
        <v>18</v>
      </c>
      <c r="G256" s="5">
        <v>0.9</v>
      </c>
      <c r="H256" s="5">
        <v>0.4</v>
      </c>
      <c r="I256" s="5">
        <v>0.05</v>
      </c>
      <c r="J256" s="6">
        <v>0.41269841269841268</v>
      </c>
      <c r="K256" s="6">
        <v>0.85499999999999976</v>
      </c>
      <c r="L256" s="6">
        <v>0.56621593504578904</v>
      </c>
      <c r="M256" s="4" t="s">
        <v>24</v>
      </c>
      <c r="N256" s="5">
        <v>7.2948891289643714E-2</v>
      </c>
      <c r="O256" s="4">
        <v>0</v>
      </c>
    </row>
    <row r="257" spans="1:15" x14ac:dyDescent="0.3">
      <c r="A257" s="4">
        <v>86</v>
      </c>
      <c r="B257" s="4">
        <v>86000</v>
      </c>
      <c r="C257" s="4" t="s">
        <v>15</v>
      </c>
      <c r="D257" s="4" t="s">
        <v>16</v>
      </c>
      <c r="E257" s="4" t="s">
        <v>17</v>
      </c>
      <c r="F257" s="4" t="s">
        <v>18</v>
      </c>
      <c r="G257" s="5">
        <v>0.1</v>
      </c>
      <c r="H257" s="5">
        <v>0.4</v>
      </c>
      <c r="I257" s="5">
        <v>0.05</v>
      </c>
      <c r="J257" s="6">
        <v>0.73015873015873012</v>
      </c>
      <c r="K257" s="6">
        <v>0.75500000000000012</v>
      </c>
      <c r="L257" s="6">
        <v>0.51127066759470929</v>
      </c>
      <c r="M257" s="4" t="s">
        <v>19</v>
      </c>
      <c r="N257" s="5">
        <v>1</v>
      </c>
      <c r="O257" s="4">
        <v>1</v>
      </c>
    </row>
    <row r="258" spans="1:15" x14ac:dyDescent="0.3">
      <c r="A258" s="4">
        <v>86</v>
      </c>
      <c r="B258" s="4">
        <v>86000</v>
      </c>
      <c r="C258" s="4" t="s">
        <v>15</v>
      </c>
      <c r="D258" s="4" t="s">
        <v>161</v>
      </c>
      <c r="E258" s="4" t="s">
        <v>17</v>
      </c>
      <c r="F258" s="4" t="s">
        <v>18</v>
      </c>
      <c r="G258" s="5">
        <v>0.54444444444444451</v>
      </c>
      <c r="H258" s="5">
        <v>0.8</v>
      </c>
      <c r="I258" s="5">
        <v>0.05</v>
      </c>
      <c r="J258" s="6">
        <v>0.5714285714285714</v>
      </c>
      <c r="K258" s="6">
        <v>0.84305555555555556</v>
      </c>
      <c r="L258" s="6">
        <v>0.75548154807039802</v>
      </c>
      <c r="M258" s="4" t="s">
        <v>19</v>
      </c>
      <c r="N258" s="5">
        <v>1</v>
      </c>
      <c r="O258" s="4">
        <v>1</v>
      </c>
    </row>
    <row r="259" spans="1:15" x14ac:dyDescent="0.3">
      <c r="A259" s="4">
        <v>86</v>
      </c>
      <c r="B259" s="4">
        <v>86000</v>
      </c>
      <c r="C259" s="4" t="s">
        <v>15</v>
      </c>
      <c r="D259" s="4" t="s">
        <v>162</v>
      </c>
      <c r="E259" s="4" t="s">
        <v>17</v>
      </c>
      <c r="F259" s="4" t="s">
        <v>18</v>
      </c>
      <c r="G259" s="5">
        <v>0.9</v>
      </c>
      <c r="H259" s="5">
        <v>0.8</v>
      </c>
      <c r="I259" s="5">
        <v>0.05</v>
      </c>
      <c r="J259" s="6">
        <v>0.36507936507936511</v>
      </c>
      <c r="K259" s="6">
        <v>0.88043478260869545</v>
      </c>
      <c r="L259" s="6">
        <v>0.6066698199967836</v>
      </c>
      <c r="M259" s="4" t="s">
        <v>19</v>
      </c>
      <c r="N259" s="5">
        <v>1</v>
      </c>
      <c r="O259" s="4">
        <v>1</v>
      </c>
    </row>
    <row r="260" spans="1:15" x14ac:dyDescent="0.3">
      <c r="A260" s="4">
        <v>87</v>
      </c>
      <c r="B260" s="4">
        <v>87000</v>
      </c>
      <c r="C260" s="4" t="s">
        <v>15</v>
      </c>
      <c r="D260" s="4" t="s">
        <v>16</v>
      </c>
      <c r="E260" s="4" t="s">
        <v>17</v>
      </c>
      <c r="F260" s="4" t="s">
        <v>18</v>
      </c>
      <c r="G260" s="5">
        <v>0.1</v>
      </c>
      <c r="H260" s="5">
        <v>0.4</v>
      </c>
      <c r="I260" s="5">
        <v>0.05</v>
      </c>
      <c r="J260" s="6">
        <v>0.734375</v>
      </c>
      <c r="K260" s="6">
        <v>0.75829787234042567</v>
      </c>
      <c r="L260" s="6">
        <v>0.56821028586446365</v>
      </c>
      <c r="M260" s="4" t="s">
        <v>67</v>
      </c>
      <c r="N260" s="5">
        <v>7.1904970139076124E-2</v>
      </c>
      <c r="O260" s="4">
        <v>0</v>
      </c>
    </row>
    <row r="261" spans="1:15" x14ac:dyDescent="0.3">
      <c r="A261" s="4">
        <v>87</v>
      </c>
      <c r="B261" s="4">
        <v>87000</v>
      </c>
      <c r="C261" s="4" t="s">
        <v>15</v>
      </c>
      <c r="D261" s="4" t="s">
        <v>161</v>
      </c>
      <c r="E261" s="4" t="s">
        <v>17</v>
      </c>
      <c r="F261" s="4" t="s">
        <v>18</v>
      </c>
      <c r="G261" s="5">
        <v>0.54444444444444451</v>
      </c>
      <c r="H261" s="5">
        <v>0.8</v>
      </c>
      <c r="I261" s="5">
        <v>0.05</v>
      </c>
      <c r="J261" s="6">
        <v>0.609375</v>
      </c>
      <c r="K261" s="6">
        <v>0.82051282051282071</v>
      </c>
      <c r="L261" s="6">
        <v>0.64550822020908083</v>
      </c>
      <c r="M261" s="4" t="s">
        <v>67</v>
      </c>
      <c r="N261" s="5">
        <v>7.1904970139076124E-2</v>
      </c>
      <c r="O261" s="4">
        <v>0</v>
      </c>
    </row>
    <row r="262" spans="1:15" x14ac:dyDescent="0.3">
      <c r="A262" s="4">
        <v>87</v>
      </c>
      <c r="B262" s="4">
        <v>87000</v>
      </c>
      <c r="C262" s="4" t="s">
        <v>15</v>
      </c>
      <c r="D262" s="4" t="s">
        <v>162</v>
      </c>
      <c r="E262" s="4" t="s">
        <v>17</v>
      </c>
      <c r="F262" s="4" t="s">
        <v>18</v>
      </c>
      <c r="G262" s="5">
        <v>0.9</v>
      </c>
      <c r="H262" s="5">
        <v>0.8</v>
      </c>
      <c r="I262" s="5">
        <v>0.05</v>
      </c>
      <c r="J262" s="6">
        <v>0.375</v>
      </c>
      <c r="K262" s="6">
        <v>0.84583333333333321</v>
      </c>
      <c r="L262" s="6">
        <v>0.61691555987203983</v>
      </c>
      <c r="M262" s="4" t="s">
        <v>67</v>
      </c>
      <c r="N262" s="5">
        <v>7.1904970139076124E-2</v>
      </c>
      <c r="O262" s="4">
        <v>0</v>
      </c>
    </row>
    <row r="263" spans="1:15" x14ac:dyDescent="0.3">
      <c r="A263" s="4">
        <v>88</v>
      </c>
      <c r="B263" s="4">
        <v>88000</v>
      </c>
      <c r="C263" s="4" t="s">
        <v>15</v>
      </c>
      <c r="D263" s="4" t="s">
        <v>16</v>
      </c>
      <c r="E263" s="4" t="s">
        <v>17</v>
      </c>
      <c r="F263" s="4" t="s">
        <v>18</v>
      </c>
      <c r="G263" s="5">
        <v>0.1</v>
      </c>
      <c r="H263" s="5">
        <v>0.4</v>
      </c>
      <c r="I263" s="5">
        <v>0.05</v>
      </c>
      <c r="J263" s="6">
        <v>0.734375</v>
      </c>
      <c r="K263" s="6">
        <v>0.7395744680851063</v>
      </c>
      <c r="L263" s="6">
        <v>0.64021035680913063</v>
      </c>
      <c r="M263" s="4" t="s">
        <v>19</v>
      </c>
      <c r="N263" s="5">
        <v>1</v>
      </c>
      <c r="O263" s="4">
        <v>1</v>
      </c>
    </row>
    <row r="264" spans="1:15" x14ac:dyDescent="0.3">
      <c r="A264" s="4">
        <v>88</v>
      </c>
      <c r="B264" s="4">
        <v>88000</v>
      </c>
      <c r="C264" s="4" t="s">
        <v>15</v>
      </c>
      <c r="D264" s="4" t="s">
        <v>161</v>
      </c>
      <c r="E264" s="4" t="s">
        <v>17</v>
      </c>
      <c r="F264" s="4" t="s">
        <v>18</v>
      </c>
      <c r="G264" s="5">
        <v>0.54444444444444451</v>
      </c>
      <c r="H264" s="5">
        <v>0.8</v>
      </c>
      <c r="I264" s="5">
        <v>0.05</v>
      </c>
      <c r="J264" s="6">
        <v>0.53125</v>
      </c>
      <c r="K264" s="6">
        <v>0.86529411764705877</v>
      </c>
      <c r="L264" s="6">
        <v>0.78917390156187794</v>
      </c>
      <c r="M264" s="4" t="s">
        <v>19</v>
      </c>
      <c r="N264" s="5">
        <v>1</v>
      </c>
      <c r="O264" s="4">
        <v>1</v>
      </c>
    </row>
    <row r="265" spans="1:15" x14ac:dyDescent="0.3">
      <c r="A265" s="4">
        <v>88</v>
      </c>
      <c r="B265" s="4">
        <v>88000</v>
      </c>
      <c r="C265" s="4" t="s">
        <v>15</v>
      </c>
      <c r="D265" s="4" t="s">
        <v>162</v>
      </c>
      <c r="E265" s="4" t="s">
        <v>17</v>
      </c>
      <c r="F265" s="4" t="s">
        <v>18</v>
      </c>
      <c r="G265" s="5">
        <v>0.9</v>
      </c>
      <c r="H265" s="5">
        <v>0.8</v>
      </c>
      <c r="I265" s="5">
        <v>0.05</v>
      </c>
      <c r="J265" s="6">
        <v>0.375</v>
      </c>
      <c r="K265" s="6">
        <v>0.88458333333333317</v>
      </c>
      <c r="L265" s="6">
        <v>0.65445482175317948</v>
      </c>
      <c r="M265" s="4" t="s">
        <v>19</v>
      </c>
      <c r="N265" s="5">
        <v>1</v>
      </c>
      <c r="O265" s="4">
        <v>1</v>
      </c>
    </row>
    <row r="266" spans="1:15" x14ac:dyDescent="0.3">
      <c r="A266" s="4">
        <v>89</v>
      </c>
      <c r="B266" s="4">
        <v>89000</v>
      </c>
      <c r="C266" s="4" t="s">
        <v>15</v>
      </c>
      <c r="D266" s="4" t="s">
        <v>16</v>
      </c>
      <c r="E266" s="4" t="s">
        <v>17</v>
      </c>
      <c r="F266" s="4" t="s">
        <v>18</v>
      </c>
      <c r="G266" s="5">
        <v>0.1</v>
      </c>
      <c r="H266" s="5">
        <v>0.4</v>
      </c>
      <c r="I266" s="5">
        <v>0.05</v>
      </c>
      <c r="J266" s="6">
        <v>0.75757575757575757</v>
      </c>
      <c r="K266" s="6">
        <v>0.75780000000000003</v>
      </c>
      <c r="L266" s="6">
        <v>0.676400589803268</v>
      </c>
      <c r="M266" s="4" t="s">
        <v>68</v>
      </c>
      <c r="N266" s="5">
        <v>0.1184801141073157</v>
      </c>
      <c r="O266" s="4">
        <v>0</v>
      </c>
    </row>
    <row r="267" spans="1:15" x14ac:dyDescent="0.3">
      <c r="A267" s="4">
        <v>89</v>
      </c>
      <c r="B267" s="4">
        <v>89000</v>
      </c>
      <c r="C267" s="4" t="s">
        <v>15</v>
      </c>
      <c r="D267" s="4" t="s">
        <v>161</v>
      </c>
      <c r="E267" s="4" t="s">
        <v>17</v>
      </c>
      <c r="F267" s="4" t="s">
        <v>18</v>
      </c>
      <c r="G267" s="5">
        <v>0.54444444444444451</v>
      </c>
      <c r="H267" s="5">
        <v>0.8</v>
      </c>
      <c r="I267" s="5">
        <v>0.05</v>
      </c>
      <c r="J267" s="6">
        <v>0.62121212121212122</v>
      </c>
      <c r="K267" s="6">
        <v>0.82219512195121969</v>
      </c>
      <c r="L267" s="6">
        <v>0.75992019474413786</v>
      </c>
      <c r="M267" s="4" t="s">
        <v>68</v>
      </c>
      <c r="N267" s="5">
        <v>0.1184801141073157</v>
      </c>
      <c r="O267" s="4">
        <v>0</v>
      </c>
    </row>
    <row r="268" spans="1:15" x14ac:dyDescent="0.3">
      <c r="A268" s="4">
        <v>89</v>
      </c>
      <c r="B268" s="4">
        <v>89000</v>
      </c>
      <c r="C268" s="4" t="s">
        <v>15</v>
      </c>
      <c r="D268" s="4" t="s">
        <v>162</v>
      </c>
      <c r="E268" s="4" t="s">
        <v>17</v>
      </c>
      <c r="F268" s="4" t="s">
        <v>18</v>
      </c>
      <c r="G268" s="5">
        <v>0.9</v>
      </c>
      <c r="H268" s="5">
        <v>0.8</v>
      </c>
      <c r="I268" s="5">
        <v>0.05</v>
      </c>
      <c r="J268" s="6">
        <v>0.39393939393939392</v>
      </c>
      <c r="K268" s="6">
        <v>0.85538461538461541</v>
      </c>
      <c r="L268" s="6">
        <v>0.60693737339046461</v>
      </c>
      <c r="M268" s="4" t="s">
        <v>68</v>
      </c>
      <c r="N268" s="5">
        <v>0.1184801141073157</v>
      </c>
      <c r="O268" s="4">
        <v>0</v>
      </c>
    </row>
    <row r="269" spans="1:15" x14ac:dyDescent="0.3">
      <c r="A269" s="4">
        <v>90</v>
      </c>
      <c r="B269" s="4">
        <v>90000</v>
      </c>
      <c r="C269" s="4" t="s">
        <v>15</v>
      </c>
      <c r="D269" s="4" t="s">
        <v>16</v>
      </c>
      <c r="E269" s="4" t="s">
        <v>17</v>
      </c>
      <c r="F269" s="4" t="s">
        <v>18</v>
      </c>
      <c r="G269" s="5">
        <v>0.1</v>
      </c>
      <c r="H269" s="5">
        <v>0.4</v>
      </c>
      <c r="I269" s="5">
        <v>0.05</v>
      </c>
      <c r="J269" s="6">
        <v>0.70149253731343286</v>
      </c>
      <c r="K269" s="6">
        <v>0.79212765957446829</v>
      </c>
      <c r="L269" s="6">
        <v>0.61868259551509475</v>
      </c>
      <c r="M269" s="4" t="s">
        <v>69</v>
      </c>
      <c r="N269" s="5">
        <v>0.16284338726244879</v>
      </c>
      <c r="O269" s="4">
        <v>1</v>
      </c>
    </row>
    <row r="270" spans="1:15" x14ac:dyDescent="0.3">
      <c r="A270" s="4">
        <v>90</v>
      </c>
      <c r="B270" s="4">
        <v>90000</v>
      </c>
      <c r="C270" s="4" t="s">
        <v>15</v>
      </c>
      <c r="D270" s="4" t="s">
        <v>161</v>
      </c>
      <c r="E270" s="4" t="s">
        <v>17</v>
      </c>
      <c r="F270" s="4" t="s">
        <v>18</v>
      </c>
      <c r="G270" s="5">
        <v>0.54444444444444451</v>
      </c>
      <c r="H270" s="5">
        <v>0.8</v>
      </c>
      <c r="I270" s="5">
        <v>0.1166666666666667</v>
      </c>
      <c r="J270" s="6">
        <v>0.5074626865671642</v>
      </c>
      <c r="K270" s="6">
        <v>0.86617647058823533</v>
      </c>
      <c r="L270" s="6">
        <v>0.72600826549755015</v>
      </c>
      <c r="M270" s="4" t="s">
        <v>69</v>
      </c>
      <c r="N270" s="5">
        <v>0.16284338726244879</v>
      </c>
      <c r="O270" s="4">
        <v>1</v>
      </c>
    </row>
    <row r="271" spans="1:15" x14ac:dyDescent="0.3">
      <c r="A271" s="4">
        <v>90</v>
      </c>
      <c r="B271" s="4">
        <v>90000</v>
      </c>
      <c r="C271" s="4" t="s">
        <v>15</v>
      </c>
      <c r="D271" s="4" t="s">
        <v>162</v>
      </c>
      <c r="E271" s="4" t="s">
        <v>17</v>
      </c>
      <c r="F271" s="4" t="s">
        <v>18</v>
      </c>
      <c r="G271" s="5">
        <v>0.9</v>
      </c>
      <c r="H271" s="5">
        <v>0.8</v>
      </c>
      <c r="I271" s="5">
        <v>0.05</v>
      </c>
      <c r="J271" s="6">
        <v>0.37313432835820898</v>
      </c>
      <c r="K271" s="6">
        <v>0.8919999999999999</v>
      </c>
      <c r="L271" s="6">
        <v>0.67326275449922801</v>
      </c>
      <c r="M271" s="4" t="s">
        <v>69</v>
      </c>
      <c r="N271" s="5">
        <v>0.16284338726244879</v>
      </c>
      <c r="O271" s="4">
        <v>1</v>
      </c>
    </row>
    <row r="272" spans="1:15" x14ac:dyDescent="0.3">
      <c r="A272" s="4">
        <v>91</v>
      </c>
      <c r="B272" s="4">
        <v>91000</v>
      </c>
      <c r="C272" s="4" t="s">
        <v>15</v>
      </c>
      <c r="D272" s="4" t="s">
        <v>16</v>
      </c>
      <c r="E272" s="4" t="s">
        <v>17</v>
      </c>
      <c r="F272" s="4" t="s">
        <v>18</v>
      </c>
      <c r="G272" s="5">
        <v>0.1</v>
      </c>
      <c r="H272" s="5">
        <v>0.4</v>
      </c>
      <c r="I272" s="5">
        <v>0.05</v>
      </c>
      <c r="J272" s="6">
        <v>0.69696969696969702</v>
      </c>
      <c r="K272" s="6">
        <v>0.80652173913043479</v>
      </c>
      <c r="L272" s="6">
        <v>0.62974021617027642</v>
      </c>
      <c r="M272" s="4" t="s">
        <v>29</v>
      </c>
      <c r="N272" s="5">
        <v>0.1209271927912156</v>
      </c>
      <c r="O272" s="4">
        <v>0</v>
      </c>
    </row>
    <row r="273" spans="1:15" x14ac:dyDescent="0.3">
      <c r="A273" s="4">
        <v>91</v>
      </c>
      <c r="B273" s="4">
        <v>91000</v>
      </c>
      <c r="C273" s="4" t="s">
        <v>15</v>
      </c>
      <c r="D273" s="4" t="s">
        <v>161</v>
      </c>
      <c r="E273" s="4" t="s">
        <v>17</v>
      </c>
      <c r="F273" s="4" t="s">
        <v>18</v>
      </c>
      <c r="G273" s="5">
        <v>0.54444444444444451</v>
      </c>
      <c r="H273" s="5">
        <v>0.8</v>
      </c>
      <c r="I273" s="5">
        <v>0.1166666666666667</v>
      </c>
      <c r="J273" s="6">
        <v>0.56060606060606055</v>
      </c>
      <c r="K273" s="6">
        <v>0.85513513513513495</v>
      </c>
      <c r="L273" s="6">
        <v>0.62580295207678749</v>
      </c>
      <c r="M273" s="4" t="s">
        <v>29</v>
      </c>
      <c r="N273" s="5">
        <v>0.1209271927912156</v>
      </c>
      <c r="O273" s="4">
        <v>0</v>
      </c>
    </row>
    <row r="274" spans="1:15" x14ac:dyDescent="0.3">
      <c r="A274" s="4">
        <v>91</v>
      </c>
      <c r="B274" s="4">
        <v>91000</v>
      </c>
      <c r="C274" s="4" t="s">
        <v>15</v>
      </c>
      <c r="D274" s="4" t="s">
        <v>162</v>
      </c>
      <c r="E274" s="4" t="s">
        <v>17</v>
      </c>
      <c r="F274" s="4" t="s">
        <v>18</v>
      </c>
      <c r="G274" s="5">
        <v>0.9</v>
      </c>
      <c r="H274" s="5">
        <v>0.8</v>
      </c>
      <c r="I274" s="5">
        <v>0.05</v>
      </c>
      <c r="J274" s="6">
        <v>0.46969696969696972</v>
      </c>
      <c r="K274" s="6">
        <v>0.87096774193548376</v>
      </c>
      <c r="L274" s="6">
        <v>0.71856246441488791</v>
      </c>
      <c r="M274" s="4" t="s">
        <v>29</v>
      </c>
      <c r="N274" s="5">
        <v>0.1209271927912156</v>
      </c>
      <c r="O274" s="4">
        <v>0</v>
      </c>
    </row>
    <row r="275" spans="1:15" x14ac:dyDescent="0.3">
      <c r="A275" s="4">
        <v>92</v>
      </c>
      <c r="B275" s="4">
        <v>92000</v>
      </c>
      <c r="C275" s="4" t="s">
        <v>15</v>
      </c>
      <c r="D275" s="4" t="s">
        <v>16</v>
      </c>
      <c r="E275" s="4" t="s">
        <v>17</v>
      </c>
      <c r="F275" s="4" t="s">
        <v>18</v>
      </c>
      <c r="G275" s="5">
        <v>0.1</v>
      </c>
      <c r="H275" s="5">
        <v>0.4</v>
      </c>
      <c r="I275" s="5">
        <v>0.05</v>
      </c>
      <c r="J275" s="6">
        <v>0.7142857142857143</v>
      </c>
      <c r="K275" s="6">
        <v>0.81622222222222218</v>
      </c>
      <c r="L275" s="6">
        <v>0.74536159014770331</v>
      </c>
      <c r="M275" s="4" t="s">
        <v>70</v>
      </c>
      <c r="N275" s="5">
        <v>0.1861410868868455</v>
      </c>
      <c r="O275" s="4">
        <v>1</v>
      </c>
    </row>
    <row r="276" spans="1:15" x14ac:dyDescent="0.3">
      <c r="A276" s="4">
        <v>92</v>
      </c>
      <c r="B276" s="4">
        <v>92000</v>
      </c>
      <c r="C276" s="4" t="s">
        <v>15</v>
      </c>
      <c r="D276" s="4" t="s">
        <v>161</v>
      </c>
      <c r="E276" s="4" t="s">
        <v>17</v>
      </c>
      <c r="F276" s="4" t="s">
        <v>18</v>
      </c>
      <c r="G276" s="5">
        <v>0.1</v>
      </c>
      <c r="H276" s="5">
        <v>0.8</v>
      </c>
      <c r="I276" s="5">
        <v>0.05</v>
      </c>
      <c r="J276" s="6">
        <v>0.69841269841269837</v>
      </c>
      <c r="K276" s="6">
        <v>0.83477272727272722</v>
      </c>
      <c r="L276" s="6">
        <v>0.79414172266001193</v>
      </c>
      <c r="M276" s="4" t="s">
        <v>70</v>
      </c>
      <c r="N276" s="5">
        <v>0.1861410868868455</v>
      </c>
      <c r="O276" s="4">
        <v>1</v>
      </c>
    </row>
    <row r="277" spans="1:15" x14ac:dyDescent="0.3">
      <c r="A277" s="4">
        <v>92</v>
      </c>
      <c r="B277" s="4">
        <v>92000</v>
      </c>
      <c r="C277" s="4" t="s">
        <v>15</v>
      </c>
      <c r="D277" s="4" t="s">
        <v>162</v>
      </c>
      <c r="E277" s="4" t="s">
        <v>17</v>
      </c>
      <c r="F277" s="4" t="s">
        <v>18</v>
      </c>
      <c r="G277" s="5">
        <v>0.9</v>
      </c>
      <c r="H277" s="5">
        <v>0.8</v>
      </c>
      <c r="I277" s="5">
        <v>0.05</v>
      </c>
      <c r="J277" s="6">
        <v>0.44444444444444442</v>
      </c>
      <c r="K277" s="6">
        <v>0.89857142857142858</v>
      </c>
      <c r="L277" s="6">
        <v>0.73745747896030756</v>
      </c>
      <c r="M277" s="4" t="s">
        <v>70</v>
      </c>
      <c r="N277" s="5">
        <v>0.1861410868868455</v>
      </c>
      <c r="O277" s="4">
        <v>1</v>
      </c>
    </row>
    <row r="278" spans="1:15" x14ac:dyDescent="0.3">
      <c r="A278" s="4">
        <v>93</v>
      </c>
      <c r="B278" s="4">
        <v>93000</v>
      </c>
      <c r="C278" s="4" t="s">
        <v>15</v>
      </c>
      <c r="D278" s="4" t="s">
        <v>16</v>
      </c>
      <c r="E278" s="4" t="s">
        <v>17</v>
      </c>
      <c r="F278" s="4" t="s">
        <v>18</v>
      </c>
      <c r="G278" s="5">
        <v>0.1</v>
      </c>
      <c r="H278" s="5">
        <v>0.4</v>
      </c>
      <c r="I278" s="5">
        <v>0.05</v>
      </c>
      <c r="J278" s="6">
        <v>0.70175438596491224</v>
      </c>
      <c r="K278" s="6">
        <v>0.8234999999999999</v>
      </c>
      <c r="L278" s="6">
        <v>0.68329586720970081</v>
      </c>
      <c r="M278" s="4" t="s">
        <v>19</v>
      </c>
      <c r="N278" s="5">
        <v>1</v>
      </c>
      <c r="O278" s="4">
        <v>1</v>
      </c>
    </row>
    <row r="279" spans="1:15" x14ac:dyDescent="0.3">
      <c r="A279" s="4">
        <v>93</v>
      </c>
      <c r="B279" s="4">
        <v>93000</v>
      </c>
      <c r="C279" s="4" t="s">
        <v>15</v>
      </c>
      <c r="D279" s="4" t="s">
        <v>161</v>
      </c>
      <c r="E279" s="4" t="s">
        <v>17</v>
      </c>
      <c r="F279" s="4" t="s">
        <v>18</v>
      </c>
      <c r="G279" s="5">
        <v>0.72222222222222221</v>
      </c>
      <c r="H279" s="5">
        <v>0.8</v>
      </c>
      <c r="I279" s="5">
        <v>0.05</v>
      </c>
      <c r="J279" s="6">
        <v>0.61403508771929827</v>
      </c>
      <c r="K279" s="6">
        <v>0.87599999999999989</v>
      </c>
      <c r="L279" s="6">
        <v>0.77368873385901848</v>
      </c>
      <c r="M279" s="4" t="s">
        <v>19</v>
      </c>
      <c r="N279" s="5">
        <v>1</v>
      </c>
      <c r="O279" s="4">
        <v>1</v>
      </c>
    </row>
    <row r="280" spans="1:15" x14ac:dyDescent="0.3">
      <c r="A280" s="4">
        <v>93</v>
      </c>
      <c r="B280" s="4">
        <v>93000</v>
      </c>
      <c r="C280" s="4" t="s">
        <v>15</v>
      </c>
      <c r="D280" s="4" t="s">
        <v>162</v>
      </c>
      <c r="E280" s="4" t="s">
        <v>17</v>
      </c>
      <c r="F280" s="4" t="s">
        <v>18</v>
      </c>
      <c r="G280" s="5">
        <v>0.9</v>
      </c>
      <c r="H280" s="5">
        <v>0.8</v>
      </c>
      <c r="I280" s="5">
        <v>0.05</v>
      </c>
      <c r="J280" s="6">
        <v>0.45614035087719301</v>
      </c>
      <c r="K280" s="6">
        <v>0.89192307692307682</v>
      </c>
      <c r="L280" s="6">
        <v>0.71260439622153726</v>
      </c>
      <c r="M280" s="4" t="s">
        <v>19</v>
      </c>
      <c r="N280" s="5">
        <v>1</v>
      </c>
      <c r="O280" s="4">
        <v>1</v>
      </c>
    </row>
    <row r="281" spans="1:15" x14ac:dyDescent="0.3">
      <c r="A281" s="4">
        <v>94</v>
      </c>
      <c r="B281" s="4">
        <v>94000</v>
      </c>
      <c r="C281" s="4" t="s">
        <v>15</v>
      </c>
      <c r="D281" s="4" t="s">
        <v>16</v>
      </c>
      <c r="E281" s="4" t="s">
        <v>17</v>
      </c>
      <c r="F281" s="4" t="s">
        <v>18</v>
      </c>
      <c r="G281" s="5">
        <v>0.1</v>
      </c>
      <c r="H281" s="5">
        <v>0.4</v>
      </c>
      <c r="I281" s="5">
        <v>0.05</v>
      </c>
      <c r="J281" s="6">
        <v>0.73684210526315785</v>
      </c>
      <c r="K281" s="6">
        <v>0.77380952380952384</v>
      </c>
      <c r="L281" s="6">
        <v>0.66073953060223756</v>
      </c>
      <c r="M281" s="4" t="s">
        <v>19</v>
      </c>
      <c r="N281" s="5">
        <v>1</v>
      </c>
      <c r="O281" s="4">
        <v>1</v>
      </c>
    </row>
    <row r="282" spans="1:15" x14ac:dyDescent="0.3">
      <c r="A282" s="4">
        <v>94</v>
      </c>
      <c r="B282" s="4">
        <v>94000</v>
      </c>
      <c r="C282" s="4" t="s">
        <v>15</v>
      </c>
      <c r="D282" s="4" t="s">
        <v>161</v>
      </c>
      <c r="E282" s="4" t="s">
        <v>17</v>
      </c>
      <c r="F282" s="4" t="s">
        <v>18</v>
      </c>
      <c r="G282" s="5">
        <v>0.27777777777777779</v>
      </c>
      <c r="H282" s="5">
        <v>0.60000000000000009</v>
      </c>
      <c r="I282" s="5">
        <v>0.05</v>
      </c>
      <c r="J282" s="6">
        <v>0.70175438596491224</v>
      </c>
      <c r="K282" s="6">
        <v>0.80625000000000002</v>
      </c>
      <c r="L282" s="6">
        <v>0.79082840567863144</v>
      </c>
      <c r="M282" s="4" t="s">
        <v>19</v>
      </c>
      <c r="N282" s="5">
        <v>1</v>
      </c>
      <c r="O282" s="4">
        <v>1</v>
      </c>
    </row>
    <row r="283" spans="1:15" x14ac:dyDescent="0.3">
      <c r="A283" s="4">
        <v>94</v>
      </c>
      <c r="B283" s="4">
        <v>94000</v>
      </c>
      <c r="C283" s="4" t="s">
        <v>15</v>
      </c>
      <c r="D283" s="4" t="s">
        <v>162</v>
      </c>
      <c r="E283" s="4" t="s">
        <v>17</v>
      </c>
      <c r="F283" s="4" t="s">
        <v>18</v>
      </c>
      <c r="G283" s="5">
        <v>0.81111111111111112</v>
      </c>
      <c r="H283" s="5">
        <v>0.60000000000000009</v>
      </c>
      <c r="I283" s="5">
        <v>0.05</v>
      </c>
      <c r="J283" s="6">
        <v>0.52631578947368418</v>
      </c>
      <c r="K283" s="6">
        <v>0.85366666666666657</v>
      </c>
      <c r="L283" s="6">
        <v>0.71761010166045625</v>
      </c>
      <c r="M283" s="4" t="s">
        <v>19</v>
      </c>
      <c r="N283" s="5">
        <v>1</v>
      </c>
      <c r="O283" s="4">
        <v>1</v>
      </c>
    </row>
    <row r="284" spans="1:15" x14ac:dyDescent="0.3">
      <c r="A284" s="4">
        <v>95</v>
      </c>
      <c r="B284" s="4">
        <v>95000</v>
      </c>
      <c r="C284" s="4" t="s">
        <v>15</v>
      </c>
      <c r="D284" s="4" t="s">
        <v>16</v>
      </c>
      <c r="E284" s="4" t="s">
        <v>17</v>
      </c>
      <c r="F284" s="4" t="s">
        <v>18</v>
      </c>
      <c r="G284" s="5">
        <v>0.1</v>
      </c>
      <c r="H284" s="5">
        <v>0.4</v>
      </c>
      <c r="I284" s="5">
        <v>0.05</v>
      </c>
      <c r="J284" s="6">
        <v>0.69491525423728817</v>
      </c>
      <c r="K284" s="6">
        <v>0.77170731707317075</v>
      </c>
      <c r="L284" s="6">
        <v>0.69061884223979864</v>
      </c>
      <c r="M284" s="4" t="s">
        <v>22</v>
      </c>
      <c r="N284" s="5">
        <v>9.4180174557816812E-2</v>
      </c>
      <c r="O284" s="4">
        <v>0</v>
      </c>
    </row>
    <row r="285" spans="1:15" x14ac:dyDescent="0.3">
      <c r="A285" s="4">
        <v>95</v>
      </c>
      <c r="B285" s="4">
        <v>95000</v>
      </c>
      <c r="C285" s="4" t="s">
        <v>15</v>
      </c>
      <c r="D285" s="4" t="s">
        <v>161</v>
      </c>
      <c r="E285" s="4" t="s">
        <v>17</v>
      </c>
      <c r="F285" s="4" t="s">
        <v>18</v>
      </c>
      <c r="G285" s="5">
        <v>0.27777777777777779</v>
      </c>
      <c r="H285" s="5">
        <v>0.60000000000000009</v>
      </c>
      <c r="I285" s="5">
        <v>0.05</v>
      </c>
      <c r="J285" s="6">
        <v>0.69491525423728817</v>
      </c>
      <c r="K285" s="6">
        <v>0.77170731707317075</v>
      </c>
      <c r="L285" s="6">
        <v>0.69061884223979864</v>
      </c>
      <c r="M285" s="4" t="s">
        <v>22</v>
      </c>
      <c r="N285" s="5">
        <v>9.4180174557816812E-2</v>
      </c>
      <c r="O285" s="4">
        <v>0</v>
      </c>
    </row>
    <row r="286" spans="1:15" x14ac:dyDescent="0.3">
      <c r="A286" s="4">
        <v>95</v>
      </c>
      <c r="B286" s="4">
        <v>95000</v>
      </c>
      <c r="C286" s="4" t="s">
        <v>15</v>
      </c>
      <c r="D286" s="4" t="s">
        <v>162</v>
      </c>
      <c r="E286" s="4" t="s">
        <v>17</v>
      </c>
      <c r="F286" s="4" t="s">
        <v>18</v>
      </c>
      <c r="G286" s="5">
        <v>0.81111111111111112</v>
      </c>
      <c r="H286" s="5">
        <v>0.60000000000000009</v>
      </c>
      <c r="I286" s="5">
        <v>0.05</v>
      </c>
      <c r="J286" s="6">
        <v>0.50847457627118642</v>
      </c>
      <c r="K286" s="6">
        <v>0.82</v>
      </c>
      <c r="L286" s="6">
        <v>0.73190279360842192</v>
      </c>
      <c r="M286" s="4" t="s">
        <v>22</v>
      </c>
      <c r="N286" s="5">
        <v>9.4180174557816812E-2</v>
      </c>
      <c r="O286" s="4">
        <v>0</v>
      </c>
    </row>
    <row r="287" spans="1:15" x14ac:dyDescent="0.3">
      <c r="A287" s="4">
        <v>96</v>
      </c>
      <c r="B287" s="4">
        <v>96000</v>
      </c>
      <c r="C287" s="4" t="s">
        <v>15</v>
      </c>
      <c r="D287" s="4" t="s">
        <v>16</v>
      </c>
      <c r="E287" s="4" t="s">
        <v>17</v>
      </c>
      <c r="F287" s="4" t="s">
        <v>18</v>
      </c>
      <c r="G287" s="5">
        <v>0.1</v>
      </c>
      <c r="H287" s="5">
        <v>0.4</v>
      </c>
      <c r="I287" s="5">
        <v>0.05</v>
      </c>
      <c r="J287" s="6">
        <v>0.73770491803278693</v>
      </c>
      <c r="K287" s="6">
        <v>0.74777777777777754</v>
      </c>
      <c r="L287" s="6">
        <v>0.703901525068515</v>
      </c>
      <c r="M287" s="4" t="s">
        <v>19</v>
      </c>
      <c r="N287" s="5">
        <v>1</v>
      </c>
      <c r="O287" s="4">
        <v>1</v>
      </c>
    </row>
    <row r="288" spans="1:15" x14ac:dyDescent="0.3">
      <c r="A288" s="4">
        <v>96</v>
      </c>
      <c r="B288" s="4">
        <v>96000</v>
      </c>
      <c r="C288" s="4" t="s">
        <v>15</v>
      </c>
      <c r="D288" s="4" t="s">
        <v>161</v>
      </c>
      <c r="E288" s="4" t="s">
        <v>17</v>
      </c>
      <c r="F288" s="4" t="s">
        <v>18</v>
      </c>
      <c r="G288" s="5">
        <v>0.54444444444444451</v>
      </c>
      <c r="H288" s="5">
        <v>0.8</v>
      </c>
      <c r="I288" s="5">
        <v>0.05</v>
      </c>
      <c r="J288" s="6">
        <v>0.5901639344262295</v>
      </c>
      <c r="K288" s="6">
        <v>0.82638888888888884</v>
      </c>
      <c r="L288" s="6">
        <v>0.80205727173944252</v>
      </c>
      <c r="M288" s="4" t="s">
        <v>19</v>
      </c>
      <c r="N288" s="5">
        <v>1</v>
      </c>
      <c r="O288" s="4">
        <v>1</v>
      </c>
    </row>
    <row r="289" spans="1:15" x14ac:dyDescent="0.3">
      <c r="A289" s="4">
        <v>96</v>
      </c>
      <c r="B289" s="4">
        <v>96000</v>
      </c>
      <c r="C289" s="4" t="s">
        <v>15</v>
      </c>
      <c r="D289" s="4" t="s">
        <v>162</v>
      </c>
      <c r="E289" s="4" t="s">
        <v>17</v>
      </c>
      <c r="F289" s="4" t="s">
        <v>18</v>
      </c>
      <c r="G289" s="5">
        <v>0.81111111111111112</v>
      </c>
      <c r="H289" s="5">
        <v>0.8</v>
      </c>
      <c r="I289" s="5">
        <v>0.05</v>
      </c>
      <c r="J289" s="6">
        <v>0.47540983606557369</v>
      </c>
      <c r="K289" s="6">
        <v>0.84689655172413769</v>
      </c>
      <c r="L289" s="6">
        <v>0.73815349051118739</v>
      </c>
      <c r="M289" s="4" t="s">
        <v>19</v>
      </c>
      <c r="N289" s="5">
        <v>1</v>
      </c>
      <c r="O289" s="4">
        <v>1</v>
      </c>
    </row>
    <row r="290" spans="1:15" x14ac:dyDescent="0.3">
      <c r="A290" s="4">
        <v>97</v>
      </c>
      <c r="B290" s="4">
        <v>97000</v>
      </c>
      <c r="C290" s="4" t="s">
        <v>15</v>
      </c>
      <c r="D290" s="4" t="s">
        <v>16</v>
      </c>
      <c r="E290" s="4" t="s">
        <v>17</v>
      </c>
      <c r="F290" s="4" t="s">
        <v>18</v>
      </c>
      <c r="G290" s="5">
        <v>0.1</v>
      </c>
      <c r="H290" s="5">
        <v>0.4</v>
      </c>
      <c r="I290" s="5">
        <v>0.05</v>
      </c>
      <c r="J290" s="6">
        <v>0.72058823529411764</v>
      </c>
      <c r="K290" s="6">
        <v>0.74857142857142855</v>
      </c>
      <c r="L290" s="6">
        <v>0.64855231745011188</v>
      </c>
      <c r="M290" s="4" t="s">
        <v>71</v>
      </c>
      <c r="N290" s="5">
        <v>0.13982830255050641</v>
      </c>
      <c r="O290" s="4">
        <v>0</v>
      </c>
    </row>
    <row r="291" spans="1:15" x14ac:dyDescent="0.3">
      <c r="A291" s="4">
        <v>97</v>
      </c>
      <c r="B291" s="4">
        <v>97000</v>
      </c>
      <c r="C291" s="4" t="s">
        <v>15</v>
      </c>
      <c r="D291" s="4" t="s">
        <v>161</v>
      </c>
      <c r="E291" s="4" t="s">
        <v>17</v>
      </c>
      <c r="F291" s="4" t="s">
        <v>18</v>
      </c>
      <c r="G291" s="5">
        <v>0.54444444444444451</v>
      </c>
      <c r="H291" s="5">
        <v>0.8</v>
      </c>
      <c r="I291" s="5">
        <v>0.05</v>
      </c>
      <c r="J291" s="6">
        <v>0.57352941176470584</v>
      </c>
      <c r="K291" s="6">
        <v>0.82512820512820517</v>
      </c>
      <c r="L291" s="6">
        <v>0.69003488963737258</v>
      </c>
      <c r="M291" s="4" t="s">
        <v>71</v>
      </c>
      <c r="N291" s="5">
        <v>0.13982830255050641</v>
      </c>
      <c r="O291" s="4">
        <v>0</v>
      </c>
    </row>
    <row r="292" spans="1:15" x14ac:dyDescent="0.3">
      <c r="A292" s="4">
        <v>97</v>
      </c>
      <c r="B292" s="4">
        <v>97000</v>
      </c>
      <c r="C292" s="4" t="s">
        <v>15</v>
      </c>
      <c r="D292" s="4" t="s">
        <v>162</v>
      </c>
      <c r="E292" s="4" t="s">
        <v>17</v>
      </c>
      <c r="F292" s="4" t="s">
        <v>18</v>
      </c>
      <c r="G292" s="5">
        <v>0.81111111111111112</v>
      </c>
      <c r="H292" s="5">
        <v>0.8</v>
      </c>
      <c r="I292" s="5">
        <v>0.05</v>
      </c>
      <c r="J292" s="6">
        <v>0.45588235294117652</v>
      </c>
      <c r="K292" s="6">
        <v>0.85548387096774192</v>
      </c>
      <c r="L292" s="6">
        <v>0.68742222702329725</v>
      </c>
      <c r="M292" s="4" t="s">
        <v>71</v>
      </c>
      <c r="N292" s="5">
        <v>0.13982830255050641</v>
      </c>
      <c r="O292" s="4">
        <v>0</v>
      </c>
    </row>
    <row r="293" spans="1:15" x14ac:dyDescent="0.3">
      <c r="A293" s="4">
        <v>98</v>
      </c>
      <c r="B293" s="4">
        <v>98000</v>
      </c>
      <c r="C293" s="4" t="s">
        <v>15</v>
      </c>
      <c r="D293" s="4" t="s">
        <v>16</v>
      </c>
      <c r="E293" s="4" t="s">
        <v>17</v>
      </c>
      <c r="F293" s="4" t="s">
        <v>18</v>
      </c>
      <c r="G293" s="5">
        <v>0.1</v>
      </c>
      <c r="H293" s="5">
        <v>0.4</v>
      </c>
      <c r="I293" s="5">
        <v>0.05</v>
      </c>
      <c r="J293" s="6">
        <v>0.72058823529411764</v>
      </c>
      <c r="K293" s="6">
        <v>0.76877551020408164</v>
      </c>
      <c r="L293" s="6">
        <v>0.66270495233897309</v>
      </c>
      <c r="M293" s="4" t="s">
        <v>72</v>
      </c>
      <c r="N293" s="5">
        <v>0.20730962553115739</v>
      </c>
      <c r="O293" s="4">
        <v>1</v>
      </c>
    </row>
    <row r="294" spans="1:15" x14ac:dyDescent="0.3">
      <c r="A294" s="4">
        <v>98</v>
      </c>
      <c r="B294" s="4">
        <v>98000</v>
      </c>
      <c r="C294" s="4" t="s">
        <v>15</v>
      </c>
      <c r="D294" s="4" t="s">
        <v>161</v>
      </c>
      <c r="E294" s="4" t="s">
        <v>17</v>
      </c>
      <c r="F294" s="4" t="s">
        <v>18</v>
      </c>
      <c r="G294" s="5">
        <v>0.81111111111111112</v>
      </c>
      <c r="H294" s="5">
        <v>0.4</v>
      </c>
      <c r="I294" s="5">
        <v>0.05</v>
      </c>
      <c r="J294" s="6">
        <v>0.48529411764705882</v>
      </c>
      <c r="K294" s="6">
        <v>0.86515151515151512</v>
      </c>
      <c r="L294" s="6">
        <v>0.74655662169407888</v>
      </c>
      <c r="M294" s="4" t="s">
        <v>72</v>
      </c>
      <c r="N294" s="5">
        <v>0.20730962553115739</v>
      </c>
      <c r="O294" s="4">
        <v>1</v>
      </c>
    </row>
    <row r="295" spans="1:15" x14ac:dyDescent="0.3">
      <c r="A295" s="4">
        <v>98</v>
      </c>
      <c r="B295" s="4">
        <v>98000</v>
      </c>
      <c r="C295" s="4" t="s">
        <v>15</v>
      </c>
      <c r="D295" s="4" t="s">
        <v>162</v>
      </c>
      <c r="E295" s="4" t="s">
        <v>17</v>
      </c>
      <c r="F295" s="4" t="s">
        <v>18</v>
      </c>
      <c r="G295" s="5">
        <v>0.81111111111111112</v>
      </c>
      <c r="H295" s="5">
        <v>0.4</v>
      </c>
      <c r="I295" s="5">
        <v>0.05</v>
      </c>
      <c r="J295" s="6">
        <v>0.48529411764705882</v>
      </c>
      <c r="K295" s="6">
        <v>0.86515151515151512</v>
      </c>
      <c r="L295" s="6">
        <v>0.74655662169407888</v>
      </c>
      <c r="M295" s="4" t="s">
        <v>72</v>
      </c>
      <c r="N295" s="5">
        <v>0.20730962553115739</v>
      </c>
      <c r="O295" s="4">
        <v>1</v>
      </c>
    </row>
    <row r="296" spans="1:15" x14ac:dyDescent="0.3">
      <c r="A296" s="4">
        <v>99</v>
      </c>
      <c r="B296" s="4">
        <v>99000</v>
      </c>
      <c r="C296" s="4" t="s">
        <v>15</v>
      </c>
      <c r="D296" s="4" t="s">
        <v>16</v>
      </c>
      <c r="E296" s="4" t="s">
        <v>17</v>
      </c>
      <c r="F296" s="4" t="s">
        <v>18</v>
      </c>
      <c r="G296" s="5">
        <v>0.1</v>
      </c>
      <c r="H296" s="5">
        <v>0.4</v>
      </c>
      <c r="I296" s="5">
        <v>0.05</v>
      </c>
      <c r="J296" s="6">
        <v>0.6875</v>
      </c>
      <c r="K296" s="6">
        <v>0.8013636363636365</v>
      </c>
      <c r="L296" s="6">
        <v>0.5880153823600871</v>
      </c>
      <c r="M296" s="4" t="s">
        <v>19</v>
      </c>
      <c r="N296" s="5">
        <v>1</v>
      </c>
      <c r="O296" s="4">
        <v>1</v>
      </c>
    </row>
    <row r="297" spans="1:15" x14ac:dyDescent="0.3">
      <c r="A297" s="4">
        <v>99</v>
      </c>
      <c r="B297" s="4">
        <v>99000</v>
      </c>
      <c r="C297" s="4" t="s">
        <v>15</v>
      </c>
      <c r="D297" s="4" t="s">
        <v>161</v>
      </c>
      <c r="E297" s="4" t="s">
        <v>17</v>
      </c>
      <c r="F297" s="4" t="s">
        <v>18</v>
      </c>
      <c r="G297" s="5">
        <v>0.72222222222222221</v>
      </c>
      <c r="H297" s="5">
        <v>0.4</v>
      </c>
      <c r="I297" s="5">
        <v>0.05</v>
      </c>
      <c r="J297" s="6">
        <v>0.578125</v>
      </c>
      <c r="K297" s="6">
        <v>0.86270270270270266</v>
      </c>
      <c r="L297" s="6">
        <v>0.70178622038296168</v>
      </c>
      <c r="M297" s="4" t="s">
        <v>19</v>
      </c>
      <c r="N297" s="5">
        <v>1</v>
      </c>
      <c r="O297" s="4">
        <v>1</v>
      </c>
    </row>
    <row r="298" spans="1:15" x14ac:dyDescent="0.3">
      <c r="A298" s="4">
        <v>99</v>
      </c>
      <c r="B298" s="4">
        <v>99000</v>
      </c>
      <c r="C298" s="4" t="s">
        <v>15</v>
      </c>
      <c r="D298" s="4" t="s">
        <v>162</v>
      </c>
      <c r="E298" s="4" t="s">
        <v>17</v>
      </c>
      <c r="F298" s="4" t="s">
        <v>18</v>
      </c>
      <c r="G298" s="5">
        <v>0.9</v>
      </c>
      <c r="H298" s="5">
        <v>0.4</v>
      </c>
      <c r="I298" s="5">
        <v>0.05</v>
      </c>
      <c r="J298" s="6">
        <v>0.5</v>
      </c>
      <c r="K298" s="6">
        <v>0.87156250000000002</v>
      </c>
      <c r="L298" s="6">
        <v>0.67196484242125787</v>
      </c>
      <c r="M298" s="4" t="s">
        <v>19</v>
      </c>
      <c r="N298" s="5">
        <v>1</v>
      </c>
      <c r="O298" s="4">
        <v>1</v>
      </c>
    </row>
    <row r="299" spans="1:15" x14ac:dyDescent="0.3">
      <c r="A299" s="4">
        <v>100</v>
      </c>
      <c r="B299" s="4">
        <v>100000</v>
      </c>
      <c r="C299" s="4" t="s">
        <v>15</v>
      </c>
      <c r="D299" s="4" t="s">
        <v>16</v>
      </c>
      <c r="E299" s="4" t="s">
        <v>17</v>
      </c>
      <c r="F299" s="4" t="s">
        <v>18</v>
      </c>
      <c r="G299" s="5">
        <v>0.1</v>
      </c>
      <c r="H299" s="5">
        <v>0.4</v>
      </c>
      <c r="I299" s="5">
        <v>0.05</v>
      </c>
      <c r="J299" s="6">
        <v>0.75</v>
      </c>
      <c r="K299" s="6">
        <v>0.78604166666666642</v>
      </c>
      <c r="L299" s="6">
        <v>0.63068951291796593</v>
      </c>
      <c r="M299" s="4" t="s">
        <v>73</v>
      </c>
      <c r="N299" s="5">
        <v>9.1730555799039423E-2</v>
      </c>
      <c r="O299" s="4">
        <v>0</v>
      </c>
    </row>
    <row r="300" spans="1:15" x14ac:dyDescent="0.3">
      <c r="A300" s="4">
        <v>100</v>
      </c>
      <c r="B300" s="4">
        <v>100000</v>
      </c>
      <c r="C300" s="4" t="s">
        <v>15</v>
      </c>
      <c r="D300" s="4" t="s">
        <v>161</v>
      </c>
      <c r="E300" s="4" t="s">
        <v>17</v>
      </c>
      <c r="F300" s="4" t="s">
        <v>18</v>
      </c>
      <c r="G300" s="5">
        <v>0.72222222222222221</v>
      </c>
      <c r="H300" s="5">
        <v>0.4</v>
      </c>
      <c r="I300" s="5">
        <v>0.05</v>
      </c>
      <c r="J300" s="6">
        <v>0.625</v>
      </c>
      <c r="K300" s="6">
        <v>0.84399999999999975</v>
      </c>
      <c r="L300" s="6">
        <v>0.64922286885924863</v>
      </c>
      <c r="M300" s="4" t="s">
        <v>73</v>
      </c>
      <c r="N300" s="5">
        <v>9.1730555799039423E-2</v>
      </c>
      <c r="O300" s="4">
        <v>0</v>
      </c>
    </row>
    <row r="301" spans="1:15" x14ac:dyDescent="0.3">
      <c r="A301" s="4">
        <v>100</v>
      </c>
      <c r="B301" s="4">
        <v>100000</v>
      </c>
      <c r="C301" s="4" t="s">
        <v>15</v>
      </c>
      <c r="D301" s="4" t="s">
        <v>162</v>
      </c>
      <c r="E301" s="4" t="s">
        <v>17</v>
      </c>
      <c r="F301" s="4" t="s">
        <v>18</v>
      </c>
      <c r="G301" s="5">
        <v>0.9</v>
      </c>
      <c r="H301" s="5">
        <v>0.4</v>
      </c>
      <c r="I301" s="5">
        <v>0.05</v>
      </c>
      <c r="J301" s="6">
        <v>0.5</v>
      </c>
      <c r="K301" s="6">
        <v>0.84468749999999992</v>
      </c>
      <c r="L301" s="6">
        <v>0.71791794390691888</v>
      </c>
      <c r="M301" s="4" t="s">
        <v>73</v>
      </c>
      <c r="N301" s="5">
        <v>9.1730555799039423E-2</v>
      </c>
      <c r="O301" s="4">
        <v>0</v>
      </c>
    </row>
    <row r="302" spans="1:15" x14ac:dyDescent="0.3">
      <c r="A302" s="4">
        <v>101</v>
      </c>
      <c r="B302" s="4">
        <v>101000</v>
      </c>
      <c r="C302" s="4" t="s">
        <v>15</v>
      </c>
      <c r="D302" s="4" t="s">
        <v>16</v>
      </c>
      <c r="E302" s="4" t="s">
        <v>17</v>
      </c>
      <c r="F302" s="4" t="s">
        <v>18</v>
      </c>
      <c r="G302" s="5">
        <v>0.1</v>
      </c>
      <c r="H302" s="5">
        <v>0.4</v>
      </c>
      <c r="I302" s="5">
        <v>0.05</v>
      </c>
      <c r="J302" s="6">
        <v>0.76190476190476186</v>
      </c>
      <c r="K302" s="6">
        <v>0.79145833333333337</v>
      </c>
      <c r="L302" s="6">
        <v>0.66038942937993295</v>
      </c>
      <c r="M302" s="4" t="s">
        <v>19</v>
      </c>
      <c r="N302" s="5">
        <v>1</v>
      </c>
      <c r="O302" s="4">
        <v>1</v>
      </c>
    </row>
    <row r="303" spans="1:15" x14ac:dyDescent="0.3">
      <c r="A303" s="4">
        <v>101</v>
      </c>
      <c r="B303" s="4">
        <v>101000</v>
      </c>
      <c r="C303" s="4" t="s">
        <v>15</v>
      </c>
      <c r="D303" s="4" t="s">
        <v>161</v>
      </c>
      <c r="E303" s="4" t="s">
        <v>17</v>
      </c>
      <c r="F303" s="4" t="s">
        <v>18</v>
      </c>
      <c r="G303" s="5">
        <v>0.54444444444444451</v>
      </c>
      <c r="H303" s="5">
        <v>0.60000000000000009</v>
      </c>
      <c r="I303" s="5">
        <v>0.05</v>
      </c>
      <c r="J303" s="6">
        <v>0.66666666666666663</v>
      </c>
      <c r="K303" s="6">
        <v>0.84738095238095246</v>
      </c>
      <c r="L303" s="6">
        <v>0.71471869506185559</v>
      </c>
      <c r="M303" s="4" t="s">
        <v>19</v>
      </c>
      <c r="N303" s="5">
        <v>1</v>
      </c>
      <c r="O303" s="4">
        <v>1</v>
      </c>
    </row>
    <row r="304" spans="1:15" x14ac:dyDescent="0.3">
      <c r="A304" s="4">
        <v>101</v>
      </c>
      <c r="B304" s="4">
        <v>101000</v>
      </c>
      <c r="C304" s="4" t="s">
        <v>15</v>
      </c>
      <c r="D304" s="4" t="s">
        <v>162</v>
      </c>
      <c r="E304" s="4" t="s">
        <v>17</v>
      </c>
      <c r="F304" s="4" t="s">
        <v>18</v>
      </c>
      <c r="G304" s="5">
        <v>0.9</v>
      </c>
      <c r="H304" s="5">
        <v>0.60000000000000009</v>
      </c>
      <c r="I304" s="5">
        <v>0.05</v>
      </c>
      <c r="J304" s="6">
        <v>0.50793650793650791</v>
      </c>
      <c r="K304" s="6">
        <v>0.87249999999999994</v>
      </c>
      <c r="L304" s="6">
        <v>0.64941706954226663</v>
      </c>
      <c r="M304" s="4" t="s">
        <v>19</v>
      </c>
      <c r="N304" s="5">
        <v>1</v>
      </c>
      <c r="O304" s="4">
        <v>1</v>
      </c>
    </row>
    <row r="305" spans="1:15" x14ac:dyDescent="0.3">
      <c r="A305" s="4">
        <v>102</v>
      </c>
      <c r="B305" s="4">
        <v>102000</v>
      </c>
      <c r="C305" s="4" t="s">
        <v>15</v>
      </c>
      <c r="D305" s="4" t="s">
        <v>16</v>
      </c>
      <c r="E305" s="4" t="s">
        <v>17</v>
      </c>
      <c r="F305" s="4" t="s">
        <v>18</v>
      </c>
      <c r="G305" s="5">
        <v>0.1</v>
      </c>
      <c r="H305" s="5">
        <v>0.4</v>
      </c>
      <c r="I305" s="5">
        <v>0.05</v>
      </c>
      <c r="J305" s="6">
        <v>0.76119402985074625</v>
      </c>
      <c r="K305" s="6">
        <v>0.7819607843137254</v>
      </c>
      <c r="L305" s="6">
        <v>0.65531079222525634</v>
      </c>
      <c r="M305" s="4" t="s">
        <v>24</v>
      </c>
      <c r="N305" s="5">
        <v>7.2624468417846796E-2</v>
      </c>
      <c r="O305" s="4">
        <v>0</v>
      </c>
    </row>
    <row r="306" spans="1:15" x14ac:dyDescent="0.3">
      <c r="A306" s="4">
        <v>102</v>
      </c>
      <c r="B306" s="4">
        <v>102000</v>
      </c>
      <c r="C306" s="4" t="s">
        <v>15</v>
      </c>
      <c r="D306" s="4" t="s">
        <v>161</v>
      </c>
      <c r="E306" s="4" t="s">
        <v>17</v>
      </c>
      <c r="F306" s="4" t="s">
        <v>18</v>
      </c>
      <c r="G306" s="5">
        <v>0.54444444444444451</v>
      </c>
      <c r="H306" s="5">
        <v>0.60000000000000009</v>
      </c>
      <c r="I306" s="5">
        <v>0.05</v>
      </c>
      <c r="J306" s="6">
        <v>0.64179104477611937</v>
      </c>
      <c r="K306" s="6">
        <v>0.84837209302325578</v>
      </c>
      <c r="L306" s="6">
        <v>0.7365015257148404</v>
      </c>
      <c r="M306" s="4" t="s">
        <v>24</v>
      </c>
      <c r="N306" s="5">
        <v>7.2624468417846796E-2</v>
      </c>
      <c r="O306" s="4">
        <v>0</v>
      </c>
    </row>
    <row r="307" spans="1:15" x14ac:dyDescent="0.3">
      <c r="A307" s="4">
        <v>102</v>
      </c>
      <c r="B307" s="4">
        <v>102000</v>
      </c>
      <c r="C307" s="4" t="s">
        <v>15</v>
      </c>
      <c r="D307" s="4" t="s">
        <v>162</v>
      </c>
      <c r="E307" s="4" t="s">
        <v>17</v>
      </c>
      <c r="F307" s="4" t="s">
        <v>18</v>
      </c>
      <c r="G307" s="5">
        <v>0.9</v>
      </c>
      <c r="H307" s="5">
        <v>0.60000000000000009</v>
      </c>
      <c r="I307" s="5">
        <v>0.05</v>
      </c>
      <c r="J307" s="6">
        <v>0.47761194029850751</v>
      </c>
      <c r="K307" s="6">
        <v>0.87187499999999984</v>
      </c>
      <c r="L307" s="6">
        <v>0.64114965817081637</v>
      </c>
      <c r="M307" s="4" t="s">
        <v>24</v>
      </c>
      <c r="N307" s="5">
        <v>7.2624468417846796E-2</v>
      </c>
      <c r="O307" s="4">
        <v>0</v>
      </c>
    </row>
    <row r="308" spans="1:15" x14ac:dyDescent="0.3">
      <c r="A308" s="4">
        <v>103</v>
      </c>
      <c r="B308" s="4">
        <v>103000</v>
      </c>
      <c r="C308" s="4" t="s">
        <v>15</v>
      </c>
      <c r="D308" s="4" t="s">
        <v>16</v>
      </c>
      <c r="E308" s="4" t="s">
        <v>17</v>
      </c>
      <c r="F308" s="4" t="s">
        <v>18</v>
      </c>
      <c r="G308" s="5">
        <v>0.1</v>
      </c>
      <c r="H308" s="5">
        <v>0.4</v>
      </c>
      <c r="I308" s="5">
        <v>0.05</v>
      </c>
      <c r="J308" s="6">
        <v>0.73913043478260865</v>
      </c>
      <c r="K308" s="6">
        <v>0.79117647058823537</v>
      </c>
      <c r="L308" s="6">
        <v>0.62029158090272696</v>
      </c>
      <c r="M308" s="4" t="s">
        <v>29</v>
      </c>
      <c r="N308" s="5">
        <v>0.1214860421541992</v>
      </c>
      <c r="O308" s="4">
        <v>0</v>
      </c>
    </row>
    <row r="309" spans="1:15" x14ac:dyDescent="0.3">
      <c r="A309" s="4">
        <v>103</v>
      </c>
      <c r="B309" s="4">
        <v>103000</v>
      </c>
      <c r="C309" s="4" t="s">
        <v>15</v>
      </c>
      <c r="D309" s="4" t="s">
        <v>161</v>
      </c>
      <c r="E309" s="4" t="s">
        <v>17</v>
      </c>
      <c r="F309" s="4" t="s">
        <v>18</v>
      </c>
      <c r="G309" s="5">
        <v>0.54444444444444451</v>
      </c>
      <c r="H309" s="5">
        <v>0.60000000000000009</v>
      </c>
      <c r="I309" s="5">
        <v>0.05</v>
      </c>
      <c r="J309" s="6">
        <v>0.65217391304347827</v>
      </c>
      <c r="K309" s="6">
        <v>0.83199999999999996</v>
      </c>
      <c r="L309" s="6">
        <v>0.65092401196175442</v>
      </c>
      <c r="M309" s="4" t="s">
        <v>29</v>
      </c>
      <c r="N309" s="5">
        <v>0.1214860421541992</v>
      </c>
      <c r="O309" s="4">
        <v>0</v>
      </c>
    </row>
    <row r="310" spans="1:15" x14ac:dyDescent="0.3">
      <c r="A310" s="4">
        <v>103</v>
      </c>
      <c r="B310" s="4">
        <v>103000</v>
      </c>
      <c r="C310" s="4" t="s">
        <v>15</v>
      </c>
      <c r="D310" s="4" t="s">
        <v>162</v>
      </c>
      <c r="E310" s="4" t="s">
        <v>17</v>
      </c>
      <c r="F310" s="4" t="s">
        <v>18</v>
      </c>
      <c r="G310" s="5">
        <v>0.9</v>
      </c>
      <c r="H310" s="5">
        <v>0.60000000000000009</v>
      </c>
      <c r="I310" s="5">
        <v>0.05</v>
      </c>
      <c r="J310" s="6">
        <v>0.42028985507246369</v>
      </c>
      <c r="K310" s="6">
        <v>0.8655172413793103</v>
      </c>
      <c r="L310" s="6">
        <v>0.62537058585618033</v>
      </c>
      <c r="M310" s="4" t="s">
        <v>29</v>
      </c>
      <c r="N310" s="5">
        <v>0.1214860421541992</v>
      </c>
      <c r="O310" s="4">
        <v>0</v>
      </c>
    </row>
    <row r="311" spans="1:15" x14ac:dyDescent="0.3">
      <c r="A311" s="4">
        <v>104</v>
      </c>
      <c r="B311" s="4">
        <v>104000</v>
      </c>
      <c r="C311" s="4" t="s">
        <v>15</v>
      </c>
      <c r="D311" s="4" t="s">
        <v>16</v>
      </c>
      <c r="E311" s="4" t="s">
        <v>17</v>
      </c>
      <c r="F311" s="4" t="s">
        <v>18</v>
      </c>
      <c r="G311" s="5">
        <v>0.1</v>
      </c>
      <c r="H311" s="5">
        <v>0.4</v>
      </c>
      <c r="I311" s="5">
        <v>0.05</v>
      </c>
      <c r="J311" s="6">
        <v>0.72222222222222221</v>
      </c>
      <c r="K311" s="6">
        <v>0.80038461538461547</v>
      </c>
      <c r="L311" s="6">
        <v>0.64483715908133576</v>
      </c>
      <c r="M311" s="4" t="s">
        <v>23</v>
      </c>
      <c r="N311" s="5">
        <v>0.17523808229613971</v>
      </c>
      <c r="O311" s="4">
        <v>1</v>
      </c>
    </row>
    <row r="312" spans="1:15" x14ac:dyDescent="0.3">
      <c r="A312" s="4">
        <v>104</v>
      </c>
      <c r="B312" s="4">
        <v>104000</v>
      </c>
      <c r="C312" s="4" t="s">
        <v>15</v>
      </c>
      <c r="D312" s="4" t="s">
        <v>161</v>
      </c>
      <c r="E312" s="4" t="s">
        <v>17</v>
      </c>
      <c r="F312" s="4" t="s">
        <v>18</v>
      </c>
      <c r="G312" s="5">
        <v>0.81111111111111112</v>
      </c>
      <c r="H312" s="5">
        <v>0.4</v>
      </c>
      <c r="I312" s="5">
        <v>0.05</v>
      </c>
      <c r="J312" s="6">
        <v>0.52777777777777779</v>
      </c>
      <c r="K312" s="6">
        <v>0.86842105263157876</v>
      </c>
      <c r="L312" s="6">
        <v>0.73376395552908635</v>
      </c>
      <c r="M312" s="4" t="s">
        <v>23</v>
      </c>
      <c r="N312" s="5">
        <v>0.17523808229613971</v>
      </c>
      <c r="O312" s="4">
        <v>1</v>
      </c>
    </row>
    <row r="313" spans="1:15" x14ac:dyDescent="0.3">
      <c r="A313" s="4">
        <v>104</v>
      </c>
      <c r="B313" s="4">
        <v>104000</v>
      </c>
      <c r="C313" s="4" t="s">
        <v>15</v>
      </c>
      <c r="D313" s="4" t="s">
        <v>162</v>
      </c>
      <c r="E313" s="4" t="s">
        <v>17</v>
      </c>
      <c r="F313" s="4" t="s">
        <v>18</v>
      </c>
      <c r="G313" s="5">
        <v>0.9</v>
      </c>
      <c r="H313" s="5">
        <v>0.4</v>
      </c>
      <c r="I313" s="5">
        <v>0.05</v>
      </c>
      <c r="J313" s="6">
        <v>0.41666666666666669</v>
      </c>
      <c r="K313" s="6">
        <v>0.87066666666666648</v>
      </c>
      <c r="L313" s="6">
        <v>0.71616183790255339</v>
      </c>
      <c r="M313" s="4" t="s">
        <v>23</v>
      </c>
      <c r="N313" s="5">
        <v>0.17523808229613971</v>
      </c>
      <c r="O313" s="4">
        <v>1</v>
      </c>
    </row>
    <row r="314" spans="1:15" x14ac:dyDescent="0.3">
      <c r="A314" s="4">
        <v>105</v>
      </c>
      <c r="B314" s="4">
        <v>105000</v>
      </c>
      <c r="C314" s="4" t="s">
        <v>15</v>
      </c>
      <c r="D314" s="4" t="s">
        <v>16</v>
      </c>
      <c r="E314" s="4" t="s">
        <v>17</v>
      </c>
      <c r="F314" s="4" t="s">
        <v>18</v>
      </c>
      <c r="G314" s="5">
        <v>0.1</v>
      </c>
      <c r="H314" s="5">
        <v>0.4</v>
      </c>
      <c r="I314" s="5">
        <v>0.05</v>
      </c>
      <c r="J314" s="6">
        <v>0.7</v>
      </c>
      <c r="K314" s="6">
        <v>0.80591836734693867</v>
      </c>
      <c r="L314" s="6">
        <v>0.63531609583554693</v>
      </c>
      <c r="M314" s="4" t="s">
        <v>50</v>
      </c>
      <c r="N314" s="5">
        <v>8.547472659307008E-2</v>
      </c>
      <c r="O314" s="4">
        <v>0</v>
      </c>
    </row>
    <row r="315" spans="1:15" x14ac:dyDescent="0.3">
      <c r="A315" s="4">
        <v>105</v>
      </c>
      <c r="B315" s="4">
        <v>105000</v>
      </c>
      <c r="C315" s="4" t="s">
        <v>15</v>
      </c>
      <c r="D315" s="4" t="s">
        <v>161</v>
      </c>
      <c r="E315" s="4" t="s">
        <v>17</v>
      </c>
      <c r="F315" s="4" t="s">
        <v>18</v>
      </c>
      <c r="G315" s="5">
        <v>0.81111111111111112</v>
      </c>
      <c r="H315" s="5">
        <v>0.4</v>
      </c>
      <c r="I315" s="5">
        <v>0.05</v>
      </c>
      <c r="J315" s="6">
        <v>0.48571428571428571</v>
      </c>
      <c r="K315" s="6">
        <v>0.87205882352941166</v>
      </c>
      <c r="L315" s="6">
        <v>0.71789437759907559</v>
      </c>
      <c r="M315" s="4" t="s">
        <v>50</v>
      </c>
      <c r="N315" s="5">
        <v>8.547472659307008E-2</v>
      </c>
      <c r="O315" s="4">
        <v>0</v>
      </c>
    </row>
    <row r="316" spans="1:15" x14ac:dyDescent="0.3">
      <c r="A316" s="4">
        <v>105</v>
      </c>
      <c r="B316" s="4">
        <v>105000</v>
      </c>
      <c r="C316" s="4" t="s">
        <v>15</v>
      </c>
      <c r="D316" s="4" t="s">
        <v>162</v>
      </c>
      <c r="E316" s="4" t="s">
        <v>17</v>
      </c>
      <c r="F316" s="4" t="s">
        <v>18</v>
      </c>
      <c r="G316" s="5">
        <v>0.9</v>
      </c>
      <c r="H316" s="5">
        <v>0.4</v>
      </c>
      <c r="I316" s="5">
        <v>0.05</v>
      </c>
      <c r="J316" s="6">
        <v>0.42857142857142849</v>
      </c>
      <c r="K316" s="6">
        <v>0.87233333333333329</v>
      </c>
      <c r="L316" s="6">
        <v>0.6762141258449984</v>
      </c>
      <c r="M316" s="4" t="s">
        <v>50</v>
      </c>
      <c r="N316" s="5">
        <v>8.547472659307008E-2</v>
      </c>
      <c r="O316" s="4">
        <v>0</v>
      </c>
    </row>
    <row r="317" spans="1:15" x14ac:dyDescent="0.3">
      <c r="A317" s="4">
        <v>106</v>
      </c>
      <c r="B317" s="4">
        <v>106000</v>
      </c>
      <c r="C317" s="4" t="s">
        <v>15</v>
      </c>
      <c r="D317" s="4" t="s">
        <v>16</v>
      </c>
      <c r="E317" s="4" t="s">
        <v>17</v>
      </c>
      <c r="F317" s="4" t="s">
        <v>18</v>
      </c>
      <c r="G317" s="5">
        <v>0.1</v>
      </c>
      <c r="H317" s="5">
        <v>0.4</v>
      </c>
      <c r="I317" s="5">
        <v>0.05</v>
      </c>
      <c r="J317" s="6">
        <v>0.7142857142857143</v>
      </c>
      <c r="K317" s="6">
        <v>0.82819999999999994</v>
      </c>
      <c r="L317" s="6">
        <v>0.62840867356516072</v>
      </c>
      <c r="M317" s="4" t="s">
        <v>74</v>
      </c>
      <c r="N317" s="5">
        <v>8.9414728977269153E-2</v>
      </c>
      <c r="O317" s="4">
        <v>0</v>
      </c>
    </row>
    <row r="318" spans="1:15" x14ac:dyDescent="0.3">
      <c r="A318" s="4">
        <v>106</v>
      </c>
      <c r="B318" s="4">
        <v>106000</v>
      </c>
      <c r="C318" s="4" t="s">
        <v>15</v>
      </c>
      <c r="D318" s="4" t="s">
        <v>161</v>
      </c>
      <c r="E318" s="4" t="s">
        <v>17</v>
      </c>
      <c r="F318" s="4" t="s">
        <v>18</v>
      </c>
      <c r="G318" s="5">
        <v>0.81111111111111112</v>
      </c>
      <c r="H318" s="5">
        <v>0.4</v>
      </c>
      <c r="I318" s="5">
        <v>0.05</v>
      </c>
      <c r="J318" s="6">
        <v>0.55714285714285716</v>
      </c>
      <c r="K318" s="6">
        <v>0.87025641025640998</v>
      </c>
      <c r="L318" s="6">
        <v>0.76277973451350789</v>
      </c>
      <c r="M318" s="4" t="s">
        <v>74</v>
      </c>
      <c r="N318" s="5">
        <v>8.9414728977269153E-2</v>
      </c>
      <c r="O318" s="4">
        <v>0</v>
      </c>
    </row>
    <row r="319" spans="1:15" x14ac:dyDescent="0.3">
      <c r="A319" s="4">
        <v>106</v>
      </c>
      <c r="B319" s="4">
        <v>106000</v>
      </c>
      <c r="C319" s="4" t="s">
        <v>15</v>
      </c>
      <c r="D319" s="4" t="s">
        <v>162</v>
      </c>
      <c r="E319" s="4" t="s">
        <v>17</v>
      </c>
      <c r="F319" s="4" t="s">
        <v>18</v>
      </c>
      <c r="G319" s="5">
        <v>0.9</v>
      </c>
      <c r="H319" s="5">
        <v>0.4</v>
      </c>
      <c r="I319" s="5">
        <v>0.05</v>
      </c>
      <c r="J319" s="6">
        <v>0.42857142857142849</v>
      </c>
      <c r="K319" s="6">
        <v>0.87366666666666648</v>
      </c>
      <c r="L319" s="6">
        <v>0.71354170363117908</v>
      </c>
      <c r="M319" s="4" t="s">
        <v>74</v>
      </c>
      <c r="N319" s="5">
        <v>8.9414728977269153E-2</v>
      </c>
      <c r="O319" s="4">
        <v>0</v>
      </c>
    </row>
    <row r="320" spans="1:15" x14ac:dyDescent="0.3">
      <c r="A320" s="4">
        <v>107</v>
      </c>
      <c r="B320" s="4">
        <v>107000</v>
      </c>
      <c r="C320" s="4" t="s">
        <v>15</v>
      </c>
      <c r="D320" s="4" t="s">
        <v>16</v>
      </c>
      <c r="E320" s="4" t="s">
        <v>17</v>
      </c>
      <c r="F320" s="4" t="s">
        <v>18</v>
      </c>
      <c r="G320" s="5">
        <v>0.1</v>
      </c>
      <c r="H320" s="5">
        <v>0.4</v>
      </c>
      <c r="I320" s="5">
        <v>0.05</v>
      </c>
      <c r="J320" s="6">
        <v>0.75757575757575757</v>
      </c>
      <c r="K320" s="6">
        <v>0.81779999999999997</v>
      </c>
      <c r="L320" s="6">
        <v>0.6270848104401795</v>
      </c>
      <c r="M320" s="4" t="s">
        <v>75</v>
      </c>
      <c r="N320" s="5">
        <v>0.1262246708820644</v>
      </c>
      <c r="O320" s="4">
        <v>0</v>
      </c>
    </row>
    <row r="321" spans="1:15" x14ac:dyDescent="0.3">
      <c r="A321" s="4">
        <v>107</v>
      </c>
      <c r="B321" s="4">
        <v>107000</v>
      </c>
      <c r="C321" s="4" t="s">
        <v>15</v>
      </c>
      <c r="D321" s="4" t="s">
        <v>161</v>
      </c>
      <c r="E321" s="4" t="s">
        <v>17</v>
      </c>
      <c r="F321" s="4" t="s">
        <v>18</v>
      </c>
      <c r="G321" s="5">
        <v>0.81111111111111112</v>
      </c>
      <c r="H321" s="5">
        <v>0.4</v>
      </c>
      <c r="I321" s="5">
        <v>0.05</v>
      </c>
      <c r="J321" s="6">
        <v>0.56060606060606055</v>
      </c>
      <c r="K321" s="6">
        <v>0.87135135135135122</v>
      </c>
      <c r="L321" s="6">
        <v>0.77741692348360891</v>
      </c>
      <c r="M321" s="4" t="s">
        <v>75</v>
      </c>
      <c r="N321" s="5">
        <v>0.1262246708820644</v>
      </c>
      <c r="O321" s="4">
        <v>0</v>
      </c>
    </row>
    <row r="322" spans="1:15" x14ac:dyDescent="0.3">
      <c r="A322" s="4">
        <v>107</v>
      </c>
      <c r="B322" s="4">
        <v>107000</v>
      </c>
      <c r="C322" s="4" t="s">
        <v>15</v>
      </c>
      <c r="D322" s="4" t="s">
        <v>162</v>
      </c>
      <c r="E322" s="4" t="s">
        <v>17</v>
      </c>
      <c r="F322" s="4" t="s">
        <v>18</v>
      </c>
      <c r="G322" s="5">
        <v>0.9</v>
      </c>
      <c r="H322" s="5">
        <v>0.4</v>
      </c>
      <c r="I322" s="5">
        <v>0.05</v>
      </c>
      <c r="J322" s="6">
        <v>0.48484848484848492</v>
      </c>
      <c r="K322" s="6">
        <v>0.87374999999999992</v>
      </c>
      <c r="L322" s="6">
        <v>0.75290030818033082</v>
      </c>
      <c r="M322" s="4" t="s">
        <v>75</v>
      </c>
      <c r="N322" s="5">
        <v>0.1262246708820644</v>
      </c>
      <c r="O322" s="4">
        <v>0</v>
      </c>
    </row>
    <row r="323" spans="1:15" x14ac:dyDescent="0.3">
      <c r="A323" s="4">
        <v>108</v>
      </c>
      <c r="B323" s="4">
        <v>108000</v>
      </c>
      <c r="C323" s="4" t="s">
        <v>15</v>
      </c>
      <c r="D323" s="4" t="s">
        <v>16</v>
      </c>
      <c r="E323" s="4" t="s">
        <v>17</v>
      </c>
      <c r="F323" s="4" t="s">
        <v>18</v>
      </c>
      <c r="G323" s="5">
        <v>0.1</v>
      </c>
      <c r="H323" s="5">
        <v>0.4</v>
      </c>
      <c r="I323" s="5">
        <v>0.05</v>
      </c>
      <c r="J323" s="6">
        <v>0.77777777777777779</v>
      </c>
      <c r="K323" s="6">
        <v>0.80285714285714282</v>
      </c>
      <c r="L323" s="6">
        <v>0.59808348335798844</v>
      </c>
      <c r="M323" s="4" t="s">
        <v>76</v>
      </c>
      <c r="N323" s="5">
        <v>0.14858663391729179</v>
      </c>
      <c r="O323" s="4">
        <v>0</v>
      </c>
    </row>
    <row r="324" spans="1:15" x14ac:dyDescent="0.3">
      <c r="A324" s="4">
        <v>108</v>
      </c>
      <c r="B324" s="4">
        <v>108000</v>
      </c>
      <c r="C324" s="4" t="s">
        <v>15</v>
      </c>
      <c r="D324" s="4" t="s">
        <v>161</v>
      </c>
      <c r="E324" s="4" t="s">
        <v>17</v>
      </c>
      <c r="F324" s="4" t="s">
        <v>18</v>
      </c>
      <c r="G324" s="5">
        <v>0.81111111111111112</v>
      </c>
      <c r="H324" s="5">
        <v>0.4</v>
      </c>
      <c r="I324" s="5">
        <v>0.05</v>
      </c>
      <c r="J324" s="6">
        <v>0.55555555555555558</v>
      </c>
      <c r="K324" s="6">
        <v>0.86314285714285699</v>
      </c>
      <c r="L324" s="6">
        <v>0.74123150987484376</v>
      </c>
      <c r="M324" s="4" t="s">
        <v>76</v>
      </c>
      <c r="N324" s="5">
        <v>0.14858663391729179</v>
      </c>
      <c r="O324" s="4">
        <v>0</v>
      </c>
    </row>
    <row r="325" spans="1:15" x14ac:dyDescent="0.3">
      <c r="A325" s="4">
        <v>108</v>
      </c>
      <c r="B325" s="4">
        <v>108000</v>
      </c>
      <c r="C325" s="4" t="s">
        <v>15</v>
      </c>
      <c r="D325" s="4" t="s">
        <v>162</v>
      </c>
      <c r="E325" s="4" t="s">
        <v>17</v>
      </c>
      <c r="F325" s="4" t="s">
        <v>18</v>
      </c>
      <c r="G325" s="5">
        <v>0.9</v>
      </c>
      <c r="H325" s="5">
        <v>0.4</v>
      </c>
      <c r="I325" s="5">
        <v>0.05</v>
      </c>
      <c r="J325" s="6">
        <v>0.44444444444444442</v>
      </c>
      <c r="K325" s="6">
        <v>0.86249999999999982</v>
      </c>
      <c r="L325" s="6">
        <v>0.65044567092136951</v>
      </c>
      <c r="M325" s="4" t="s">
        <v>76</v>
      </c>
      <c r="N325" s="5">
        <v>0.14858663391729179</v>
      </c>
      <c r="O325" s="4">
        <v>0</v>
      </c>
    </row>
    <row r="326" spans="1:15" x14ac:dyDescent="0.3">
      <c r="A326" s="4">
        <v>109</v>
      </c>
      <c r="B326" s="4">
        <v>109000</v>
      </c>
      <c r="C326" s="4" t="s">
        <v>15</v>
      </c>
      <c r="D326" s="4" t="s">
        <v>16</v>
      </c>
      <c r="E326" s="4" t="s">
        <v>17</v>
      </c>
      <c r="F326" s="4" t="s">
        <v>18</v>
      </c>
      <c r="G326" s="5">
        <v>0.1</v>
      </c>
      <c r="H326" s="5">
        <v>0.4</v>
      </c>
      <c r="I326" s="5">
        <v>0.05</v>
      </c>
      <c r="J326" s="6">
        <v>0.70491803278688525</v>
      </c>
      <c r="K326" s="6">
        <v>0.79697674418604625</v>
      </c>
      <c r="L326" s="6">
        <v>0.55460770744136445</v>
      </c>
      <c r="M326" s="4" t="s">
        <v>53</v>
      </c>
      <c r="N326" s="5">
        <v>0.17801795441612689</v>
      </c>
      <c r="O326" s="4">
        <v>1</v>
      </c>
    </row>
    <row r="327" spans="1:15" x14ac:dyDescent="0.3">
      <c r="A327" s="4">
        <v>109</v>
      </c>
      <c r="B327" s="4">
        <v>109000</v>
      </c>
      <c r="C327" s="4" t="s">
        <v>15</v>
      </c>
      <c r="D327" s="4" t="s">
        <v>161</v>
      </c>
      <c r="E327" s="4" t="s">
        <v>17</v>
      </c>
      <c r="F327" s="4" t="s">
        <v>18</v>
      </c>
      <c r="G327" s="5">
        <v>0.81111111111111112</v>
      </c>
      <c r="H327" s="5">
        <v>0.4</v>
      </c>
      <c r="I327" s="5">
        <v>0.05</v>
      </c>
      <c r="J327" s="6">
        <v>0.52459016393442626</v>
      </c>
      <c r="K327" s="6">
        <v>0.85718749999999966</v>
      </c>
      <c r="L327" s="6">
        <v>0.7406926476224478</v>
      </c>
      <c r="M327" s="4" t="s">
        <v>53</v>
      </c>
      <c r="N327" s="5">
        <v>0.17801795441612689</v>
      </c>
      <c r="O327" s="4">
        <v>1</v>
      </c>
    </row>
    <row r="328" spans="1:15" x14ac:dyDescent="0.3">
      <c r="A328" s="4">
        <v>109</v>
      </c>
      <c r="B328" s="4">
        <v>109000</v>
      </c>
      <c r="C328" s="4" t="s">
        <v>15</v>
      </c>
      <c r="D328" s="4" t="s">
        <v>162</v>
      </c>
      <c r="E328" s="4" t="s">
        <v>17</v>
      </c>
      <c r="F328" s="4" t="s">
        <v>18</v>
      </c>
      <c r="G328" s="5">
        <v>0.9</v>
      </c>
      <c r="H328" s="5">
        <v>0.4</v>
      </c>
      <c r="I328" s="5">
        <v>0.05</v>
      </c>
      <c r="J328" s="6">
        <v>0.44262295081967212</v>
      </c>
      <c r="K328" s="6">
        <v>0.8588888888888887</v>
      </c>
      <c r="L328" s="6">
        <v>0.62555528416377482</v>
      </c>
      <c r="M328" s="4" t="s">
        <v>53</v>
      </c>
      <c r="N328" s="5">
        <v>0.17801795441612689</v>
      </c>
      <c r="O328" s="4">
        <v>1</v>
      </c>
    </row>
    <row r="329" spans="1:15" x14ac:dyDescent="0.3">
      <c r="A329" s="4">
        <v>110</v>
      </c>
      <c r="B329" s="4">
        <v>110000</v>
      </c>
      <c r="C329" s="4" t="s">
        <v>15</v>
      </c>
      <c r="D329" s="4" t="s">
        <v>16</v>
      </c>
      <c r="E329" s="4" t="s">
        <v>17</v>
      </c>
      <c r="F329" s="4" t="s">
        <v>18</v>
      </c>
      <c r="G329" s="5">
        <v>0.1</v>
      </c>
      <c r="H329" s="5">
        <v>0.4</v>
      </c>
      <c r="I329" s="5">
        <v>0.05</v>
      </c>
      <c r="J329" s="6">
        <v>0.72131147540983609</v>
      </c>
      <c r="K329" s="6">
        <v>0.79977272727272719</v>
      </c>
      <c r="L329" s="6">
        <v>0.59023431992261799</v>
      </c>
      <c r="M329" s="4" t="s">
        <v>19</v>
      </c>
      <c r="N329" s="5">
        <v>1</v>
      </c>
      <c r="O329" s="4">
        <v>1</v>
      </c>
    </row>
    <row r="330" spans="1:15" x14ac:dyDescent="0.3">
      <c r="A330" s="4">
        <v>110</v>
      </c>
      <c r="B330" s="4">
        <v>110000</v>
      </c>
      <c r="C330" s="4" t="s">
        <v>15</v>
      </c>
      <c r="D330" s="4" t="s">
        <v>161</v>
      </c>
      <c r="E330" s="4" t="s">
        <v>17</v>
      </c>
      <c r="F330" s="4" t="s">
        <v>18</v>
      </c>
      <c r="G330" s="5">
        <v>0.81111111111111112</v>
      </c>
      <c r="H330" s="5">
        <v>0.4</v>
      </c>
      <c r="I330" s="5">
        <v>0.05</v>
      </c>
      <c r="J330" s="6">
        <v>0.52459016393442626</v>
      </c>
      <c r="K330" s="6">
        <v>0.85781249999999987</v>
      </c>
      <c r="L330" s="6">
        <v>0.73079960541888911</v>
      </c>
      <c r="M330" s="4" t="s">
        <v>19</v>
      </c>
      <c r="N330" s="5">
        <v>1</v>
      </c>
      <c r="O330" s="4">
        <v>1</v>
      </c>
    </row>
    <row r="331" spans="1:15" x14ac:dyDescent="0.3">
      <c r="A331" s="4">
        <v>110</v>
      </c>
      <c r="B331" s="4">
        <v>110000</v>
      </c>
      <c r="C331" s="4" t="s">
        <v>15</v>
      </c>
      <c r="D331" s="4" t="s">
        <v>162</v>
      </c>
      <c r="E331" s="4" t="s">
        <v>17</v>
      </c>
      <c r="F331" s="4" t="s">
        <v>18</v>
      </c>
      <c r="G331" s="5">
        <v>0.81111111111111112</v>
      </c>
      <c r="H331" s="5">
        <v>0.4</v>
      </c>
      <c r="I331" s="5">
        <v>0.1166666666666667</v>
      </c>
      <c r="J331" s="6">
        <v>0.49180327868852458</v>
      </c>
      <c r="K331" s="6">
        <v>0.85799999999999998</v>
      </c>
      <c r="L331" s="6">
        <v>0.70088845046543236</v>
      </c>
      <c r="M331" s="4" t="s">
        <v>19</v>
      </c>
      <c r="N331" s="5">
        <v>1</v>
      </c>
      <c r="O331" s="4">
        <v>1</v>
      </c>
    </row>
    <row r="332" spans="1:15" x14ac:dyDescent="0.3">
      <c r="A332" s="4">
        <v>111</v>
      </c>
      <c r="B332" s="4">
        <v>111000</v>
      </c>
      <c r="C332" s="4" t="s">
        <v>15</v>
      </c>
      <c r="D332" s="4" t="s">
        <v>16</v>
      </c>
      <c r="E332" s="4" t="s">
        <v>17</v>
      </c>
      <c r="F332" s="4" t="s">
        <v>18</v>
      </c>
      <c r="G332" s="5">
        <v>0.1</v>
      </c>
      <c r="H332" s="5">
        <v>0.4</v>
      </c>
      <c r="I332" s="5">
        <v>0.05</v>
      </c>
      <c r="J332" s="6">
        <v>0.70769230769230773</v>
      </c>
      <c r="K332" s="6">
        <v>0.78695652173913033</v>
      </c>
      <c r="L332" s="6">
        <v>0.62720219254903797</v>
      </c>
      <c r="M332" s="4" t="s">
        <v>20</v>
      </c>
      <c r="N332" s="5">
        <v>7.6234031622593401E-2</v>
      </c>
      <c r="O332" s="4">
        <v>0</v>
      </c>
    </row>
    <row r="333" spans="1:15" x14ac:dyDescent="0.3">
      <c r="A333" s="4">
        <v>111</v>
      </c>
      <c r="B333" s="4">
        <v>111000</v>
      </c>
      <c r="C333" s="4" t="s">
        <v>15</v>
      </c>
      <c r="D333" s="4" t="s">
        <v>161</v>
      </c>
      <c r="E333" s="4" t="s">
        <v>17</v>
      </c>
      <c r="F333" s="4" t="s">
        <v>18</v>
      </c>
      <c r="G333" s="5">
        <v>0.81111111111111112</v>
      </c>
      <c r="H333" s="5">
        <v>0.4</v>
      </c>
      <c r="I333" s="5">
        <v>0.05</v>
      </c>
      <c r="J333" s="6">
        <v>0.49230769230769228</v>
      </c>
      <c r="K333" s="6">
        <v>0.85999999999999976</v>
      </c>
      <c r="L333" s="6">
        <v>0.69954017795639245</v>
      </c>
      <c r="M333" s="4" t="s">
        <v>20</v>
      </c>
      <c r="N333" s="5">
        <v>7.6234031622593401E-2</v>
      </c>
      <c r="O333" s="4">
        <v>0</v>
      </c>
    </row>
    <row r="334" spans="1:15" x14ac:dyDescent="0.3">
      <c r="A334" s="4">
        <v>111</v>
      </c>
      <c r="B334" s="4">
        <v>111000</v>
      </c>
      <c r="C334" s="4" t="s">
        <v>15</v>
      </c>
      <c r="D334" s="4" t="s">
        <v>162</v>
      </c>
      <c r="E334" s="4" t="s">
        <v>17</v>
      </c>
      <c r="F334" s="4" t="s">
        <v>18</v>
      </c>
      <c r="G334" s="5">
        <v>0.81111111111111112</v>
      </c>
      <c r="H334" s="5">
        <v>0.4</v>
      </c>
      <c r="I334" s="5">
        <v>0.1166666666666667</v>
      </c>
      <c r="J334" s="6">
        <v>0.46153846153846162</v>
      </c>
      <c r="K334" s="6">
        <v>0.85799999999999976</v>
      </c>
      <c r="L334" s="6">
        <v>0.66639983239800715</v>
      </c>
      <c r="M334" s="4" t="s">
        <v>20</v>
      </c>
      <c r="N334" s="5">
        <v>7.6234031622593401E-2</v>
      </c>
      <c r="O334" s="4">
        <v>0</v>
      </c>
    </row>
    <row r="335" spans="1:15" x14ac:dyDescent="0.3">
      <c r="A335" s="4">
        <v>112</v>
      </c>
      <c r="B335" s="4">
        <v>112000</v>
      </c>
      <c r="C335" s="4" t="s">
        <v>15</v>
      </c>
      <c r="D335" s="4" t="s">
        <v>16</v>
      </c>
      <c r="E335" s="4" t="s">
        <v>17</v>
      </c>
      <c r="F335" s="4" t="s">
        <v>18</v>
      </c>
      <c r="G335" s="5">
        <v>0.1</v>
      </c>
      <c r="H335" s="5">
        <v>0.4</v>
      </c>
      <c r="I335" s="5">
        <v>0.05</v>
      </c>
      <c r="J335" s="6">
        <v>0.7384615384615385</v>
      </c>
      <c r="K335" s="6">
        <v>0.77437500000000015</v>
      </c>
      <c r="L335" s="6">
        <v>0.57171998200811291</v>
      </c>
      <c r="M335" s="4" t="s">
        <v>77</v>
      </c>
      <c r="N335" s="5">
        <v>0.16079646761313179</v>
      </c>
      <c r="O335" s="4">
        <v>1</v>
      </c>
    </row>
    <row r="336" spans="1:15" x14ac:dyDescent="0.3">
      <c r="A336" s="4">
        <v>112</v>
      </c>
      <c r="B336" s="4">
        <v>112000</v>
      </c>
      <c r="C336" s="4" t="s">
        <v>15</v>
      </c>
      <c r="D336" s="4" t="s">
        <v>161</v>
      </c>
      <c r="E336" s="4" t="s">
        <v>17</v>
      </c>
      <c r="F336" s="4" t="s">
        <v>18</v>
      </c>
      <c r="G336" s="5">
        <v>0.81111111111111112</v>
      </c>
      <c r="H336" s="5">
        <v>0.60000000000000009</v>
      </c>
      <c r="I336" s="5">
        <v>0.05</v>
      </c>
      <c r="J336" s="6">
        <v>0.50769230769230766</v>
      </c>
      <c r="K336" s="6">
        <v>0.86242424242424232</v>
      </c>
      <c r="L336" s="6">
        <v>0.74297755566569079</v>
      </c>
      <c r="M336" s="4" t="s">
        <v>77</v>
      </c>
      <c r="N336" s="5">
        <v>0.16079646761313179</v>
      </c>
      <c r="O336" s="4">
        <v>1</v>
      </c>
    </row>
    <row r="337" spans="1:15" x14ac:dyDescent="0.3">
      <c r="A337" s="4">
        <v>112</v>
      </c>
      <c r="B337" s="4">
        <v>112000</v>
      </c>
      <c r="C337" s="4" t="s">
        <v>15</v>
      </c>
      <c r="D337" s="4" t="s">
        <v>162</v>
      </c>
      <c r="E337" s="4" t="s">
        <v>17</v>
      </c>
      <c r="F337" s="4" t="s">
        <v>18</v>
      </c>
      <c r="G337" s="5">
        <v>0.81111111111111112</v>
      </c>
      <c r="H337" s="5">
        <v>0.60000000000000009</v>
      </c>
      <c r="I337" s="5">
        <v>0.05</v>
      </c>
      <c r="J337" s="6">
        <v>0.50769230769230766</v>
      </c>
      <c r="K337" s="6">
        <v>0.86242424242424232</v>
      </c>
      <c r="L337" s="6">
        <v>0.74297755566569079</v>
      </c>
      <c r="M337" s="4" t="s">
        <v>77</v>
      </c>
      <c r="N337" s="5">
        <v>0.16079646761313179</v>
      </c>
      <c r="O337" s="4">
        <v>1</v>
      </c>
    </row>
    <row r="338" spans="1:15" x14ac:dyDescent="0.3">
      <c r="A338" s="4">
        <v>113</v>
      </c>
      <c r="B338" s="4">
        <v>113000</v>
      </c>
      <c r="C338" s="4" t="s">
        <v>15</v>
      </c>
      <c r="D338" s="4" t="s">
        <v>16</v>
      </c>
      <c r="E338" s="4" t="s">
        <v>17</v>
      </c>
      <c r="F338" s="4" t="s">
        <v>18</v>
      </c>
      <c r="G338" s="5">
        <v>0.1</v>
      </c>
      <c r="H338" s="5">
        <v>0.4</v>
      </c>
      <c r="I338" s="5">
        <v>0.05</v>
      </c>
      <c r="J338" s="6">
        <v>0.70967741935483875</v>
      </c>
      <c r="K338" s="6">
        <v>0.80204545454545451</v>
      </c>
      <c r="L338" s="6">
        <v>0.66686778916655509</v>
      </c>
      <c r="M338" s="4" t="s">
        <v>78</v>
      </c>
      <c r="N338" s="5">
        <v>9.6014157345081313E-2</v>
      </c>
      <c r="O338" s="4">
        <v>0</v>
      </c>
    </row>
    <row r="339" spans="1:15" x14ac:dyDescent="0.3">
      <c r="A339" s="4">
        <v>113</v>
      </c>
      <c r="B339" s="4">
        <v>113000</v>
      </c>
      <c r="C339" s="4" t="s">
        <v>15</v>
      </c>
      <c r="D339" s="4" t="s">
        <v>161</v>
      </c>
      <c r="E339" s="4" t="s">
        <v>17</v>
      </c>
      <c r="F339" s="4" t="s">
        <v>18</v>
      </c>
      <c r="G339" s="5">
        <v>0.81111111111111112</v>
      </c>
      <c r="H339" s="5">
        <v>0.60000000000000009</v>
      </c>
      <c r="I339" s="5">
        <v>0.05</v>
      </c>
      <c r="J339" s="6">
        <v>0.56451612903225812</v>
      </c>
      <c r="K339" s="6">
        <v>0.86285714285714255</v>
      </c>
      <c r="L339" s="6">
        <v>0.73900521945233055</v>
      </c>
      <c r="M339" s="4" t="s">
        <v>78</v>
      </c>
      <c r="N339" s="5">
        <v>9.6014157345081313E-2</v>
      </c>
      <c r="O339" s="4">
        <v>0</v>
      </c>
    </row>
    <row r="340" spans="1:15" x14ac:dyDescent="0.3">
      <c r="A340" s="4">
        <v>113</v>
      </c>
      <c r="B340" s="4">
        <v>113000</v>
      </c>
      <c r="C340" s="4" t="s">
        <v>15</v>
      </c>
      <c r="D340" s="4" t="s">
        <v>162</v>
      </c>
      <c r="E340" s="4" t="s">
        <v>17</v>
      </c>
      <c r="F340" s="4" t="s">
        <v>18</v>
      </c>
      <c r="G340" s="5">
        <v>0.81111111111111112</v>
      </c>
      <c r="H340" s="5">
        <v>0.60000000000000009</v>
      </c>
      <c r="I340" s="5">
        <v>0.05</v>
      </c>
      <c r="J340" s="6">
        <v>0.56451612903225812</v>
      </c>
      <c r="K340" s="6">
        <v>0.86285714285714255</v>
      </c>
      <c r="L340" s="6">
        <v>0.73900521945233055</v>
      </c>
      <c r="M340" s="4" t="s">
        <v>78</v>
      </c>
      <c r="N340" s="5">
        <v>9.6014157345081313E-2</v>
      </c>
      <c r="O340" s="4">
        <v>0</v>
      </c>
    </row>
    <row r="341" spans="1:15" x14ac:dyDescent="0.3">
      <c r="A341" s="4">
        <v>114</v>
      </c>
      <c r="B341" s="4">
        <v>114000</v>
      </c>
      <c r="C341" s="4" t="s">
        <v>15</v>
      </c>
      <c r="D341" s="4" t="s">
        <v>16</v>
      </c>
      <c r="E341" s="4" t="s">
        <v>17</v>
      </c>
      <c r="F341" s="4" t="s">
        <v>18</v>
      </c>
      <c r="G341" s="5">
        <v>0.1</v>
      </c>
      <c r="H341" s="5">
        <v>0.4</v>
      </c>
      <c r="I341" s="5">
        <v>0.05</v>
      </c>
      <c r="J341" s="6">
        <v>0.7142857142857143</v>
      </c>
      <c r="K341" s="6">
        <v>0.81155555555555559</v>
      </c>
      <c r="L341" s="6">
        <v>0.66128501822406593</v>
      </c>
      <c r="M341" s="4" t="s">
        <v>79</v>
      </c>
      <c r="N341" s="5">
        <v>0.1043263918523126</v>
      </c>
      <c r="O341" s="4">
        <v>0</v>
      </c>
    </row>
    <row r="342" spans="1:15" x14ac:dyDescent="0.3">
      <c r="A342" s="4">
        <v>114</v>
      </c>
      <c r="B342" s="4">
        <v>114000</v>
      </c>
      <c r="C342" s="4" t="s">
        <v>15</v>
      </c>
      <c r="D342" s="4" t="s">
        <v>161</v>
      </c>
      <c r="E342" s="4" t="s">
        <v>17</v>
      </c>
      <c r="F342" s="4" t="s">
        <v>18</v>
      </c>
      <c r="G342" s="5">
        <v>0.81111111111111112</v>
      </c>
      <c r="H342" s="5">
        <v>0.60000000000000009</v>
      </c>
      <c r="I342" s="5">
        <v>0.05</v>
      </c>
      <c r="J342" s="6">
        <v>0.53968253968253965</v>
      </c>
      <c r="K342" s="6">
        <v>0.869705882352941</v>
      </c>
      <c r="L342" s="6">
        <v>0.65329562376675743</v>
      </c>
      <c r="M342" s="4" t="s">
        <v>79</v>
      </c>
      <c r="N342" s="5">
        <v>0.1043263918523126</v>
      </c>
      <c r="O342" s="4">
        <v>0</v>
      </c>
    </row>
    <row r="343" spans="1:15" x14ac:dyDescent="0.3">
      <c r="A343" s="4">
        <v>114</v>
      </c>
      <c r="B343" s="4">
        <v>114000</v>
      </c>
      <c r="C343" s="4" t="s">
        <v>15</v>
      </c>
      <c r="D343" s="4" t="s">
        <v>162</v>
      </c>
      <c r="E343" s="4" t="s">
        <v>17</v>
      </c>
      <c r="F343" s="4" t="s">
        <v>18</v>
      </c>
      <c r="G343" s="5">
        <v>0.81111111111111112</v>
      </c>
      <c r="H343" s="5">
        <v>0.60000000000000009</v>
      </c>
      <c r="I343" s="5">
        <v>0.05</v>
      </c>
      <c r="J343" s="6">
        <v>0.53968253968253965</v>
      </c>
      <c r="K343" s="6">
        <v>0.869705882352941</v>
      </c>
      <c r="L343" s="6">
        <v>0.65329562376675743</v>
      </c>
      <c r="M343" s="4" t="s">
        <v>79</v>
      </c>
      <c r="N343" s="5">
        <v>0.1043263918523126</v>
      </c>
      <c r="O343" s="4">
        <v>0</v>
      </c>
    </row>
    <row r="344" spans="1:15" x14ac:dyDescent="0.3">
      <c r="A344" s="4">
        <v>115</v>
      </c>
      <c r="B344" s="4">
        <v>115000</v>
      </c>
      <c r="C344" s="4" t="s">
        <v>15</v>
      </c>
      <c r="D344" s="4" t="s">
        <v>16</v>
      </c>
      <c r="E344" s="4" t="s">
        <v>17</v>
      </c>
      <c r="F344" s="4" t="s">
        <v>18</v>
      </c>
      <c r="G344" s="5">
        <v>0.1</v>
      </c>
      <c r="H344" s="5">
        <v>0.4</v>
      </c>
      <c r="I344" s="5">
        <v>0.05</v>
      </c>
      <c r="J344" s="6">
        <v>0.71212121212121215</v>
      </c>
      <c r="K344" s="6">
        <v>0.79744680851063843</v>
      </c>
      <c r="L344" s="6">
        <v>0.56382727521455767</v>
      </c>
      <c r="M344" s="4" t="s">
        <v>19</v>
      </c>
      <c r="N344" s="5">
        <v>1</v>
      </c>
      <c r="O344" s="4">
        <v>1</v>
      </c>
    </row>
    <row r="345" spans="1:15" x14ac:dyDescent="0.3">
      <c r="A345" s="4">
        <v>115</v>
      </c>
      <c r="B345" s="4">
        <v>115000</v>
      </c>
      <c r="C345" s="4" t="s">
        <v>15</v>
      </c>
      <c r="D345" s="4" t="s">
        <v>161</v>
      </c>
      <c r="E345" s="4" t="s">
        <v>17</v>
      </c>
      <c r="F345" s="4" t="s">
        <v>18</v>
      </c>
      <c r="G345" s="5">
        <v>0.54444444444444451</v>
      </c>
      <c r="H345" s="5">
        <v>0.8</v>
      </c>
      <c r="I345" s="5">
        <v>0.05</v>
      </c>
      <c r="J345" s="6">
        <v>0.60606060606060608</v>
      </c>
      <c r="K345" s="6">
        <v>0.86274999999999991</v>
      </c>
      <c r="L345" s="6">
        <v>0.71842312607961689</v>
      </c>
      <c r="M345" s="4" t="s">
        <v>19</v>
      </c>
      <c r="N345" s="5">
        <v>1</v>
      </c>
      <c r="O345" s="4">
        <v>1</v>
      </c>
    </row>
    <row r="346" spans="1:15" x14ac:dyDescent="0.3">
      <c r="A346" s="4">
        <v>115</v>
      </c>
      <c r="B346" s="4">
        <v>115000</v>
      </c>
      <c r="C346" s="4" t="s">
        <v>15</v>
      </c>
      <c r="D346" s="4" t="s">
        <v>162</v>
      </c>
      <c r="E346" s="4" t="s">
        <v>17</v>
      </c>
      <c r="F346" s="4" t="s">
        <v>18</v>
      </c>
      <c r="G346" s="5">
        <v>0.9</v>
      </c>
      <c r="H346" s="5">
        <v>0.8</v>
      </c>
      <c r="I346" s="5">
        <v>0.05</v>
      </c>
      <c r="J346" s="6">
        <v>0.42424242424242431</v>
      </c>
      <c r="K346" s="6">
        <v>0.89678571428571396</v>
      </c>
      <c r="L346" s="6">
        <v>0.55227741509701023</v>
      </c>
      <c r="M346" s="4" t="s">
        <v>19</v>
      </c>
      <c r="N346" s="5">
        <v>1</v>
      </c>
      <c r="O346" s="4">
        <v>1</v>
      </c>
    </row>
    <row r="347" spans="1:15" x14ac:dyDescent="0.3">
      <c r="A347" s="4">
        <v>116</v>
      </c>
      <c r="B347" s="4">
        <v>116000</v>
      </c>
      <c r="C347" s="4" t="s">
        <v>15</v>
      </c>
      <c r="D347" s="4" t="s">
        <v>16</v>
      </c>
      <c r="E347" s="4" t="s">
        <v>17</v>
      </c>
      <c r="F347" s="4" t="s">
        <v>18</v>
      </c>
      <c r="G347" s="5">
        <v>0.1</v>
      </c>
      <c r="H347" s="5">
        <v>0.4</v>
      </c>
      <c r="I347" s="5">
        <v>0.05</v>
      </c>
      <c r="J347" s="6">
        <v>0.69230769230769229</v>
      </c>
      <c r="K347" s="6">
        <v>0.77955555555555567</v>
      </c>
      <c r="L347" s="6">
        <v>0.559814715854422</v>
      </c>
      <c r="M347" s="4" t="s">
        <v>32</v>
      </c>
      <c r="N347" s="5">
        <v>0.13181084931160869</v>
      </c>
      <c r="O347" s="4">
        <v>0</v>
      </c>
    </row>
    <row r="348" spans="1:15" x14ac:dyDescent="0.3">
      <c r="A348" s="4">
        <v>116</v>
      </c>
      <c r="B348" s="4">
        <v>116000</v>
      </c>
      <c r="C348" s="4" t="s">
        <v>15</v>
      </c>
      <c r="D348" s="4" t="s">
        <v>161</v>
      </c>
      <c r="E348" s="4" t="s">
        <v>17</v>
      </c>
      <c r="F348" s="4" t="s">
        <v>18</v>
      </c>
      <c r="G348" s="5">
        <v>0.54444444444444451</v>
      </c>
      <c r="H348" s="5">
        <v>0.8</v>
      </c>
      <c r="I348" s="5">
        <v>0.05</v>
      </c>
      <c r="J348" s="6">
        <v>0.56923076923076921</v>
      </c>
      <c r="K348" s="6">
        <v>0.85351351351351368</v>
      </c>
      <c r="L348" s="6">
        <v>0.75113717796348545</v>
      </c>
      <c r="M348" s="4" t="s">
        <v>32</v>
      </c>
      <c r="N348" s="5">
        <v>0.13181084931160869</v>
      </c>
      <c r="O348" s="4">
        <v>0</v>
      </c>
    </row>
    <row r="349" spans="1:15" x14ac:dyDescent="0.3">
      <c r="A349" s="4">
        <v>116</v>
      </c>
      <c r="B349" s="4">
        <v>116000</v>
      </c>
      <c r="C349" s="4" t="s">
        <v>15</v>
      </c>
      <c r="D349" s="4" t="s">
        <v>162</v>
      </c>
      <c r="E349" s="4" t="s">
        <v>17</v>
      </c>
      <c r="F349" s="4" t="s">
        <v>18</v>
      </c>
      <c r="G349" s="5">
        <v>0.9</v>
      </c>
      <c r="H349" s="5">
        <v>0.8</v>
      </c>
      <c r="I349" s="5">
        <v>0.05</v>
      </c>
      <c r="J349" s="6">
        <v>0.4</v>
      </c>
      <c r="K349" s="6">
        <v>0.88692307692307704</v>
      </c>
      <c r="L349" s="6">
        <v>0.62803627120734551</v>
      </c>
      <c r="M349" s="4" t="s">
        <v>32</v>
      </c>
      <c r="N349" s="5">
        <v>0.13181084931160869</v>
      </c>
      <c r="O349" s="4">
        <v>0</v>
      </c>
    </row>
    <row r="350" spans="1:15" x14ac:dyDescent="0.3">
      <c r="A350" s="4">
        <v>117</v>
      </c>
      <c r="B350" s="4">
        <v>117000</v>
      </c>
      <c r="C350" s="4" t="s">
        <v>15</v>
      </c>
      <c r="D350" s="4" t="s">
        <v>16</v>
      </c>
      <c r="E350" s="4" t="s">
        <v>17</v>
      </c>
      <c r="F350" s="4" t="s">
        <v>18</v>
      </c>
      <c r="G350" s="5">
        <v>0.1</v>
      </c>
      <c r="H350" s="5">
        <v>0.4</v>
      </c>
      <c r="I350" s="5">
        <v>0.05</v>
      </c>
      <c r="J350" s="6">
        <v>0.74626865671641796</v>
      </c>
      <c r="K350" s="6">
        <v>0.74439999999999995</v>
      </c>
      <c r="L350" s="6">
        <v>0.6660974750557227</v>
      </c>
      <c r="M350" s="4" t="s">
        <v>80</v>
      </c>
      <c r="N350" s="5">
        <v>0.14967231376392459</v>
      </c>
      <c r="O350" s="4">
        <v>0</v>
      </c>
    </row>
    <row r="351" spans="1:15" x14ac:dyDescent="0.3">
      <c r="A351" s="4">
        <v>117</v>
      </c>
      <c r="B351" s="4">
        <v>117000</v>
      </c>
      <c r="C351" s="4" t="s">
        <v>15</v>
      </c>
      <c r="D351" s="4" t="s">
        <v>161</v>
      </c>
      <c r="E351" s="4" t="s">
        <v>17</v>
      </c>
      <c r="F351" s="4" t="s">
        <v>18</v>
      </c>
      <c r="G351" s="5">
        <v>0.54444444444444451</v>
      </c>
      <c r="H351" s="5">
        <v>0.8</v>
      </c>
      <c r="I351" s="5">
        <v>0.05</v>
      </c>
      <c r="J351" s="6">
        <v>0.58208955223880599</v>
      </c>
      <c r="K351" s="6">
        <v>0.82333333333333347</v>
      </c>
      <c r="L351" s="6">
        <v>0.64263468172050553</v>
      </c>
      <c r="M351" s="4" t="s">
        <v>80</v>
      </c>
      <c r="N351" s="5">
        <v>0.14967231376392459</v>
      </c>
      <c r="O351" s="4">
        <v>0</v>
      </c>
    </row>
    <row r="352" spans="1:15" x14ac:dyDescent="0.3">
      <c r="A352" s="4">
        <v>117</v>
      </c>
      <c r="B352" s="4">
        <v>117000</v>
      </c>
      <c r="C352" s="4" t="s">
        <v>15</v>
      </c>
      <c r="D352" s="4" t="s">
        <v>162</v>
      </c>
      <c r="E352" s="4" t="s">
        <v>17</v>
      </c>
      <c r="F352" s="4" t="s">
        <v>18</v>
      </c>
      <c r="G352" s="5">
        <v>0.9</v>
      </c>
      <c r="H352" s="5">
        <v>0.8</v>
      </c>
      <c r="I352" s="5">
        <v>0.05</v>
      </c>
      <c r="J352" s="6">
        <v>0.38805970149253732</v>
      </c>
      <c r="K352" s="6">
        <v>0.85384615384615381</v>
      </c>
      <c r="L352" s="6">
        <v>0.57102652755229222</v>
      </c>
      <c r="M352" s="4" t="s">
        <v>80</v>
      </c>
      <c r="N352" s="5">
        <v>0.14967231376392459</v>
      </c>
      <c r="O352" s="4">
        <v>0</v>
      </c>
    </row>
    <row r="353" spans="1:15" x14ac:dyDescent="0.3">
      <c r="A353" s="4">
        <v>118</v>
      </c>
      <c r="B353" s="4">
        <v>118000</v>
      </c>
      <c r="C353" s="4" t="s">
        <v>15</v>
      </c>
      <c r="D353" s="4" t="s">
        <v>16</v>
      </c>
      <c r="E353" s="4" t="s">
        <v>17</v>
      </c>
      <c r="F353" s="4" t="s">
        <v>18</v>
      </c>
      <c r="G353" s="5">
        <v>0.1</v>
      </c>
      <c r="H353" s="5">
        <v>0.4</v>
      </c>
      <c r="I353" s="5">
        <v>0.05</v>
      </c>
      <c r="J353" s="6">
        <v>0.71212121212121215</v>
      </c>
      <c r="K353" s="6">
        <v>0.76276595744680853</v>
      </c>
      <c r="L353" s="6">
        <v>0.5535544287478199</v>
      </c>
      <c r="M353" s="4" t="s">
        <v>48</v>
      </c>
      <c r="N353" s="5">
        <v>0.1731922152442596</v>
      </c>
      <c r="O353" s="4">
        <v>1</v>
      </c>
    </row>
    <row r="354" spans="1:15" x14ac:dyDescent="0.3">
      <c r="A354" s="4">
        <v>118</v>
      </c>
      <c r="B354" s="4">
        <v>118000</v>
      </c>
      <c r="C354" s="4" t="s">
        <v>15</v>
      </c>
      <c r="D354" s="4" t="s">
        <v>161</v>
      </c>
      <c r="E354" s="4" t="s">
        <v>17</v>
      </c>
      <c r="F354" s="4" t="s">
        <v>18</v>
      </c>
      <c r="G354" s="5">
        <v>0.81111111111111112</v>
      </c>
      <c r="H354" s="5">
        <v>0.8</v>
      </c>
      <c r="I354" s="5">
        <v>0.05</v>
      </c>
      <c r="J354" s="6">
        <v>0.45454545454545447</v>
      </c>
      <c r="K354" s="6">
        <v>0.88433333333333342</v>
      </c>
      <c r="L354" s="6">
        <v>0.73171749875409564</v>
      </c>
      <c r="M354" s="4" t="s">
        <v>48</v>
      </c>
      <c r="N354" s="5">
        <v>0.1731922152442596</v>
      </c>
      <c r="O354" s="4">
        <v>1</v>
      </c>
    </row>
    <row r="355" spans="1:15" x14ac:dyDescent="0.3">
      <c r="A355" s="4">
        <v>118</v>
      </c>
      <c r="B355" s="4">
        <v>118000</v>
      </c>
      <c r="C355" s="4" t="s">
        <v>15</v>
      </c>
      <c r="D355" s="4" t="s">
        <v>162</v>
      </c>
      <c r="E355" s="4" t="s">
        <v>17</v>
      </c>
      <c r="F355" s="4" t="s">
        <v>18</v>
      </c>
      <c r="G355" s="5">
        <v>0.9</v>
      </c>
      <c r="H355" s="5">
        <v>0.8</v>
      </c>
      <c r="I355" s="5">
        <v>0.05</v>
      </c>
      <c r="J355" s="6">
        <v>0.39393939393939392</v>
      </c>
      <c r="K355" s="6">
        <v>0.88884615384615395</v>
      </c>
      <c r="L355" s="6">
        <v>0.62440449825573385</v>
      </c>
      <c r="M355" s="4" t="s">
        <v>48</v>
      </c>
      <c r="N355" s="5">
        <v>0.1731922152442596</v>
      </c>
      <c r="O355" s="4">
        <v>1</v>
      </c>
    </row>
    <row r="356" spans="1:15" x14ac:dyDescent="0.3">
      <c r="A356" s="4">
        <v>119</v>
      </c>
      <c r="B356" s="4">
        <v>119000</v>
      </c>
      <c r="C356" s="4" t="s">
        <v>15</v>
      </c>
      <c r="D356" s="4" t="s">
        <v>16</v>
      </c>
      <c r="E356" s="4" t="s">
        <v>17</v>
      </c>
      <c r="F356" s="4" t="s">
        <v>18</v>
      </c>
      <c r="G356" s="5">
        <v>0.1</v>
      </c>
      <c r="H356" s="5">
        <v>0.4</v>
      </c>
      <c r="I356" s="5">
        <v>0.05</v>
      </c>
      <c r="J356" s="6">
        <v>0.75384615384615383</v>
      </c>
      <c r="K356" s="6">
        <v>0.75469387755102069</v>
      </c>
      <c r="L356" s="6">
        <v>0.57615390111724507</v>
      </c>
      <c r="M356" s="4" t="s">
        <v>36</v>
      </c>
      <c r="N356" s="5">
        <v>0.1163421712088321</v>
      </c>
      <c r="O356" s="4">
        <v>0</v>
      </c>
    </row>
    <row r="357" spans="1:15" x14ac:dyDescent="0.3">
      <c r="A357" s="4">
        <v>119</v>
      </c>
      <c r="B357" s="4">
        <v>119000</v>
      </c>
      <c r="C357" s="4" t="s">
        <v>15</v>
      </c>
      <c r="D357" s="4" t="s">
        <v>161</v>
      </c>
      <c r="E357" s="4" t="s">
        <v>17</v>
      </c>
      <c r="F357" s="4" t="s">
        <v>18</v>
      </c>
      <c r="G357" s="5">
        <v>0.81111111111111112</v>
      </c>
      <c r="H357" s="5">
        <v>0.8</v>
      </c>
      <c r="I357" s="5">
        <v>0.05</v>
      </c>
      <c r="J357" s="6">
        <v>0.46153846153846162</v>
      </c>
      <c r="K357" s="6">
        <v>0.85799999999999976</v>
      </c>
      <c r="L357" s="6">
        <v>0.69309450904921854</v>
      </c>
      <c r="M357" s="4" t="s">
        <v>36</v>
      </c>
      <c r="N357" s="5">
        <v>0.1163421712088321</v>
      </c>
      <c r="O357" s="4">
        <v>0</v>
      </c>
    </row>
    <row r="358" spans="1:15" x14ac:dyDescent="0.3">
      <c r="A358" s="4">
        <v>119</v>
      </c>
      <c r="B358" s="4">
        <v>119000</v>
      </c>
      <c r="C358" s="4" t="s">
        <v>15</v>
      </c>
      <c r="D358" s="4" t="s">
        <v>162</v>
      </c>
      <c r="E358" s="4" t="s">
        <v>17</v>
      </c>
      <c r="F358" s="4" t="s">
        <v>18</v>
      </c>
      <c r="G358" s="5">
        <v>0.9</v>
      </c>
      <c r="H358" s="5">
        <v>0.8</v>
      </c>
      <c r="I358" s="5">
        <v>0.05</v>
      </c>
      <c r="J358" s="6">
        <v>0.4</v>
      </c>
      <c r="K358" s="6">
        <v>0.85692307692307679</v>
      </c>
      <c r="L358" s="6">
        <v>0.5796417635738278</v>
      </c>
      <c r="M358" s="4" t="s">
        <v>36</v>
      </c>
      <c r="N358" s="5">
        <v>0.1163421712088321</v>
      </c>
      <c r="O358" s="4">
        <v>0</v>
      </c>
    </row>
    <row r="359" spans="1:15" x14ac:dyDescent="0.3">
      <c r="A359" s="4">
        <v>120</v>
      </c>
      <c r="B359" s="4">
        <v>120000</v>
      </c>
      <c r="C359" s="4" t="s">
        <v>15</v>
      </c>
      <c r="D359" s="4" t="s">
        <v>16</v>
      </c>
      <c r="E359" s="4" t="s">
        <v>17</v>
      </c>
      <c r="F359" s="4" t="s">
        <v>18</v>
      </c>
      <c r="G359" s="5">
        <v>0.1</v>
      </c>
      <c r="H359" s="5">
        <v>0.4</v>
      </c>
      <c r="I359" s="5">
        <v>0.05</v>
      </c>
      <c r="J359" s="6">
        <v>0.71875</v>
      </c>
      <c r="K359" s="6">
        <v>0.77934782608695652</v>
      </c>
      <c r="L359" s="6">
        <v>0.53760254427680254</v>
      </c>
      <c r="M359" s="4" t="s">
        <v>81</v>
      </c>
      <c r="N359" s="5">
        <v>0.18093004683249009</v>
      </c>
      <c r="O359" s="4">
        <v>1</v>
      </c>
    </row>
    <row r="360" spans="1:15" x14ac:dyDescent="0.3">
      <c r="A360" s="4">
        <v>120</v>
      </c>
      <c r="B360" s="4">
        <v>120000</v>
      </c>
      <c r="C360" s="4" t="s">
        <v>15</v>
      </c>
      <c r="D360" s="4" t="s">
        <v>161</v>
      </c>
      <c r="E360" s="4" t="s">
        <v>17</v>
      </c>
      <c r="F360" s="4" t="s">
        <v>18</v>
      </c>
      <c r="G360" s="5">
        <v>0.6333333333333333</v>
      </c>
      <c r="H360" s="5">
        <v>0.4</v>
      </c>
      <c r="I360" s="5">
        <v>0.05</v>
      </c>
      <c r="J360" s="6">
        <v>0.5625</v>
      </c>
      <c r="K360" s="6">
        <v>0.8538888888888887</v>
      </c>
      <c r="L360" s="6">
        <v>0.63931889813683151</v>
      </c>
      <c r="M360" s="4" t="s">
        <v>81</v>
      </c>
      <c r="N360" s="5">
        <v>0.18093004683249009</v>
      </c>
      <c r="O360" s="4">
        <v>1</v>
      </c>
    </row>
    <row r="361" spans="1:15" x14ac:dyDescent="0.3">
      <c r="A361" s="4">
        <v>120</v>
      </c>
      <c r="B361" s="4">
        <v>120000</v>
      </c>
      <c r="C361" s="4" t="s">
        <v>15</v>
      </c>
      <c r="D361" s="4" t="s">
        <v>162</v>
      </c>
      <c r="E361" s="4" t="s">
        <v>17</v>
      </c>
      <c r="F361" s="4" t="s">
        <v>18</v>
      </c>
      <c r="G361" s="5">
        <v>0.81111111111111112</v>
      </c>
      <c r="H361" s="5">
        <v>0.4</v>
      </c>
      <c r="I361" s="5">
        <v>0.05</v>
      </c>
      <c r="J361" s="6">
        <v>0.515625</v>
      </c>
      <c r="K361" s="6">
        <v>0.86424242424242403</v>
      </c>
      <c r="L361" s="6">
        <v>0.63931889813683151</v>
      </c>
      <c r="M361" s="4" t="s">
        <v>81</v>
      </c>
      <c r="N361" s="5">
        <v>0.18093004683249009</v>
      </c>
      <c r="O361" s="4">
        <v>1</v>
      </c>
    </row>
    <row r="362" spans="1:15" x14ac:dyDescent="0.3">
      <c r="A362" s="4">
        <v>121</v>
      </c>
      <c r="B362" s="4">
        <v>121000</v>
      </c>
      <c r="C362" s="4" t="s">
        <v>15</v>
      </c>
      <c r="D362" s="4" t="s">
        <v>16</v>
      </c>
      <c r="E362" s="4" t="s">
        <v>17</v>
      </c>
      <c r="F362" s="4" t="s">
        <v>18</v>
      </c>
      <c r="G362" s="5">
        <v>0.1</v>
      </c>
      <c r="H362" s="5">
        <v>0.4</v>
      </c>
      <c r="I362" s="5">
        <v>0.05</v>
      </c>
      <c r="J362" s="6">
        <v>0.69354838709677424</v>
      </c>
      <c r="K362" s="6">
        <v>0.79976744186046511</v>
      </c>
      <c r="L362" s="6">
        <v>0.62800467821291239</v>
      </c>
      <c r="M362" s="4" t="s">
        <v>82</v>
      </c>
      <c r="N362" s="5">
        <v>0.1016781687887412</v>
      </c>
      <c r="O362" s="4">
        <v>0</v>
      </c>
    </row>
    <row r="363" spans="1:15" x14ac:dyDescent="0.3">
      <c r="A363" s="4">
        <v>121</v>
      </c>
      <c r="B363" s="4">
        <v>121000</v>
      </c>
      <c r="C363" s="4" t="s">
        <v>15</v>
      </c>
      <c r="D363" s="4" t="s">
        <v>161</v>
      </c>
      <c r="E363" s="4" t="s">
        <v>17</v>
      </c>
      <c r="F363" s="4" t="s">
        <v>18</v>
      </c>
      <c r="G363" s="5">
        <v>0.6333333333333333</v>
      </c>
      <c r="H363" s="5">
        <v>0.4</v>
      </c>
      <c r="I363" s="5">
        <v>0.05</v>
      </c>
      <c r="J363" s="6">
        <v>0.58064516129032262</v>
      </c>
      <c r="K363" s="6">
        <v>0.85611111111111093</v>
      </c>
      <c r="L363" s="6">
        <v>0.70183236740040811</v>
      </c>
      <c r="M363" s="4" t="s">
        <v>82</v>
      </c>
      <c r="N363" s="5">
        <v>0.1016781687887412</v>
      </c>
      <c r="O363" s="4">
        <v>0</v>
      </c>
    </row>
    <row r="364" spans="1:15" x14ac:dyDescent="0.3">
      <c r="A364" s="4">
        <v>121</v>
      </c>
      <c r="B364" s="4">
        <v>121000</v>
      </c>
      <c r="C364" s="4" t="s">
        <v>15</v>
      </c>
      <c r="D364" s="4" t="s">
        <v>162</v>
      </c>
      <c r="E364" s="4" t="s">
        <v>17</v>
      </c>
      <c r="F364" s="4" t="s">
        <v>18</v>
      </c>
      <c r="G364" s="5">
        <v>0.81111111111111112</v>
      </c>
      <c r="H364" s="5">
        <v>0.4</v>
      </c>
      <c r="I364" s="5">
        <v>0.05</v>
      </c>
      <c r="J364" s="6">
        <v>0.54838709677419351</v>
      </c>
      <c r="K364" s="6">
        <v>0.86205882352941154</v>
      </c>
      <c r="L364" s="6">
        <v>0.66870263044489797</v>
      </c>
      <c r="M364" s="4" t="s">
        <v>82</v>
      </c>
      <c r="N364" s="5">
        <v>0.1016781687887412</v>
      </c>
      <c r="O364" s="4">
        <v>0</v>
      </c>
    </row>
    <row r="365" spans="1:15" x14ac:dyDescent="0.3">
      <c r="A365" s="4">
        <v>122</v>
      </c>
      <c r="B365" s="4">
        <v>122000</v>
      </c>
      <c r="C365" s="4" t="s">
        <v>15</v>
      </c>
      <c r="D365" s="4" t="s">
        <v>16</v>
      </c>
      <c r="E365" s="4" t="s">
        <v>17</v>
      </c>
      <c r="F365" s="4" t="s">
        <v>18</v>
      </c>
      <c r="G365" s="5">
        <v>0.1</v>
      </c>
      <c r="H365" s="5">
        <v>0.4</v>
      </c>
      <c r="I365" s="5">
        <v>0.05</v>
      </c>
      <c r="J365" s="6">
        <v>0.7142857142857143</v>
      </c>
      <c r="K365" s="6">
        <v>0.82824999999999971</v>
      </c>
      <c r="L365" s="6">
        <v>0.58176445164428991</v>
      </c>
      <c r="M365" s="4" t="s">
        <v>19</v>
      </c>
      <c r="N365" s="5">
        <v>1</v>
      </c>
      <c r="O365" s="4">
        <v>1</v>
      </c>
    </row>
    <row r="366" spans="1:15" x14ac:dyDescent="0.3">
      <c r="A366" s="4">
        <v>122</v>
      </c>
      <c r="B366" s="4">
        <v>122000</v>
      </c>
      <c r="C366" s="4" t="s">
        <v>15</v>
      </c>
      <c r="D366" s="4" t="s">
        <v>161</v>
      </c>
      <c r="E366" s="4" t="s">
        <v>17</v>
      </c>
      <c r="F366" s="4" t="s">
        <v>18</v>
      </c>
      <c r="G366" s="5">
        <v>0.81111111111111112</v>
      </c>
      <c r="H366" s="5">
        <v>0.4</v>
      </c>
      <c r="I366" s="5">
        <v>0.05</v>
      </c>
      <c r="J366" s="6">
        <v>0.6071428571428571</v>
      </c>
      <c r="K366" s="6">
        <v>0.85999999999999965</v>
      </c>
      <c r="L366" s="6">
        <v>0.6510520079198302</v>
      </c>
      <c r="M366" s="4" t="s">
        <v>19</v>
      </c>
      <c r="N366" s="5">
        <v>1</v>
      </c>
      <c r="O366" s="4">
        <v>1</v>
      </c>
    </row>
    <row r="367" spans="1:15" x14ac:dyDescent="0.3">
      <c r="A367" s="4">
        <v>122</v>
      </c>
      <c r="B367" s="4">
        <v>122000</v>
      </c>
      <c r="C367" s="4" t="s">
        <v>15</v>
      </c>
      <c r="D367" s="4" t="s">
        <v>162</v>
      </c>
      <c r="E367" s="4" t="s">
        <v>17</v>
      </c>
      <c r="F367" s="4" t="s">
        <v>18</v>
      </c>
      <c r="G367" s="5">
        <v>0.9</v>
      </c>
      <c r="H367" s="5">
        <v>0.4</v>
      </c>
      <c r="I367" s="5">
        <v>0.05</v>
      </c>
      <c r="J367" s="6">
        <v>0.48214285714285721</v>
      </c>
      <c r="K367" s="6">
        <v>0.86111111111111072</v>
      </c>
      <c r="L367" s="6">
        <v>0.62308350021614489</v>
      </c>
      <c r="M367" s="4" t="s">
        <v>19</v>
      </c>
      <c r="N367" s="5">
        <v>1</v>
      </c>
      <c r="O367" s="4">
        <v>1</v>
      </c>
    </row>
    <row r="368" spans="1:15" x14ac:dyDescent="0.3">
      <c r="A368" s="4">
        <v>123</v>
      </c>
      <c r="B368" s="4">
        <v>123000</v>
      </c>
      <c r="C368" s="4" t="s">
        <v>15</v>
      </c>
      <c r="D368" s="4" t="s">
        <v>16</v>
      </c>
      <c r="E368" s="4" t="s">
        <v>17</v>
      </c>
      <c r="F368" s="4" t="s">
        <v>18</v>
      </c>
      <c r="G368" s="5">
        <v>0.1</v>
      </c>
      <c r="H368" s="5">
        <v>0.4</v>
      </c>
      <c r="I368" s="5">
        <v>0.05</v>
      </c>
      <c r="J368" s="6">
        <v>0.76271186440677963</v>
      </c>
      <c r="K368" s="6">
        <v>0.78644444444444461</v>
      </c>
      <c r="L368" s="6">
        <v>0.52958826976255235</v>
      </c>
      <c r="M368" s="4" t="s">
        <v>19</v>
      </c>
      <c r="N368" s="5">
        <v>1</v>
      </c>
      <c r="O368" s="4">
        <v>1</v>
      </c>
    </row>
    <row r="369" spans="1:15" x14ac:dyDescent="0.3">
      <c r="A369" s="4">
        <v>123</v>
      </c>
      <c r="B369" s="4">
        <v>123000</v>
      </c>
      <c r="C369" s="4" t="s">
        <v>15</v>
      </c>
      <c r="D369" s="4" t="s">
        <v>161</v>
      </c>
      <c r="E369" s="4" t="s">
        <v>17</v>
      </c>
      <c r="F369" s="4" t="s">
        <v>18</v>
      </c>
      <c r="G369" s="5">
        <v>0.9</v>
      </c>
      <c r="H369" s="5">
        <v>0.4</v>
      </c>
      <c r="I369" s="5">
        <v>0.05</v>
      </c>
      <c r="J369" s="6">
        <v>0.50847457627118642</v>
      </c>
      <c r="K369" s="6">
        <v>0.83599999999999997</v>
      </c>
      <c r="L369" s="6">
        <v>0.70500915900799332</v>
      </c>
      <c r="M369" s="4" t="s">
        <v>19</v>
      </c>
      <c r="N369" s="5">
        <v>1</v>
      </c>
      <c r="O369" s="4">
        <v>1</v>
      </c>
    </row>
    <row r="370" spans="1:15" x14ac:dyDescent="0.3">
      <c r="A370" s="4">
        <v>123</v>
      </c>
      <c r="B370" s="4">
        <v>123000</v>
      </c>
      <c r="C370" s="4" t="s">
        <v>15</v>
      </c>
      <c r="D370" s="4" t="s">
        <v>162</v>
      </c>
      <c r="E370" s="4" t="s">
        <v>17</v>
      </c>
      <c r="F370" s="4" t="s">
        <v>18</v>
      </c>
      <c r="G370" s="5">
        <v>0.9</v>
      </c>
      <c r="H370" s="5">
        <v>0.60000000000000009</v>
      </c>
      <c r="I370" s="5">
        <v>0.05</v>
      </c>
      <c r="J370" s="6">
        <v>0.49152542372881358</v>
      </c>
      <c r="K370" s="6">
        <v>0.86482758620689648</v>
      </c>
      <c r="L370" s="6">
        <v>0.70500915900799332</v>
      </c>
      <c r="M370" s="4" t="s">
        <v>19</v>
      </c>
      <c r="N370" s="5">
        <v>1</v>
      </c>
      <c r="O370" s="4">
        <v>1</v>
      </c>
    </row>
    <row r="371" spans="1:15" x14ac:dyDescent="0.3">
      <c r="A371" s="4">
        <v>124</v>
      </c>
      <c r="B371" s="4">
        <v>124000</v>
      </c>
      <c r="C371" s="4" t="s">
        <v>15</v>
      </c>
      <c r="D371" s="4" t="s">
        <v>16</v>
      </c>
      <c r="E371" s="4" t="s">
        <v>17</v>
      </c>
      <c r="F371" s="4" t="s">
        <v>18</v>
      </c>
      <c r="G371" s="5">
        <v>0.1</v>
      </c>
      <c r="H371" s="5">
        <v>0.4</v>
      </c>
      <c r="I371" s="5">
        <v>0.05</v>
      </c>
      <c r="J371" s="6">
        <v>0.80701754385964908</v>
      </c>
      <c r="K371" s="6">
        <v>0.76543478260869569</v>
      </c>
      <c r="L371" s="6">
        <v>0.53421393261304839</v>
      </c>
      <c r="M371" s="4" t="s">
        <v>19</v>
      </c>
      <c r="N371" s="5">
        <v>1</v>
      </c>
      <c r="O371" s="4">
        <v>1</v>
      </c>
    </row>
    <row r="372" spans="1:15" x14ac:dyDescent="0.3">
      <c r="A372" s="4">
        <v>124</v>
      </c>
      <c r="B372" s="4">
        <v>124000</v>
      </c>
      <c r="C372" s="4" t="s">
        <v>15</v>
      </c>
      <c r="D372" s="4" t="s">
        <v>161</v>
      </c>
      <c r="E372" s="4" t="s">
        <v>17</v>
      </c>
      <c r="F372" s="4" t="s">
        <v>18</v>
      </c>
      <c r="G372" s="5">
        <v>0.72222222222222221</v>
      </c>
      <c r="H372" s="5">
        <v>0.4</v>
      </c>
      <c r="I372" s="5">
        <v>0.05</v>
      </c>
      <c r="J372" s="6">
        <v>0.64912280701754388</v>
      </c>
      <c r="K372" s="6">
        <v>0.8245945945945945</v>
      </c>
      <c r="L372" s="6">
        <v>0.78477349163951271</v>
      </c>
      <c r="M372" s="4" t="s">
        <v>19</v>
      </c>
      <c r="N372" s="5">
        <v>1</v>
      </c>
      <c r="O372" s="4">
        <v>1</v>
      </c>
    </row>
    <row r="373" spans="1:15" x14ac:dyDescent="0.3">
      <c r="A373" s="4">
        <v>124</v>
      </c>
      <c r="B373" s="4">
        <v>124000</v>
      </c>
      <c r="C373" s="4" t="s">
        <v>15</v>
      </c>
      <c r="D373" s="4" t="s">
        <v>162</v>
      </c>
      <c r="E373" s="4" t="s">
        <v>17</v>
      </c>
      <c r="F373" s="4" t="s">
        <v>18</v>
      </c>
      <c r="G373" s="5">
        <v>0.81111111111111112</v>
      </c>
      <c r="H373" s="5">
        <v>0.60000000000000009</v>
      </c>
      <c r="I373" s="5">
        <v>0.05</v>
      </c>
      <c r="J373" s="6">
        <v>0.57894736842105265</v>
      </c>
      <c r="K373" s="6">
        <v>0.85636363636363633</v>
      </c>
      <c r="L373" s="6">
        <v>0.72973037145550834</v>
      </c>
      <c r="M373" s="4" t="s">
        <v>19</v>
      </c>
      <c r="N373" s="5">
        <v>1</v>
      </c>
      <c r="O373" s="4">
        <v>1</v>
      </c>
    </row>
    <row r="374" spans="1:15" x14ac:dyDescent="0.3">
      <c r="A374" s="4">
        <v>125</v>
      </c>
      <c r="B374" s="4">
        <v>125000</v>
      </c>
      <c r="C374" s="4" t="s">
        <v>15</v>
      </c>
      <c r="D374" s="4" t="s">
        <v>16</v>
      </c>
      <c r="E374" s="4" t="s">
        <v>17</v>
      </c>
      <c r="F374" s="4" t="s">
        <v>18</v>
      </c>
      <c r="G374" s="5">
        <v>0.1</v>
      </c>
      <c r="H374" s="5">
        <v>0.4</v>
      </c>
      <c r="I374" s="5">
        <v>0.05</v>
      </c>
      <c r="J374" s="6">
        <v>0.80327868852459017</v>
      </c>
      <c r="K374" s="6">
        <v>0.73775510204081629</v>
      </c>
      <c r="L374" s="6">
        <v>0.57338304792608719</v>
      </c>
      <c r="M374" s="4" t="s">
        <v>19</v>
      </c>
      <c r="N374" s="5">
        <v>1</v>
      </c>
      <c r="O374" s="4">
        <v>1</v>
      </c>
    </row>
    <row r="375" spans="1:15" x14ac:dyDescent="0.3">
      <c r="A375" s="4">
        <v>125</v>
      </c>
      <c r="B375" s="4">
        <v>125000</v>
      </c>
      <c r="C375" s="4" t="s">
        <v>15</v>
      </c>
      <c r="D375" s="4" t="s">
        <v>161</v>
      </c>
      <c r="E375" s="4" t="s">
        <v>17</v>
      </c>
      <c r="F375" s="4" t="s">
        <v>18</v>
      </c>
      <c r="G375" s="5">
        <v>0.81111111111111112</v>
      </c>
      <c r="H375" s="5">
        <v>0.8</v>
      </c>
      <c r="I375" s="5">
        <v>0.05</v>
      </c>
      <c r="J375" s="6">
        <v>0.49180327868852458</v>
      </c>
      <c r="K375" s="6">
        <v>0.87866666666666648</v>
      </c>
      <c r="L375" s="6">
        <v>0.77868610741243105</v>
      </c>
      <c r="M375" s="4" t="s">
        <v>19</v>
      </c>
      <c r="N375" s="5">
        <v>1</v>
      </c>
      <c r="O375" s="4">
        <v>1</v>
      </c>
    </row>
    <row r="376" spans="1:15" x14ac:dyDescent="0.3">
      <c r="A376" s="4">
        <v>125</v>
      </c>
      <c r="B376" s="4">
        <v>125000</v>
      </c>
      <c r="C376" s="4" t="s">
        <v>15</v>
      </c>
      <c r="D376" s="4" t="s">
        <v>162</v>
      </c>
      <c r="E376" s="4" t="s">
        <v>17</v>
      </c>
      <c r="F376" s="4" t="s">
        <v>18</v>
      </c>
      <c r="G376" s="5">
        <v>0.9</v>
      </c>
      <c r="H376" s="5">
        <v>0.8</v>
      </c>
      <c r="I376" s="5">
        <v>0.05</v>
      </c>
      <c r="J376" s="6">
        <v>0.36065573770491799</v>
      </c>
      <c r="K376" s="6">
        <v>0.88454545454545441</v>
      </c>
      <c r="L376" s="6">
        <v>0.67091666830735741</v>
      </c>
      <c r="M376" s="4" t="s">
        <v>19</v>
      </c>
      <c r="N376" s="5">
        <v>1</v>
      </c>
      <c r="O376" s="4">
        <v>1</v>
      </c>
    </row>
    <row r="377" spans="1:15" x14ac:dyDescent="0.3">
      <c r="A377" s="4">
        <v>126</v>
      </c>
      <c r="B377" s="4">
        <v>126000</v>
      </c>
      <c r="C377" s="4" t="s">
        <v>15</v>
      </c>
      <c r="D377" s="4" t="s">
        <v>16</v>
      </c>
      <c r="E377" s="4" t="s">
        <v>17</v>
      </c>
      <c r="F377" s="4" t="s">
        <v>18</v>
      </c>
      <c r="G377" s="5">
        <v>0.1</v>
      </c>
      <c r="H377" s="5">
        <v>0.4</v>
      </c>
      <c r="I377" s="5">
        <v>0.05</v>
      </c>
      <c r="J377" s="6">
        <v>0.76119402985074625</v>
      </c>
      <c r="K377" s="6">
        <v>0.74568627450980396</v>
      </c>
      <c r="L377" s="6">
        <v>0.60325982214969243</v>
      </c>
      <c r="M377" s="4" t="s">
        <v>41</v>
      </c>
      <c r="N377" s="5">
        <v>0.15601943328617759</v>
      </c>
      <c r="O377" s="4">
        <v>1</v>
      </c>
    </row>
    <row r="378" spans="1:15" x14ac:dyDescent="0.3">
      <c r="A378" s="4">
        <v>126</v>
      </c>
      <c r="B378" s="4">
        <v>126000</v>
      </c>
      <c r="C378" s="4" t="s">
        <v>15</v>
      </c>
      <c r="D378" s="4" t="s">
        <v>161</v>
      </c>
      <c r="E378" s="4" t="s">
        <v>17</v>
      </c>
      <c r="F378" s="4" t="s">
        <v>18</v>
      </c>
      <c r="G378" s="5">
        <v>0.72222222222222221</v>
      </c>
      <c r="H378" s="5">
        <v>0.60000000000000009</v>
      </c>
      <c r="I378" s="5">
        <v>0.05</v>
      </c>
      <c r="J378" s="6">
        <v>0.52238805970149249</v>
      </c>
      <c r="K378" s="6">
        <v>0.84571428571428542</v>
      </c>
      <c r="L378" s="6">
        <v>0.7420182451032894</v>
      </c>
      <c r="M378" s="4" t="s">
        <v>41</v>
      </c>
      <c r="N378" s="5">
        <v>0.15601943328617759</v>
      </c>
      <c r="O378" s="4">
        <v>1</v>
      </c>
    </row>
    <row r="379" spans="1:15" x14ac:dyDescent="0.3">
      <c r="A379" s="4">
        <v>126</v>
      </c>
      <c r="B379" s="4">
        <v>126000</v>
      </c>
      <c r="C379" s="4" t="s">
        <v>15</v>
      </c>
      <c r="D379" s="4" t="s">
        <v>162</v>
      </c>
      <c r="E379" s="4" t="s">
        <v>17</v>
      </c>
      <c r="F379" s="4" t="s">
        <v>18</v>
      </c>
      <c r="G379" s="5">
        <v>0.81111111111111112</v>
      </c>
      <c r="H379" s="5">
        <v>0.60000000000000009</v>
      </c>
      <c r="I379" s="5">
        <v>0.05</v>
      </c>
      <c r="J379" s="6">
        <v>0.46268656716417911</v>
      </c>
      <c r="K379" s="6">
        <v>0.85322580645161261</v>
      </c>
      <c r="L379" s="6">
        <v>0.70210007119574613</v>
      </c>
      <c r="M379" s="4" t="s">
        <v>41</v>
      </c>
      <c r="N379" s="5">
        <v>0.15601943328617759</v>
      </c>
      <c r="O379" s="4">
        <v>1</v>
      </c>
    </row>
    <row r="380" spans="1:15" x14ac:dyDescent="0.3">
      <c r="A380" s="4">
        <v>127</v>
      </c>
      <c r="B380" s="4">
        <v>127000</v>
      </c>
      <c r="C380" s="4" t="s">
        <v>15</v>
      </c>
      <c r="D380" s="4" t="s">
        <v>16</v>
      </c>
      <c r="E380" s="4" t="s">
        <v>17</v>
      </c>
      <c r="F380" s="4" t="s">
        <v>18</v>
      </c>
      <c r="G380" s="5">
        <v>0.1</v>
      </c>
      <c r="H380" s="5">
        <v>0.4</v>
      </c>
      <c r="I380" s="5">
        <v>0.05</v>
      </c>
      <c r="J380" s="6">
        <v>0.676056338028169</v>
      </c>
      <c r="K380" s="6">
        <v>0.77666666666666673</v>
      </c>
      <c r="L380" s="6">
        <v>0.58978429483871608</v>
      </c>
      <c r="M380" s="4" t="s">
        <v>25</v>
      </c>
      <c r="N380" s="5">
        <v>0.11153750597299809</v>
      </c>
      <c r="O380" s="4">
        <v>0</v>
      </c>
    </row>
    <row r="381" spans="1:15" x14ac:dyDescent="0.3">
      <c r="A381" s="4">
        <v>127</v>
      </c>
      <c r="B381" s="4">
        <v>127000</v>
      </c>
      <c r="C381" s="4" t="s">
        <v>15</v>
      </c>
      <c r="D381" s="4" t="s">
        <v>161</v>
      </c>
      <c r="E381" s="4" t="s">
        <v>17</v>
      </c>
      <c r="F381" s="4" t="s">
        <v>18</v>
      </c>
      <c r="G381" s="5">
        <v>0.72222222222222221</v>
      </c>
      <c r="H381" s="5">
        <v>0.60000000000000009</v>
      </c>
      <c r="I381" s="5">
        <v>0.05</v>
      </c>
      <c r="J381" s="6">
        <v>0.56338028169014087</v>
      </c>
      <c r="K381" s="6">
        <v>0.80649999999999999</v>
      </c>
      <c r="L381" s="6">
        <v>0.69841270392661803</v>
      </c>
      <c r="M381" s="4" t="s">
        <v>25</v>
      </c>
      <c r="N381" s="5">
        <v>0.11153750597299809</v>
      </c>
      <c r="O381" s="4">
        <v>0</v>
      </c>
    </row>
    <row r="382" spans="1:15" x14ac:dyDescent="0.3">
      <c r="A382" s="4">
        <v>127</v>
      </c>
      <c r="B382" s="4">
        <v>127000</v>
      </c>
      <c r="C382" s="4" t="s">
        <v>15</v>
      </c>
      <c r="D382" s="4" t="s">
        <v>162</v>
      </c>
      <c r="E382" s="4" t="s">
        <v>17</v>
      </c>
      <c r="F382" s="4" t="s">
        <v>18</v>
      </c>
      <c r="G382" s="5">
        <v>0.81111111111111112</v>
      </c>
      <c r="H382" s="5">
        <v>0.60000000000000009</v>
      </c>
      <c r="I382" s="5">
        <v>0.05</v>
      </c>
      <c r="J382" s="6">
        <v>0.49295774647887319</v>
      </c>
      <c r="K382" s="6">
        <v>0.8117142857142855</v>
      </c>
      <c r="L382" s="6">
        <v>0.6417027180074425</v>
      </c>
      <c r="M382" s="4" t="s">
        <v>25</v>
      </c>
      <c r="N382" s="5">
        <v>0.11153750597299809</v>
      </c>
      <c r="O382" s="4">
        <v>0</v>
      </c>
    </row>
    <row r="383" spans="1:15" x14ac:dyDescent="0.3">
      <c r="A383" s="4">
        <v>128</v>
      </c>
      <c r="B383" s="4">
        <v>128000</v>
      </c>
      <c r="C383" s="4" t="s">
        <v>15</v>
      </c>
      <c r="D383" s="4" t="s">
        <v>16</v>
      </c>
      <c r="E383" s="4" t="s">
        <v>17</v>
      </c>
      <c r="F383" s="4" t="s">
        <v>18</v>
      </c>
      <c r="G383" s="5">
        <v>0.1</v>
      </c>
      <c r="H383" s="5">
        <v>0.4</v>
      </c>
      <c r="I383" s="5">
        <v>0.05</v>
      </c>
      <c r="J383" s="6">
        <v>0.625</v>
      </c>
      <c r="K383" s="6">
        <v>0.7757777777777779</v>
      </c>
      <c r="L383" s="6">
        <v>0.64857151917333422</v>
      </c>
      <c r="M383" s="4" t="s">
        <v>83</v>
      </c>
      <c r="N383" s="5">
        <v>0.1567810405957879</v>
      </c>
      <c r="O383" s="4">
        <v>1</v>
      </c>
    </row>
    <row r="384" spans="1:15" x14ac:dyDescent="0.3">
      <c r="A384" s="4">
        <v>128</v>
      </c>
      <c r="B384" s="4">
        <v>128000</v>
      </c>
      <c r="C384" s="4" t="s">
        <v>15</v>
      </c>
      <c r="D384" s="4" t="s">
        <v>161</v>
      </c>
      <c r="E384" s="4" t="s">
        <v>17</v>
      </c>
      <c r="F384" s="4" t="s">
        <v>18</v>
      </c>
      <c r="G384" s="5">
        <v>0.72222222222222221</v>
      </c>
      <c r="H384" s="5">
        <v>0.8</v>
      </c>
      <c r="I384" s="5">
        <v>0.05</v>
      </c>
      <c r="J384" s="6">
        <v>0.52777777777777779</v>
      </c>
      <c r="K384" s="6">
        <v>0.84368421052631581</v>
      </c>
      <c r="L384" s="6">
        <v>0.74780506951053627</v>
      </c>
      <c r="M384" s="4" t="s">
        <v>83</v>
      </c>
      <c r="N384" s="5">
        <v>0.1567810405957879</v>
      </c>
      <c r="O384" s="4">
        <v>1</v>
      </c>
    </row>
    <row r="385" spans="1:15" x14ac:dyDescent="0.3">
      <c r="A385" s="4">
        <v>128</v>
      </c>
      <c r="B385" s="4">
        <v>128000</v>
      </c>
      <c r="C385" s="4" t="s">
        <v>15</v>
      </c>
      <c r="D385" s="4" t="s">
        <v>162</v>
      </c>
      <c r="E385" s="4" t="s">
        <v>17</v>
      </c>
      <c r="F385" s="4" t="s">
        <v>18</v>
      </c>
      <c r="G385" s="5">
        <v>0.9</v>
      </c>
      <c r="H385" s="5">
        <v>0.8</v>
      </c>
      <c r="I385" s="5">
        <v>0.05</v>
      </c>
      <c r="J385" s="6">
        <v>0.375</v>
      </c>
      <c r="K385" s="6">
        <v>0.85851851851851846</v>
      </c>
      <c r="L385" s="6">
        <v>0.65326851059138691</v>
      </c>
      <c r="M385" s="4" t="s">
        <v>83</v>
      </c>
      <c r="N385" s="5">
        <v>0.1567810405957879</v>
      </c>
      <c r="O385" s="4">
        <v>1</v>
      </c>
    </row>
    <row r="386" spans="1:15" x14ac:dyDescent="0.3">
      <c r="A386" s="4">
        <v>129</v>
      </c>
      <c r="B386" s="4">
        <v>129000</v>
      </c>
      <c r="C386" s="4" t="s">
        <v>15</v>
      </c>
      <c r="D386" s="4" t="s">
        <v>16</v>
      </c>
      <c r="E386" s="4" t="s">
        <v>17</v>
      </c>
      <c r="F386" s="4" t="s">
        <v>18</v>
      </c>
      <c r="G386" s="5">
        <v>0.1</v>
      </c>
      <c r="H386" s="5">
        <v>0.4</v>
      </c>
      <c r="I386" s="5">
        <v>0.05</v>
      </c>
      <c r="J386" s="6">
        <v>0.71875</v>
      </c>
      <c r="K386" s="6">
        <v>0.79282608695652168</v>
      </c>
      <c r="L386" s="6">
        <v>0.61124187359619431</v>
      </c>
      <c r="M386" s="4" t="s">
        <v>19</v>
      </c>
      <c r="N386" s="5">
        <v>1</v>
      </c>
      <c r="O386" s="4">
        <v>1</v>
      </c>
    </row>
    <row r="387" spans="1:15" x14ac:dyDescent="0.3">
      <c r="A387" s="4">
        <v>129</v>
      </c>
      <c r="B387" s="4">
        <v>129000</v>
      </c>
      <c r="C387" s="4" t="s">
        <v>15</v>
      </c>
      <c r="D387" s="4" t="s">
        <v>162</v>
      </c>
      <c r="E387" s="4" t="s">
        <v>17</v>
      </c>
      <c r="F387" s="4" t="s">
        <v>18</v>
      </c>
      <c r="G387" s="5">
        <v>0.81111111111111112</v>
      </c>
      <c r="H387" s="5">
        <v>0.8</v>
      </c>
      <c r="I387" s="5">
        <v>0.05</v>
      </c>
      <c r="J387" s="6">
        <v>0.546875</v>
      </c>
      <c r="K387" s="6">
        <v>0.86657142857142833</v>
      </c>
      <c r="L387" s="6">
        <v>0.69310693798647049</v>
      </c>
      <c r="M387" s="4" t="s">
        <v>19</v>
      </c>
      <c r="N387" s="5">
        <v>1</v>
      </c>
      <c r="O387" s="4">
        <v>1</v>
      </c>
    </row>
    <row r="388" spans="1:15" x14ac:dyDescent="0.3">
      <c r="A388" s="4">
        <v>129</v>
      </c>
      <c r="B388" s="4">
        <v>129000</v>
      </c>
      <c r="C388" s="4" t="s">
        <v>15</v>
      </c>
      <c r="D388" s="4" t="s">
        <v>161</v>
      </c>
      <c r="E388" s="4" t="s">
        <v>17</v>
      </c>
      <c r="F388" s="4" t="s">
        <v>18</v>
      </c>
      <c r="G388" s="5">
        <v>0.9</v>
      </c>
      <c r="H388" s="5">
        <v>0.60000000000000009</v>
      </c>
      <c r="I388" s="5">
        <v>0.05</v>
      </c>
      <c r="J388" s="6">
        <v>0.484375</v>
      </c>
      <c r="K388" s="6">
        <v>0.83709677419354811</v>
      </c>
      <c r="L388" s="6">
        <v>0.69354287535346693</v>
      </c>
      <c r="M388" s="4" t="s">
        <v>19</v>
      </c>
      <c r="N388" s="5">
        <v>1</v>
      </c>
      <c r="O388" s="4">
        <v>1</v>
      </c>
    </row>
    <row r="389" spans="1:15" x14ac:dyDescent="0.3">
      <c r="A389" s="4">
        <v>130</v>
      </c>
      <c r="B389" s="4">
        <v>130000</v>
      </c>
      <c r="C389" s="4" t="s">
        <v>15</v>
      </c>
      <c r="D389" s="4" t="s">
        <v>16</v>
      </c>
      <c r="E389" s="4" t="s">
        <v>17</v>
      </c>
      <c r="F389" s="4" t="s">
        <v>18</v>
      </c>
      <c r="G389" s="5">
        <v>0.1</v>
      </c>
      <c r="H389" s="5">
        <v>0.4</v>
      </c>
      <c r="I389" s="5">
        <v>0.05</v>
      </c>
      <c r="J389" s="6">
        <v>0.72580645161290325</v>
      </c>
      <c r="K389" s="6">
        <v>0.81066666666666687</v>
      </c>
      <c r="L389" s="6">
        <v>0.62446543575167601</v>
      </c>
      <c r="M389" s="4" t="s">
        <v>46</v>
      </c>
      <c r="N389" s="5">
        <v>7.8638647522137672E-2</v>
      </c>
      <c r="O389" s="4">
        <v>0</v>
      </c>
    </row>
    <row r="390" spans="1:15" x14ac:dyDescent="0.3">
      <c r="A390" s="4">
        <v>130</v>
      </c>
      <c r="B390" s="4">
        <v>130000</v>
      </c>
      <c r="C390" s="4" t="s">
        <v>15</v>
      </c>
      <c r="D390" s="4" t="s">
        <v>162</v>
      </c>
      <c r="E390" s="4" t="s">
        <v>17</v>
      </c>
      <c r="F390" s="4" t="s">
        <v>18</v>
      </c>
      <c r="G390" s="5">
        <v>0.81111111111111112</v>
      </c>
      <c r="H390" s="5">
        <v>0.8</v>
      </c>
      <c r="I390" s="5">
        <v>0.05</v>
      </c>
      <c r="J390" s="6">
        <v>0.56451612903225812</v>
      </c>
      <c r="K390" s="6">
        <v>0.87142857142857133</v>
      </c>
      <c r="L390" s="6">
        <v>0.70304904960001247</v>
      </c>
      <c r="M390" s="4" t="s">
        <v>46</v>
      </c>
      <c r="N390" s="5">
        <v>7.8638647522137672E-2</v>
      </c>
      <c r="O390" s="4">
        <v>0</v>
      </c>
    </row>
    <row r="391" spans="1:15" x14ac:dyDescent="0.3">
      <c r="A391" s="4">
        <v>130</v>
      </c>
      <c r="B391" s="4">
        <v>130000</v>
      </c>
      <c r="C391" s="4" t="s">
        <v>15</v>
      </c>
      <c r="D391" s="4" t="s">
        <v>161</v>
      </c>
      <c r="E391" s="4" t="s">
        <v>17</v>
      </c>
      <c r="F391" s="4" t="s">
        <v>18</v>
      </c>
      <c r="G391" s="5">
        <v>0.9</v>
      </c>
      <c r="H391" s="5">
        <v>0.60000000000000009</v>
      </c>
      <c r="I391" s="5">
        <v>0.05</v>
      </c>
      <c r="J391" s="6">
        <v>0.5</v>
      </c>
      <c r="K391" s="6">
        <v>0.87193548387096753</v>
      </c>
      <c r="L391" s="6">
        <v>0.6458567665454702</v>
      </c>
      <c r="M391" s="4" t="s">
        <v>46</v>
      </c>
      <c r="N391" s="5">
        <v>7.8638647522137672E-2</v>
      </c>
      <c r="O391" s="4">
        <v>0</v>
      </c>
    </row>
    <row r="392" spans="1:15" x14ac:dyDescent="0.3">
      <c r="A392" s="4">
        <v>131</v>
      </c>
      <c r="B392" s="4">
        <v>131000</v>
      </c>
      <c r="C392" s="4" t="s">
        <v>15</v>
      </c>
      <c r="D392" s="4" t="s">
        <v>16</v>
      </c>
      <c r="E392" s="4" t="s">
        <v>17</v>
      </c>
      <c r="F392" s="4" t="s">
        <v>18</v>
      </c>
      <c r="G392" s="5">
        <v>0.1</v>
      </c>
      <c r="H392" s="5">
        <v>0.4</v>
      </c>
      <c r="I392" s="5">
        <v>0.05</v>
      </c>
      <c r="J392" s="6">
        <v>0.75409836065573765</v>
      </c>
      <c r="K392" s="6">
        <v>0.82086956521739129</v>
      </c>
      <c r="L392" s="6">
        <v>0.67436534254722436</v>
      </c>
      <c r="M392" s="4" t="s">
        <v>84</v>
      </c>
      <c r="N392" s="5">
        <v>0.1136321622391555</v>
      </c>
      <c r="O392" s="4">
        <v>0</v>
      </c>
    </row>
    <row r="393" spans="1:15" x14ac:dyDescent="0.3">
      <c r="A393" s="4">
        <v>131</v>
      </c>
      <c r="B393" s="4">
        <v>131000</v>
      </c>
      <c r="C393" s="4" t="s">
        <v>15</v>
      </c>
      <c r="D393" s="4" t="s">
        <v>162</v>
      </c>
      <c r="E393" s="4" t="s">
        <v>17</v>
      </c>
      <c r="F393" s="4" t="s">
        <v>18</v>
      </c>
      <c r="G393" s="5">
        <v>0.81111111111111112</v>
      </c>
      <c r="H393" s="5">
        <v>0.8</v>
      </c>
      <c r="I393" s="5">
        <v>0.05</v>
      </c>
      <c r="J393" s="6">
        <v>0.5901639344262295</v>
      </c>
      <c r="K393" s="6">
        <v>0.86944444444444446</v>
      </c>
      <c r="L393" s="6">
        <v>0.72166528005135422</v>
      </c>
      <c r="M393" s="4" t="s">
        <v>84</v>
      </c>
      <c r="N393" s="5">
        <v>0.1136321622391555</v>
      </c>
      <c r="O393" s="4">
        <v>0</v>
      </c>
    </row>
    <row r="394" spans="1:15" x14ac:dyDescent="0.3">
      <c r="A394" s="4">
        <v>131</v>
      </c>
      <c r="B394" s="4">
        <v>131000</v>
      </c>
      <c r="C394" s="4" t="s">
        <v>15</v>
      </c>
      <c r="D394" s="4" t="s">
        <v>161</v>
      </c>
      <c r="E394" s="4" t="s">
        <v>17</v>
      </c>
      <c r="F394" s="4" t="s">
        <v>18</v>
      </c>
      <c r="G394" s="5">
        <v>0.9</v>
      </c>
      <c r="H394" s="5">
        <v>0.60000000000000009</v>
      </c>
      <c r="I394" s="5">
        <v>0.05</v>
      </c>
      <c r="J394" s="6">
        <v>0.50819672131147542</v>
      </c>
      <c r="K394" s="6">
        <v>0.87032258064516144</v>
      </c>
      <c r="L394" s="6">
        <v>0.67304063329027952</v>
      </c>
      <c r="M394" s="4" t="s">
        <v>84</v>
      </c>
      <c r="N394" s="5">
        <v>0.1136321622391555</v>
      </c>
      <c r="O394" s="4">
        <v>0</v>
      </c>
    </row>
    <row r="395" spans="1:15" x14ac:dyDescent="0.3">
      <c r="A395" s="4">
        <v>132</v>
      </c>
      <c r="B395" s="4">
        <v>132000</v>
      </c>
      <c r="C395" s="4" t="s">
        <v>15</v>
      </c>
      <c r="D395" s="4" t="s">
        <v>16</v>
      </c>
      <c r="E395" s="4" t="s">
        <v>17</v>
      </c>
      <c r="F395" s="4" t="s">
        <v>18</v>
      </c>
      <c r="G395" s="5">
        <v>0.1</v>
      </c>
      <c r="H395" s="5">
        <v>0.4</v>
      </c>
      <c r="I395" s="5">
        <v>0.05</v>
      </c>
      <c r="J395" s="6">
        <v>0.7931034482758621</v>
      </c>
      <c r="K395" s="6">
        <v>0.7971739130434784</v>
      </c>
      <c r="L395" s="6">
        <v>0.64644739053536904</v>
      </c>
      <c r="M395" s="4" t="s">
        <v>65</v>
      </c>
      <c r="N395" s="5">
        <v>0.13566424530252269</v>
      </c>
      <c r="O395" s="4">
        <v>0</v>
      </c>
    </row>
    <row r="396" spans="1:15" x14ac:dyDescent="0.3">
      <c r="A396" s="4">
        <v>132</v>
      </c>
      <c r="B396" s="4">
        <v>132000</v>
      </c>
      <c r="C396" s="4" t="s">
        <v>15</v>
      </c>
      <c r="D396" s="4" t="s">
        <v>162</v>
      </c>
      <c r="E396" s="4" t="s">
        <v>17</v>
      </c>
      <c r="F396" s="4" t="s">
        <v>18</v>
      </c>
      <c r="G396" s="5">
        <v>0.81111111111111112</v>
      </c>
      <c r="H396" s="5">
        <v>0.8</v>
      </c>
      <c r="I396" s="5">
        <v>0.05</v>
      </c>
      <c r="J396" s="6">
        <v>0.56896551724137934</v>
      </c>
      <c r="K396" s="6">
        <v>0.88848484848484854</v>
      </c>
      <c r="L396" s="6">
        <v>0.72194381307578093</v>
      </c>
      <c r="M396" s="4" t="s">
        <v>65</v>
      </c>
      <c r="N396" s="5">
        <v>0.13566424530252269</v>
      </c>
      <c r="O396" s="4">
        <v>0</v>
      </c>
    </row>
    <row r="397" spans="1:15" x14ac:dyDescent="0.3">
      <c r="A397" s="4">
        <v>132</v>
      </c>
      <c r="B397" s="4">
        <v>132000</v>
      </c>
      <c r="C397" s="4" t="s">
        <v>15</v>
      </c>
      <c r="D397" s="4" t="s">
        <v>161</v>
      </c>
      <c r="E397" s="4" t="s">
        <v>17</v>
      </c>
      <c r="F397" s="4" t="s">
        <v>18</v>
      </c>
      <c r="G397" s="5">
        <v>0.9</v>
      </c>
      <c r="H397" s="5">
        <v>0.60000000000000009</v>
      </c>
      <c r="I397" s="5">
        <v>0.05</v>
      </c>
      <c r="J397" s="6">
        <v>0.5</v>
      </c>
      <c r="K397" s="6">
        <v>0.86275862068965514</v>
      </c>
      <c r="L397" s="6">
        <v>0.57381268562480059</v>
      </c>
      <c r="M397" s="4" t="s">
        <v>65</v>
      </c>
      <c r="N397" s="5">
        <v>0.13566424530252269</v>
      </c>
      <c r="O397" s="4">
        <v>0</v>
      </c>
    </row>
    <row r="398" spans="1:15" x14ac:dyDescent="0.3">
      <c r="A398" s="4">
        <v>133</v>
      </c>
      <c r="B398" s="4">
        <v>133000</v>
      </c>
      <c r="C398" s="4" t="s">
        <v>15</v>
      </c>
      <c r="D398" s="4" t="s">
        <v>16</v>
      </c>
      <c r="E398" s="4" t="s">
        <v>17</v>
      </c>
      <c r="F398" s="4" t="s">
        <v>18</v>
      </c>
      <c r="G398" s="5">
        <v>0.1</v>
      </c>
      <c r="H398" s="5">
        <v>0.4</v>
      </c>
      <c r="I398" s="5">
        <v>0.05</v>
      </c>
      <c r="J398" s="6">
        <v>0.7142857142857143</v>
      </c>
      <c r="K398" s="6">
        <v>0.81549999999999989</v>
      </c>
      <c r="L398" s="6">
        <v>0.69310716828347563</v>
      </c>
      <c r="M398" s="4" t="s">
        <v>19</v>
      </c>
      <c r="N398" s="5">
        <v>1</v>
      </c>
      <c r="O398" s="4">
        <v>1</v>
      </c>
    </row>
    <row r="399" spans="1:15" x14ac:dyDescent="0.3">
      <c r="A399" s="4">
        <v>133</v>
      </c>
      <c r="B399" s="4">
        <v>133000</v>
      </c>
      <c r="C399" s="4" t="s">
        <v>15</v>
      </c>
      <c r="D399" s="4" t="s">
        <v>161</v>
      </c>
      <c r="E399" s="4" t="s">
        <v>17</v>
      </c>
      <c r="F399" s="4" t="s">
        <v>18</v>
      </c>
      <c r="G399" s="5">
        <v>0.27777777777777779</v>
      </c>
      <c r="H399" s="5">
        <v>0.8</v>
      </c>
      <c r="I399" s="5">
        <v>0.05</v>
      </c>
      <c r="J399" s="6">
        <v>0.6785714285714286</v>
      </c>
      <c r="K399" s="6">
        <v>0.85236842105263144</v>
      </c>
      <c r="L399" s="6">
        <v>0.76488442670031609</v>
      </c>
      <c r="M399" s="4" t="s">
        <v>19</v>
      </c>
      <c r="N399" s="5">
        <v>1</v>
      </c>
      <c r="O399" s="4">
        <v>1</v>
      </c>
    </row>
    <row r="400" spans="1:15" x14ac:dyDescent="0.3">
      <c r="A400" s="4">
        <v>133</v>
      </c>
      <c r="B400" s="4">
        <v>133000</v>
      </c>
      <c r="C400" s="4" t="s">
        <v>15</v>
      </c>
      <c r="D400" s="4" t="s">
        <v>162</v>
      </c>
      <c r="E400" s="4" t="s">
        <v>17</v>
      </c>
      <c r="F400" s="4" t="s">
        <v>18</v>
      </c>
      <c r="G400" s="5">
        <v>0.9</v>
      </c>
      <c r="H400" s="5">
        <v>0.8</v>
      </c>
      <c r="I400" s="5">
        <v>0.05</v>
      </c>
      <c r="J400" s="6">
        <v>0.4642857142857143</v>
      </c>
      <c r="K400" s="6">
        <v>0.89307692307692321</v>
      </c>
      <c r="L400" s="6">
        <v>0.68453029359892092</v>
      </c>
      <c r="M400" s="4" t="s">
        <v>19</v>
      </c>
      <c r="N400" s="5">
        <v>1</v>
      </c>
      <c r="O400" s="4">
        <v>1</v>
      </c>
    </row>
    <row r="401" spans="1:15" x14ac:dyDescent="0.3">
      <c r="A401" s="4">
        <v>134</v>
      </c>
      <c r="B401" s="4">
        <v>134000</v>
      </c>
      <c r="C401" s="4" t="s">
        <v>15</v>
      </c>
      <c r="D401" s="4" t="s">
        <v>16</v>
      </c>
      <c r="E401" s="4" t="s">
        <v>17</v>
      </c>
      <c r="F401" s="4" t="s">
        <v>18</v>
      </c>
      <c r="G401" s="5">
        <v>0.1</v>
      </c>
      <c r="H401" s="5">
        <v>0.4</v>
      </c>
      <c r="I401" s="5">
        <v>0.05</v>
      </c>
      <c r="J401" s="6">
        <v>0.74137931034482762</v>
      </c>
      <c r="K401" s="6">
        <v>0.8004651162790698</v>
      </c>
      <c r="L401" s="6">
        <v>0.69084018380926304</v>
      </c>
      <c r="M401" s="4" t="s">
        <v>19</v>
      </c>
      <c r="N401" s="5">
        <v>1</v>
      </c>
      <c r="O401" s="4">
        <v>1</v>
      </c>
    </row>
    <row r="402" spans="1:15" x14ac:dyDescent="0.3">
      <c r="A402" s="4">
        <v>134</v>
      </c>
      <c r="B402" s="4">
        <v>134000</v>
      </c>
      <c r="C402" s="4" t="s">
        <v>15</v>
      </c>
      <c r="D402" s="4" t="s">
        <v>161</v>
      </c>
      <c r="E402" s="4" t="s">
        <v>17</v>
      </c>
      <c r="F402" s="4" t="s">
        <v>18</v>
      </c>
      <c r="G402" s="5">
        <v>0.54444444444444451</v>
      </c>
      <c r="H402" s="5">
        <v>0.8</v>
      </c>
      <c r="I402" s="5">
        <v>0.05</v>
      </c>
      <c r="J402" s="6">
        <v>0.62068965517241381</v>
      </c>
      <c r="K402" s="6">
        <v>0.87527777777777793</v>
      </c>
      <c r="L402" s="6">
        <v>0.76563444655839297</v>
      </c>
      <c r="M402" s="4" t="s">
        <v>19</v>
      </c>
      <c r="N402" s="5">
        <v>1</v>
      </c>
      <c r="O402" s="4">
        <v>1</v>
      </c>
    </row>
    <row r="403" spans="1:15" x14ac:dyDescent="0.3">
      <c r="A403" s="4">
        <v>134</v>
      </c>
      <c r="B403" s="4">
        <v>134000</v>
      </c>
      <c r="C403" s="4" t="s">
        <v>15</v>
      </c>
      <c r="D403" s="4" t="s">
        <v>162</v>
      </c>
      <c r="E403" s="4" t="s">
        <v>17</v>
      </c>
      <c r="F403" s="4" t="s">
        <v>18</v>
      </c>
      <c r="G403" s="5">
        <v>0.9</v>
      </c>
      <c r="H403" s="5">
        <v>0.8</v>
      </c>
      <c r="I403" s="5">
        <v>0.05</v>
      </c>
      <c r="J403" s="6">
        <v>0.48275862068965519</v>
      </c>
      <c r="K403" s="6">
        <v>0.89714285714285702</v>
      </c>
      <c r="L403" s="6">
        <v>0.73204016510652503</v>
      </c>
      <c r="M403" s="4" t="s">
        <v>19</v>
      </c>
      <c r="N403" s="5">
        <v>1</v>
      </c>
      <c r="O403" s="4">
        <v>1</v>
      </c>
    </row>
    <row r="404" spans="1:15" x14ac:dyDescent="0.3">
      <c r="A404" s="4">
        <v>135</v>
      </c>
      <c r="B404" s="4">
        <v>135000</v>
      </c>
      <c r="C404" s="4" t="s">
        <v>15</v>
      </c>
      <c r="D404" s="4" t="s">
        <v>16</v>
      </c>
      <c r="E404" s="4" t="s">
        <v>17</v>
      </c>
      <c r="F404" s="4" t="s">
        <v>18</v>
      </c>
      <c r="G404" s="5">
        <v>0.1</v>
      </c>
      <c r="H404" s="5">
        <v>0.4</v>
      </c>
      <c r="I404" s="5">
        <v>0.05</v>
      </c>
      <c r="J404" s="6">
        <v>0.77611940298507465</v>
      </c>
      <c r="K404" s="6">
        <v>0.75884615384615384</v>
      </c>
      <c r="L404" s="6">
        <v>0.67259548431566096</v>
      </c>
      <c r="M404" s="4" t="s">
        <v>19</v>
      </c>
      <c r="N404" s="5">
        <v>1</v>
      </c>
      <c r="O404" s="4">
        <v>1</v>
      </c>
    </row>
    <row r="405" spans="1:15" x14ac:dyDescent="0.3">
      <c r="A405" s="4">
        <v>135</v>
      </c>
      <c r="B405" s="4">
        <v>135000</v>
      </c>
      <c r="C405" s="4" t="s">
        <v>15</v>
      </c>
      <c r="D405" s="4" t="s">
        <v>161</v>
      </c>
      <c r="E405" s="4" t="s">
        <v>17</v>
      </c>
      <c r="F405" s="4" t="s">
        <v>18</v>
      </c>
      <c r="G405" s="5">
        <v>0.72222222222222221</v>
      </c>
      <c r="H405" s="5">
        <v>0.8</v>
      </c>
      <c r="I405" s="5">
        <v>0.05</v>
      </c>
      <c r="J405" s="6">
        <v>0.58208955223880599</v>
      </c>
      <c r="K405" s="6">
        <v>0.86205128205128201</v>
      </c>
      <c r="L405" s="6">
        <v>0.74983962689762029</v>
      </c>
      <c r="M405" s="4" t="s">
        <v>19</v>
      </c>
      <c r="N405" s="5">
        <v>1</v>
      </c>
      <c r="O405" s="4">
        <v>1</v>
      </c>
    </row>
    <row r="406" spans="1:15" x14ac:dyDescent="0.3">
      <c r="A406" s="4">
        <v>135</v>
      </c>
      <c r="B406" s="4">
        <v>135000</v>
      </c>
      <c r="C406" s="4" t="s">
        <v>15</v>
      </c>
      <c r="D406" s="4" t="s">
        <v>162</v>
      </c>
      <c r="E406" s="4" t="s">
        <v>17</v>
      </c>
      <c r="F406" s="4" t="s">
        <v>18</v>
      </c>
      <c r="G406" s="5">
        <v>0.9</v>
      </c>
      <c r="H406" s="5">
        <v>0.8</v>
      </c>
      <c r="I406" s="5">
        <v>0.05</v>
      </c>
      <c r="J406" s="6">
        <v>0.46268656716417911</v>
      </c>
      <c r="K406" s="6">
        <v>0.87225806451612886</v>
      </c>
      <c r="L406" s="6">
        <v>0.71085589598292798</v>
      </c>
      <c r="M406" s="4" t="s">
        <v>19</v>
      </c>
      <c r="N406" s="5">
        <v>1</v>
      </c>
      <c r="O406" s="4">
        <v>1</v>
      </c>
    </row>
    <row r="407" spans="1:15" x14ac:dyDescent="0.3">
      <c r="A407" s="4">
        <v>136</v>
      </c>
      <c r="B407" s="4">
        <v>136000</v>
      </c>
      <c r="C407" s="4" t="s">
        <v>15</v>
      </c>
      <c r="D407" s="4" t="s">
        <v>16</v>
      </c>
      <c r="E407" s="4" t="s">
        <v>17</v>
      </c>
      <c r="F407" s="4" t="s">
        <v>18</v>
      </c>
      <c r="G407" s="5">
        <v>0.1</v>
      </c>
      <c r="H407" s="5">
        <v>0.4</v>
      </c>
      <c r="I407" s="5">
        <v>0.05</v>
      </c>
      <c r="J407" s="6">
        <v>0.73913043478260865</v>
      </c>
      <c r="K407" s="6">
        <v>0.76333333333333331</v>
      </c>
      <c r="L407" s="6">
        <v>0.72014589755849567</v>
      </c>
      <c r="M407" s="4" t="s">
        <v>78</v>
      </c>
      <c r="N407" s="5">
        <v>9.5542677158155898E-2</v>
      </c>
      <c r="O407" s="4">
        <v>0</v>
      </c>
    </row>
    <row r="408" spans="1:15" x14ac:dyDescent="0.3">
      <c r="A408" s="4">
        <v>136</v>
      </c>
      <c r="B408" s="4">
        <v>136000</v>
      </c>
      <c r="C408" s="4" t="s">
        <v>15</v>
      </c>
      <c r="D408" s="4" t="s">
        <v>161</v>
      </c>
      <c r="E408" s="4" t="s">
        <v>17</v>
      </c>
      <c r="F408" s="4" t="s">
        <v>18</v>
      </c>
      <c r="G408" s="5">
        <v>0.72222222222222221</v>
      </c>
      <c r="H408" s="5">
        <v>0.8</v>
      </c>
      <c r="I408" s="5">
        <v>0.05</v>
      </c>
      <c r="J408" s="6">
        <v>0.52173913043478259</v>
      </c>
      <c r="K408" s="6">
        <v>0.8866666666666666</v>
      </c>
      <c r="L408" s="6">
        <v>0.76332481069942804</v>
      </c>
      <c r="M408" s="4" t="s">
        <v>78</v>
      </c>
      <c r="N408" s="5">
        <v>9.5542677158155898E-2</v>
      </c>
      <c r="O408" s="4">
        <v>0</v>
      </c>
    </row>
    <row r="409" spans="1:15" x14ac:dyDescent="0.3">
      <c r="A409" s="4">
        <v>136</v>
      </c>
      <c r="B409" s="4">
        <v>136000</v>
      </c>
      <c r="C409" s="4" t="s">
        <v>15</v>
      </c>
      <c r="D409" s="4" t="s">
        <v>162</v>
      </c>
      <c r="E409" s="4" t="s">
        <v>17</v>
      </c>
      <c r="F409" s="4" t="s">
        <v>18</v>
      </c>
      <c r="G409" s="5">
        <v>0.9</v>
      </c>
      <c r="H409" s="5">
        <v>0.8</v>
      </c>
      <c r="I409" s="5">
        <v>0.05</v>
      </c>
      <c r="J409" s="6">
        <v>0.44927536231884058</v>
      </c>
      <c r="K409" s="6">
        <v>0.89838709677419359</v>
      </c>
      <c r="L409" s="6">
        <v>0.80680871222495376</v>
      </c>
      <c r="M409" s="4" t="s">
        <v>78</v>
      </c>
      <c r="N409" s="5">
        <v>9.5542677158155898E-2</v>
      </c>
      <c r="O409" s="4">
        <v>0</v>
      </c>
    </row>
    <row r="410" spans="1:15" x14ac:dyDescent="0.3">
      <c r="A410" s="4">
        <v>137</v>
      </c>
      <c r="B410" s="4">
        <v>137000</v>
      </c>
      <c r="C410" s="4" t="s">
        <v>15</v>
      </c>
      <c r="D410" s="4" t="s">
        <v>16</v>
      </c>
      <c r="E410" s="4" t="s">
        <v>17</v>
      </c>
      <c r="F410" s="4" t="s">
        <v>18</v>
      </c>
      <c r="G410" s="5">
        <v>0.1</v>
      </c>
      <c r="H410" s="5">
        <v>0.4</v>
      </c>
      <c r="I410" s="5">
        <v>0.05</v>
      </c>
      <c r="J410" s="6">
        <v>0.73913043478260865</v>
      </c>
      <c r="K410" s="6">
        <v>0.76019607843137249</v>
      </c>
      <c r="L410" s="6">
        <v>0.68530447231422398</v>
      </c>
      <c r="M410" s="4" t="s">
        <v>60</v>
      </c>
      <c r="N410" s="5">
        <v>0.1073141516168869</v>
      </c>
      <c r="O410" s="4">
        <v>0</v>
      </c>
    </row>
    <row r="411" spans="1:15" x14ac:dyDescent="0.3">
      <c r="A411" s="4">
        <v>137</v>
      </c>
      <c r="B411" s="4">
        <v>137000</v>
      </c>
      <c r="C411" s="4" t="s">
        <v>15</v>
      </c>
      <c r="D411" s="4" t="s">
        <v>161</v>
      </c>
      <c r="E411" s="4" t="s">
        <v>17</v>
      </c>
      <c r="F411" s="4" t="s">
        <v>18</v>
      </c>
      <c r="G411" s="5">
        <v>0.72222222222222221</v>
      </c>
      <c r="H411" s="5">
        <v>0.8</v>
      </c>
      <c r="I411" s="5">
        <v>0.05</v>
      </c>
      <c r="J411" s="6">
        <v>0.56521739130434778</v>
      </c>
      <c r="K411" s="6">
        <v>0.85999999999999965</v>
      </c>
      <c r="L411" s="6">
        <v>0.76997319968309419</v>
      </c>
      <c r="M411" s="4" t="s">
        <v>60</v>
      </c>
      <c r="N411" s="5">
        <v>0.1073141516168869</v>
      </c>
      <c r="O411" s="4">
        <v>0</v>
      </c>
    </row>
    <row r="412" spans="1:15" x14ac:dyDescent="0.3">
      <c r="A412" s="4">
        <v>137</v>
      </c>
      <c r="B412" s="4">
        <v>137000</v>
      </c>
      <c r="C412" s="4" t="s">
        <v>15</v>
      </c>
      <c r="D412" s="4" t="s">
        <v>162</v>
      </c>
      <c r="E412" s="4" t="s">
        <v>17</v>
      </c>
      <c r="F412" s="4" t="s">
        <v>18</v>
      </c>
      <c r="G412" s="5">
        <v>0.9</v>
      </c>
      <c r="H412" s="5">
        <v>0.8</v>
      </c>
      <c r="I412" s="5">
        <v>0.05</v>
      </c>
      <c r="J412" s="6">
        <v>0.46376811594202899</v>
      </c>
      <c r="K412" s="6">
        <v>0.87312499999999971</v>
      </c>
      <c r="L412" s="6">
        <v>0.69001540098524872</v>
      </c>
      <c r="M412" s="4" t="s">
        <v>60</v>
      </c>
      <c r="N412" s="5">
        <v>0.1073141516168869</v>
      </c>
      <c r="O412" s="4">
        <v>0</v>
      </c>
    </row>
    <row r="413" spans="1:15" x14ac:dyDescent="0.3">
      <c r="A413" s="4">
        <v>138</v>
      </c>
      <c r="B413" s="4">
        <v>138000</v>
      </c>
      <c r="C413" s="4" t="s">
        <v>15</v>
      </c>
      <c r="D413" s="4" t="s">
        <v>16</v>
      </c>
      <c r="E413" s="4" t="s">
        <v>17</v>
      </c>
      <c r="F413" s="4" t="s">
        <v>18</v>
      </c>
      <c r="G413" s="5">
        <v>0.1</v>
      </c>
      <c r="H413" s="5">
        <v>0.4</v>
      </c>
      <c r="I413" s="5">
        <v>0.05</v>
      </c>
      <c r="J413" s="6">
        <v>0.75384615384615383</v>
      </c>
      <c r="K413" s="6">
        <v>0.74857142857142855</v>
      </c>
      <c r="L413" s="6">
        <v>0.71443547970743559</v>
      </c>
      <c r="M413" s="4" t="s">
        <v>19</v>
      </c>
      <c r="N413" s="5">
        <v>1</v>
      </c>
      <c r="O413" s="4">
        <v>1</v>
      </c>
    </row>
    <row r="414" spans="1:15" x14ac:dyDescent="0.3">
      <c r="A414" s="4">
        <v>138</v>
      </c>
      <c r="B414" s="4">
        <v>138000</v>
      </c>
      <c r="C414" s="4" t="s">
        <v>15</v>
      </c>
      <c r="D414" s="4" t="s">
        <v>161</v>
      </c>
      <c r="E414" s="4" t="s">
        <v>17</v>
      </c>
      <c r="F414" s="4" t="s">
        <v>18</v>
      </c>
      <c r="G414" s="5">
        <v>0.54444444444444451</v>
      </c>
      <c r="H414" s="5">
        <v>0.8</v>
      </c>
      <c r="I414" s="5">
        <v>0.05</v>
      </c>
      <c r="J414" s="6">
        <v>0.58461538461538465</v>
      </c>
      <c r="K414" s="6">
        <v>0.85947368421052628</v>
      </c>
      <c r="L414" s="6">
        <v>0.79120611689474707</v>
      </c>
      <c r="M414" s="4" t="s">
        <v>19</v>
      </c>
      <c r="N414" s="5">
        <v>1</v>
      </c>
      <c r="O414" s="4">
        <v>1</v>
      </c>
    </row>
    <row r="415" spans="1:15" x14ac:dyDescent="0.3">
      <c r="A415" s="4">
        <v>138</v>
      </c>
      <c r="B415" s="4">
        <v>138000</v>
      </c>
      <c r="C415" s="4" t="s">
        <v>15</v>
      </c>
      <c r="D415" s="4" t="s">
        <v>162</v>
      </c>
      <c r="E415" s="4" t="s">
        <v>17</v>
      </c>
      <c r="F415" s="4" t="s">
        <v>18</v>
      </c>
      <c r="G415" s="5">
        <v>0.9</v>
      </c>
      <c r="H415" s="5">
        <v>0.8</v>
      </c>
      <c r="I415" s="5">
        <v>0.05</v>
      </c>
      <c r="J415" s="6">
        <v>0.41538461538461541</v>
      </c>
      <c r="K415" s="6">
        <v>0.89259259259259227</v>
      </c>
      <c r="L415" s="6">
        <v>0.72944309331010848</v>
      </c>
      <c r="M415" s="4" t="s">
        <v>19</v>
      </c>
      <c r="N415" s="5">
        <v>1</v>
      </c>
      <c r="O415" s="4">
        <v>1</v>
      </c>
    </row>
    <row r="416" spans="1:15" x14ac:dyDescent="0.3">
      <c r="A416" s="4">
        <v>139</v>
      </c>
      <c r="B416" s="4">
        <v>139000</v>
      </c>
      <c r="C416" s="4" t="s">
        <v>15</v>
      </c>
      <c r="D416" s="4" t="s">
        <v>16</v>
      </c>
      <c r="E416" s="4" t="s">
        <v>17</v>
      </c>
      <c r="F416" s="4" t="s">
        <v>18</v>
      </c>
      <c r="G416" s="5">
        <v>0.1</v>
      </c>
      <c r="H416" s="5">
        <v>0.4</v>
      </c>
      <c r="I416" s="5">
        <v>0.05</v>
      </c>
      <c r="J416" s="6">
        <v>0.75862068965517238</v>
      </c>
      <c r="K416" s="6">
        <v>0.78295454545454535</v>
      </c>
      <c r="L416" s="6">
        <v>0.66852340281091316</v>
      </c>
      <c r="M416" s="4" t="s">
        <v>19</v>
      </c>
      <c r="N416" s="5">
        <v>1</v>
      </c>
      <c r="O416" s="4">
        <v>1</v>
      </c>
    </row>
    <row r="417" spans="1:15" x14ac:dyDescent="0.3">
      <c r="A417" s="4">
        <v>139</v>
      </c>
      <c r="B417" s="4">
        <v>139000</v>
      </c>
      <c r="C417" s="4" t="s">
        <v>15</v>
      </c>
      <c r="D417" s="4" t="s">
        <v>161</v>
      </c>
      <c r="E417" s="4" t="s">
        <v>17</v>
      </c>
      <c r="F417" s="4" t="s">
        <v>18</v>
      </c>
      <c r="G417" s="5">
        <v>0.3666666666666667</v>
      </c>
      <c r="H417" s="5">
        <v>0.8</v>
      </c>
      <c r="I417" s="5">
        <v>0.05</v>
      </c>
      <c r="J417" s="6">
        <v>0.72413793103448276</v>
      </c>
      <c r="K417" s="6">
        <v>0.81333333333333324</v>
      </c>
      <c r="L417" s="6">
        <v>0.6957389533852627</v>
      </c>
      <c r="M417" s="4" t="s">
        <v>19</v>
      </c>
      <c r="N417" s="5">
        <v>1</v>
      </c>
      <c r="O417" s="4">
        <v>1</v>
      </c>
    </row>
    <row r="418" spans="1:15" x14ac:dyDescent="0.3">
      <c r="A418" s="4">
        <v>139</v>
      </c>
      <c r="B418" s="4">
        <v>139000</v>
      </c>
      <c r="C418" s="4" t="s">
        <v>15</v>
      </c>
      <c r="D418" s="4" t="s">
        <v>162</v>
      </c>
      <c r="E418" s="4" t="s">
        <v>17</v>
      </c>
      <c r="F418" s="4" t="s">
        <v>18</v>
      </c>
      <c r="G418" s="5">
        <v>0.9</v>
      </c>
      <c r="H418" s="5">
        <v>0.8</v>
      </c>
      <c r="I418" s="5">
        <v>0.05</v>
      </c>
      <c r="J418" s="6">
        <v>0.46551724137931028</v>
      </c>
      <c r="K418" s="6">
        <v>0.86111111111111094</v>
      </c>
      <c r="L418" s="6">
        <v>0.59332433270231721</v>
      </c>
      <c r="M418" s="4" t="s">
        <v>19</v>
      </c>
      <c r="N418" s="5">
        <v>1</v>
      </c>
      <c r="O418" s="4">
        <v>1</v>
      </c>
    </row>
    <row r="419" spans="1:15" x14ac:dyDescent="0.3">
      <c r="A419" s="4">
        <v>140</v>
      </c>
      <c r="B419" s="4">
        <v>140000</v>
      </c>
      <c r="C419" s="4" t="s">
        <v>15</v>
      </c>
      <c r="D419" s="4" t="s">
        <v>16</v>
      </c>
      <c r="E419" s="4" t="s">
        <v>17</v>
      </c>
      <c r="F419" s="4" t="s">
        <v>18</v>
      </c>
      <c r="G419" s="5">
        <v>0.1</v>
      </c>
      <c r="H419" s="5">
        <v>0.4</v>
      </c>
      <c r="I419" s="5">
        <v>0.05</v>
      </c>
      <c r="J419" s="6">
        <v>0.72131147540983609</v>
      </c>
      <c r="K419" s="6">
        <v>0.79022727272727278</v>
      </c>
      <c r="L419" s="6">
        <v>0.56489013283545597</v>
      </c>
      <c r="M419" s="4" t="s">
        <v>19</v>
      </c>
      <c r="N419" s="5">
        <v>1</v>
      </c>
      <c r="O419" s="4">
        <v>1</v>
      </c>
    </row>
    <row r="420" spans="1:15" x14ac:dyDescent="0.3">
      <c r="A420" s="4">
        <v>140</v>
      </c>
      <c r="B420" s="4">
        <v>140000</v>
      </c>
      <c r="C420" s="4" t="s">
        <v>15</v>
      </c>
      <c r="D420" s="4" t="s">
        <v>161</v>
      </c>
      <c r="E420" s="4" t="s">
        <v>17</v>
      </c>
      <c r="F420" s="4" t="s">
        <v>18</v>
      </c>
      <c r="G420" s="5">
        <v>0.81111111111111112</v>
      </c>
      <c r="H420" s="5">
        <v>0.8</v>
      </c>
      <c r="I420" s="5">
        <v>0.05</v>
      </c>
      <c r="J420" s="6">
        <v>0.52459016393442626</v>
      </c>
      <c r="K420" s="6">
        <v>0.88093749999999982</v>
      </c>
      <c r="L420" s="6">
        <v>0.74356622429487629</v>
      </c>
      <c r="M420" s="4" t="s">
        <v>19</v>
      </c>
      <c r="N420" s="5">
        <v>1</v>
      </c>
      <c r="O420" s="4">
        <v>1</v>
      </c>
    </row>
    <row r="421" spans="1:15" x14ac:dyDescent="0.3">
      <c r="A421" s="4">
        <v>140</v>
      </c>
      <c r="B421" s="4">
        <v>140000</v>
      </c>
      <c r="C421" s="4" t="s">
        <v>15</v>
      </c>
      <c r="D421" s="4" t="s">
        <v>162</v>
      </c>
      <c r="E421" s="4" t="s">
        <v>17</v>
      </c>
      <c r="F421" s="4" t="s">
        <v>18</v>
      </c>
      <c r="G421" s="5">
        <v>0.9</v>
      </c>
      <c r="H421" s="5">
        <v>0.8</v>
      </c>
      <c r="I421" s="5">
        <v>0.05</v>
      </c>
      <c r="J421" s="6">
        <v>0.39344262295081972</v>
      </c>
      <c r="K421" s="6">
        <v>0.88958333333333306</v>
      </c>
      <c r="L421" s="6">
        <v>0.61137487283217684</v>
      </c>
      <c r="M421" s="4" t="s">
        <v>19</v>
      </c>
      <c r="N421" s="5">
        <v>1</v>
      </c>
      <c r="O421" s="4">
        <v>1</v>
      </c>
    </row>
    <row r="422" spans="1:15" x14ac:dyDescent="0.3">
      <c r="A422" s="4">
        <v>141</v>
      </c>
      <c r="B422" s="4">
        <v>141000</v>
      </c>
      <c r="C422" s="4" t="s">
        <v>15</v>
      </c>
      <c r="D422" s="4" t="s">
        <v>16</v>
      </c>
      <c r="E422" s="4" t="s">
        <v>17</v>
      </c>
      <c r="F422" s="4" t="s">
        <v>18</v>
      </c>
      <c r="G422" s="5">
        <v>0.1</v>
      </c>
      <c r="H422" s="5">
        <v>0.4</v>
      </c>
      <c r="I422" s="5">
        <v>0.05</v>
      </c>
      <c r="J422" s="6">
        <v>0.71875</v>
      </c>
      <c r="K422" s="6">
        <v>0.79869565217391325</v>
      </c>
      <c r="L422" s="6">
        <v>0.59314586704347516</v>
      </c>
      <c r="M422" s="4" t="s">
        <v>19</v>
      </c>
      <c r="N422" s="5">
        <v>1</v>
      </c>
      <c r="O422" s="4">
        <v>1</v>
      </c>
    </row>
    <row r="423" spans="1:15" x14ac:dyDescent="0.3">
      <c r="A423" s="4">
        <v>141</v>
      </c>
      <c r="B423" s="4">
        <v>141000</v>
      </c>
      <c r="C423" s="4" t="s">
        <v>15</v>
      </c>
      <c r="D423" s="4" t="s">
        <v>161</v>
      </c>
      <c r="E423" s="4" t="s">
        <v>17</v>
      </c>
      <c r="F423" s="4" t="s">
        <v>18</v>
      </c>
      <c r="G423" s="5">
        <v>0.72222222222222221</v>
      </c>
      <c r="H423" s="5">
        <v>0.4</v>
      </c>
      <c r="I423" s="5">
        <v>0.05</v>
      </c>
      <c r="J423" s="6">
        <v>0.578125</v>
      </c>
      <c r="K423" s="6">
        <v>0.85378378378378372</v>
      </c>
      <c r="L423" s="6">
        <v>0.68103355708755253</v>
      </c>
      <c r="M423" s="4" t="s">
        <v>19</v>
      </c>
      <c r="N423" s="5">
        <v>1</v>
      </c>
      <c r="O423" s="4">
        <v>1</v>
      </c>
    </row>
    <row r="424" spans="1:15" x14ac:dyDescent="0.3">
      <c r="A424" s="4">
        <v>141</v>
      </c>
      <c r="B424" s="4">
        <v>141000</v>
      </c>
      <c r="C424" s="4" t="s">
        <v>15</v>
      </c>
      <c r="D424" s="4" t="s">
        <v>162</v>
      </c>
      <c r="E424" s="4" t="s">
        <v>17</v>
      </c>
      <c r="F424" s="4" t="s">
        <v>18</v>
      </c>
      <c r="G424" s="5">
        <v>0.81111111111111112</v>
      </c>
      <c r="H424" s="5">
        <v>0.4</v>
      </c>
      <c r="I424" s="5">
        <v>0.05</v>
      </c>
      <c r="J424" s="6">
        <v>0.515625</v>
      </c>
      <c r="K424" s="6">
        <v>0.86303030303030281</v>
      </c>
      <c r="L424" s="6">
        <v>0.59198410426632131</v>
      </c>
      <c r="M424" s="4" t="s">
        <v>19</v>
      </c>
      <c r="N424" s="5">
        <v>1</v>
      </c>
      <c r="O424" s="4">
        <v>1</v>
      </c>
    </row>
    <row r="425" spans="1:15" x14ac:dyDescent="0.3">
      <c r="A425" s="4">
        <v>142</v>
      </c>
      <c r="B425" s="4">
        <v>142000</v>
      </c>
      <c r="C425" s="4" t="s">
        <v>15</v>
      </c>
      <c r="D425" s="4" t="s">
        <v>16</v>
      </c>
      <c r="E425" s="4" t="s">
        <v>17</v>
      </c>
      <c r="F425" s="4" t="s">
        <v>18</v>
      </c>
      <c r="G425" s="5">
        <v>0.1</v>
      </c>
      <c r="H425" s="5">
        <v>0.4</v>
      </c>
      <c r="I425" s="5">
        <v>0.05</v>
      </c>
      <c r="J425" s="6">
        <v>0.74242424242424243</v>
      </c>
      <c r="K425" s="6">
        <v>0.80469387755102051</v>
      </c>
      <c r="L425" s="6">
        <v>0.67101047877008335</v>
      </c>
      <c r="M425" s="4" t="s">
        <v>85</v>
      </c>
      <c r="N425" s="5">
        <v>0.11986917503843331</v>
      </c>
      <c r="O425" s="4">
        <v>0</v>
      </c>
    </row>
    <row r="426" spans="1:15" x14ac:dyDescent="0.3">
      <c r="A426" s="4">
        <v>142</v>
      </c>
      <c r="B426" s="4">
        <v>142000</v>
      </c>
      <c r="C426" s="4" t="s">
        <v>15</v>
      </c>
      <c r="D426" s="4" t="s">
        <v>161</v>
      </c>
      <c r="E426" s="4" t="s">
        <v>17</v>
      </c>
      <c r="F426" s="4" t="s">
        <v>18</v>
      </c>
      <c r="G426" s="5">
        <v>0.72222222222222221</v>
      </c>
      <c r="H426" s="5">
        <v>0.4</v>
      </c>
      <c r="I426" s="5">
        <v>0.05</v>
      </c>
      <c r="J426" s="6">
        <v>0.62121212121212122</v>
      </c>
      <c r="K426" s="6">
        <v>0.8519512195121951</v>
      </c>
      <c r="L426" s="6">
        <v>0.72053074375028248</v>
      </c>
      <c r="M426" s="4" t="s">
        <v>85</v>
      </c>
      <c r="N426" s="5">
        <v>0.11986917503843331</v>
      </c>
      <c r="O426" s="4">
        <v>0</v>
      </c>
    </row>
    <row r="427" spans="1:15" x14ac:dyDescent="0.3">
      <c r="A427" s="4">
        <v>142</v>
      </c>
      <c r="B427" s="4">
        <v>142000</v>
      </c>
      <c r="C427" s="4" t="s">
        <v>15</v>
      </c>
      <c r="D427" s="4" t="s">
        <v>162</v>
      </c>
      <c r="E427" s="4" t="s">
        <v>17</v>
      </c>
      <c r="F427" s="4" t="s">
        <v>18</v>
      </c>
      <c r="G427" s="5">
        <v>0.81111111111111112</v>
      </c>
      <c r="H427" s="5">
        <v>0.4</v>
      </c>
      <c r="I427" s="5">
        <v>0.05</v>
      </c>
      <c r="J427" s="6">
        <v>0.53030303030303028</v>
      </c>
      <c r="K427" s="6">
        <v>0.86942857142857122</v>
      </c>
      <c r="L427" s="6">
        <v>0.62898720626925742</v>
      </c>
      <c r="M427" s="4" t="s">
        <v>85</v>
      </c>
      <c r="N427" s="5">
        <v>0.11986917503843331</v>
      </c>
      <c r="O427" s="4">
        <v>0</v>
      </c>
    </row>
    <row r="428" spans="1:15" x14ac:dyDescent="0.3">
      <c r="A428" s="4">
        <v>143</v>
      </c>
      <c r="B428" s="4">
        <v>143000</v>
      </c>
      <c r="C428" s="4" t="s">
        <v>15</v>
      </c>
      <c r="D428" s="4" t="s">
        <v>16</v>
      </c>
      <c r="E428" s="4" t="s">
        <v>17</v>
      </c>
      <c r="F428" s="4" t="s">
        <v>18</v>
      </c>
      <c r="G428" s="5">
        <v>0.1</v>
      </c>
      <c r="H428" s="5">
        <v>0.4</v>
      </c>
      <c r="I428" s="5">
        <v>0.05</v>
      </c>
      <c r="J428" s="6">
        <v>0.734375</v>
      </c>
      <c r="K428" s="6">
        <v>0.82702127659574476</v>
      </c>
      <c r="L428" s="6">
        <v>0.6536939714746387</v>
      </c>
      <c r="M428" s="4" t="s">
        <v>45</v>
      </c>
      <c r="N428" s="5">
        <v>0.14738287396568869</v>
      </c>
      <c r="O428" s="4">
        <v>0</v>
      </c>
    </row>
    <row r="429" spans="1:15" x14ac:dyDescent="0.3">
      <c r="A429" s="4">
        <v>143</v>
      </c>
      <c r="B429" s="4">
        <v>143000</v>
      </c>
      <c r="C429" s="4" t="s">
        <v>15</v>
      </c>
      <c r="D429" s="4" t="s">
        <v>161</v>
      </c>
      <c r="E429" s="4" t="s">
        <v>17</v>
      </c>
      <c r="F429" s="4" t="s">
        <v>18</v>
      </c>
      <c r="G429" s="5">
        <v>0.72222222222222221</v>
      </c>
      <c r="H429" s="5">
        <v>0.4</v>
      </c>
      <c r="I429" s="5">
        <v>0.05</v>
      </c>
      <c r="J429" s="6">
        <v>0.65625</v>
      </c>
      <c r="K429" s="6">
        <v>0.86142857142857143</v>
      </c>
      <c r="L429" s="6">
        <v>0.75295971091409186</v>
      </c>
      <c r="M429" s="4" t="s">
        <v>45</v>
      </c>
      <c r="N429" s="5">
        <v>0.14738287396568869</v>
      </c>
      <c r="O429" s="4">
        <v>0</v>
      </c>
    </row>
    <row r="430" spans="1:15" x14ac:dyDescent="0.3">
      <c r="A430" s="4">
        <v>143</v>
      </c>
      <c r="B430" s="4">
        <v>143000</v>
      </c>
      <c r="C430" s="4" t="s">
        <v>15</v>
      </c>
      <c r="D430" s="4" t="s">
        <v>162</v>
      </c>
      <c r="E430" s="4" t="s">
        <v>17</v>
      </c>
      <c r="F430" s="4" t="s">
        <v>18</v>
      </c>
      <c r="G430" s="5">
        <v>0.81111111111111112</v>
      </c>
      <c r="H430" s="5">
        <v>0.4</v>
      </c>
      <c r="I430" s="5">
        <v>0.05</v>
      </c>
      <c r="J430" s="6">
        <v>0.609375</v>
      </c>
      <c r="K430" s="6">
        <v>0.86999999999999977</v>
      </c>
      <c r="L430" s="6">
        <v>0.7478051189223649</v>
      </c>
      <c r="M430" s="4" t="s">
        <v>45</v>
      </c>
      <c r="N430" s="5">
        <v>0.14738287396568869</v>
      </c>
      <c r="O430" s="4">
        <v>0</v>
      </c>
    </row>
    <row r="431" spans="1:15" x14ac:dyDescent="0.3">
      <c r="A431" s="4">
        <v>144</v>
      </c>
      <c r="B431" s="4">
        <v>144000</v>
      </c>
      <c r="C431" s="4" t="s">
        <v>15</v>
      </c>
      <c r="D431" s="4" t="s">
        <v>16</v>
      </c>
      <c r="E431" s="4" t="s">
        <v>17</v>
      </c>
      <c r="F431" s="4" t="s">
        <v>18</v>
      </c>
      <c r="G431" s="5">
        <v>0.1</v>
      </c>
      <c r="H431" s="5">
        <v>0.4</v>
      </c>
      <c r="I431" s="5">
        <v>0.05</v>
      </c>
      <c r="J431" s="6">
        <v>0.7384615384615385</v>
      </c>
      <c r="K431" s="6">
        <v>0.81937500000000008</v>
      </c>
      <c r="L431" s="6">
        <v>0.6491872789763885</v>
      </c>
      <c r="M431" s="4" t="s">
        <v>86</v>
      </c>
      <c r="N431" s="5">
        <v>0.1405399499442066</v>
      </c>
      <c r="O431" s="4">
        <v>0</v>
      </c>
    </row>
    <row r="432" spans="1:15" x14ac:dyDescent="0.3">
      <c r="A432" s="4">
        <v>144</v>
      </c>
      <c r="B432" s="4">
        <v>144000</v>
      </c>
      <c r="C432" s="4" t="s">
        <v>15</v>
      </c>
      <c r="D432" s="4" t="s">
        <v>161</v>
      </c>
      <c r="E432" s="4" t="s">
        <v>17</v>
      </c>
      <c r="F432" s="4" t="s">
        <v>18</v>
      </c>
      <c r="G432" s="5">
        <v>0.72222222222222221</v>
      </c>
      <c r="H432" s="5">
        <v>0.4</v>
      </c>
      <c r="I432" s="5">
        <v>0.05</v>
      </c>
      <c r="J432" s="6">
        <v>0.67692307692307696</v>
      </c>
      <c r="K432" s="6">
        <v>0.8450000000000002</v>
      </c>
      <c r="L432" s="6">
        <v>0.75557150940803686</v>
      </c>
      <c r="M432" s="4" t="s">
        <v>86</v>
      </c>
      <c r="N432" s="5">
        <v>0.1405399499442066</v>
      </c>
      <c r="O432" s="4">
        <v>0</v>
      </c>
    </row>
    <row r="433" spans="1:15" x14ac:dyDescent="0.3">
      <c r="A433" s="4">
        <v>144</v>
      </c>
      <c r="B433" s="4">
        <v>144000</v>
      </c>
      <c r="C433" s="4" t="s">
        <v>15</v>
      </c>
      <c r="D433" s="4" t="s">
        <v>162</v>
      </c>
      <c r="E433" s="4" t="s">
        <v>17</v>
      </c>
      <c r="F433" s="4" t="s">
        <v>18</v>
      </c>
      <c r="G433" s="5">
        <v>0.81111111111111112</v>
      </c>
      <c r="H433" s="5">
        <v>0.4</v>
      </c>
      <c r="I433" s="5">
        <v>0.05</v>
      </c>
      <c r="J433" s="6">
        <v>0.63076923076923075</v>
      </c>
      <c r="K433" s="6">
        <v>0.84829268292682913</v>
      </c>
      <c r="L433" s="6">
        <v>0.7352024685253733</v>
      </c>
      <c r="M433" s="4" t="s">
        <v>86</v>
      </c>
      <c r="N433" s="5">
        <v>0.1405399499442066</v>
      </c>
      <c r="O433" s="4">
        <v>0</v>
      </c>
    </row>
    <row r="434" spans="1:15" x14ac:dyDescent="0.3">
      <c r="A434" s="4">
        <v>145</v>
      </c>
      <c r="B434" s="4">
        <v>145000</v>
      </c>
      <c r="C434" s="4" t="s">
        <v>15</v>
      </c>
      <c r="D434" s="4" t="s">
        <v>16</v>
      </c>
      <c r="E434" s="4" t="s">
        <v>17</v>
      </c>
      <c r="F434" s="4" t="s">
        <v>18</v>
      </c>
      <c r="G434" s="5">
        <v>0.1</v>
      </c>
      <c r="H434" s="5">
        <v>0.4</v>
      </c>
      <c r="I434" s="5">
        <v>0.05</v>
      </c>
      <c r="J434" s="6">
        <v>0.70422535211267601</v>
      </c>
      <c r="K434" s="6">
        <v>0.7802</v>
      </c>
      <c r="L434" s="6">
        <v>0.64339151530025784</v>
      </c>
      <c r="M434" s="4" t="s">
        <v>71</v>
      </c>
      <c r="N434" s="5">
        <v>0.13958242833007581</v>
      </c>
      <c r="O434" s="4">
        <v>0</v>
      </c>
    </row>
    <row r="435" spans="1:15" x14ac:dyDescent="0.3">
      <c r="A435" s="4">
        <v>145</v>
      </c>
      <c r="B435" s="4">
        <v>145000</v>
      </c>
      <c r="C435" s="4" t="s">
        <v>15</v>
      </c>
      <c r="D435" s="4" t="s">
        <v>161</v>
      </c>
      <c r="E435" s="4" t="s">
        <v>17</v>
      </c>
      <c r="F435" s="4" t="s">
        <v>18</v>
      </c>
      <c r="G435" s="5">
        <v>0.72222222222222221</v>
      </c>
      <c r="H435" s="5">
        <v>0.4</v>
      </c>
      <c r="I435" s="5">
        <v>0.05</v>
      </c>
      <c r="J435" s="6">
        <v>0.60563380281690138</v>
      </c>
      <c r="K435" s="6">
        <v>0.81813953488372104</v>
      </c>
      <c r="L435" s="6">
        <v>0.76473287109462396</v>
      </c>
      <c r="M435" s="4" t="s">
        <v>71</v>
      </c>
      <c r="N435" s="5">
        <v>0.13958242833007581</v>
      </c>
      <c r="O435" s="4">
        <v>0</v>
      </c>
    </row>
    <row r="436" spans="1:15" x14ac:dyDescent="0.3">
      <c r="A436" s="4">
        <v>145</v>
      </c>
      <c r="B436" s="4">
        <v>145000</v>
      </c>
      <c r="C436" s="4" t="s">
        <v>15</v>
      </c>
      <c r="D436" s="4" t="s">
        <v>162</v>
      </c>
      <c r="E436" s="4" t="s">
        <v>17</v>
      </c>
      <c r="F436" s="4" t="s">
        <v>18</v>
      </c>
      <c r="G436" s="5">
        <v>0.81111111111111112</v>
      </c>
      <c r="H436" s="5">
        <v>0.4</v>
      </c>
      <c r="I436" s="5">
        <v>0.05</v>
      </c>
      <c r="J436" s="6">
        <v>0.52112676056338025</v>
      </c>
      <c r="K436" s="6">
        <v>0.82351351351351343</v>
      </c>
      <c r="L436" s="6">
        <v>0.7229170783916582</v>
      </c>
      <c r="M436" s="4" t="s">
        <v>71</v>
      </c>
      <c r="N436" s="5">
        <v>0.13958242833007581</v>
      </c>
      <c r="O436" s="4">
        <v>0</v>
      </c>
    </row>
    <row r="437" spans="1:15" x14ac:dyDescent="0.3">
      <c r="A437" s="4">
        <v>146</v>
      </c>
      <c r="B437" s="4">
        <v>146000</v>
      </c>
      <c r="C437" s="4" t="s">
        <v>15</v>
      </c>
      <c r="D437" s="4" t="s">
        <v>16</v>
      </c>
      <c r="E437" s="4" t="s">
        <v>17</v>
      </c>
      <c r="F437" s="4" t="s">
        <v>18</v>
      </c>
      <c r="G437" s="5">
        <v>0.1</v>
      </c>
      <c r="H437" s="5">
        <v>0.4</v>
      </c>
      <c r="I437" s="5">
        <v>0.05</v>
      </c>
      <c r="J437" s="6">
        <v>0.74285714285714288</v>
      </c>
      <c r="K437" s="6">
        <v>0.73788461538461547</v>
      </c>
      <c r="L437" s="6">
        <v>0.63826708011556754</v>
      </c>
      <c r="M437" s="4" t="s">
        <v>71</v>
      </c>
      <c r="N437" s="5">
        <v>0.14029258683721799</v>
      </c>
      <c r="O437" s="4">
        <v>0</v>
      </c>
    </row>
    <row r="438" spans="1:15" x14ac:dyDescent="0.3">
      <c r="A438" s="4">
        <v>146</v>
      </c>
      <c r="B438" s="4">
        <v>146000</v>
      </c>
      <c r="C438" s="4" t="s">
        <v>15</v>
      </c>
      <c r="D438" s="4" t="s">
        <v>161</v>
      </c>
      <c r="E438" s="4" t="s">
        <v>17</v>
      </c>
      <c r="F438" s="4" t="s">
        <v>18</v>
      </c>
      <c r="G438" s="5">
        <v>0.72222222222222221</v>
      </c>
      <c r="H438" s="5">
        <v>0.4</v>
      </c>
      <c r="I438" s="5">
        <v>0.05</v>
      </c>
      <c r="J438" s="6">
        <v>0.52857142857142858</v>
      </c>
      <c r="K438" s="6">
        <v>0.79972972972972955</v>
      </c>
      <c r="L438" s="6">
        <v>0.71681127222524155</v>
      </c>
      <c r="M438" s="4" t="s">
        <v>71</v>
      </c>
      <c r="N438" s="5">
        <v>0.14029258683721799</v>
      </c>
      <c r="O438" s="4">
        <v>0</v>
      </c>
    </row>
    <row r="439" spans="1:15" x14ac:dyDescent="0.3">
      <c r="A439" s="4">
        <v>146</v>
      </c>
      <c r="B439" s="4">
        <v>146000</v>
      </c>
      <c r="C439" s="4" t="s">
        <v>15</v>
      </c>
      <c r="D439" s="4" t="s">
        <v>162</v>
      </c>
      <c r="E439" s="4" t="s">
        <v>17</v>
      </c>
      <c r="F439" s="4" t="s">
        <v>18</v>
      </c>
      <c r="G439" s="5">
        <v>0.81111111111111112</v>
      </c>
      <c r="H439" s="5">
        <v>0.4</v>
      </c>
      <c r="I439" s="5">
        <v>0.05</v>
      </c>
      <c r="J439" s="6">
        <v>0.48571428571428571</v>
      </c>
      <c r="K439" s="6">
        <v>0.80323529411764694</v>
      </c>
      <c r="L439" s="6">
        <v>0.64601409028155188</v>
      </c>
      <c r="M439" s="4" t="s">
        <v>71</v>
      </c>
      <c r="N439" s="5">
        <v>0.14029258683721799</v>
      </c>
      <c r="O439" s="4">
        <v>0</v>
      </c>
    </row>
    <row r="440" spans="1:15" x14ac:dyDescent="0.3">
      <c r="A440" s="4">
        <v>147</v>
      </c>
      <c r="B440" s="4">
        <v>147000</v>
      </c>
      <c r="C440" s="4" t="s">
        <v>15</v>
      </c>
      <c r="D440" s="4" t="s">
        <v>16</v>
      </c>
      <c r="E440" s="4" t="s">
        <v>17</v>
      </c>
      <c r="F440" s="4" t="s">
        <v>18</v>
      </c>
      <c r="G440" s="5">
        <v>0.1</v>
      </c>
      <c r="H440" s="5">
        <v>0.4</v>
      </c>
      <c r="I440" s="5">
        <v>0.05</v>
      </c>
      <c r="J440" s="6">
        <v>0.71014492753623193</v>
      </c>
      <c r="K440" s="6">
        <v>0.74428571428571444</v>
      </c>
      <c r="L440" s="6">
        <v>0.70964771231228729</v>
      </c>
      <c r="M440" s="4" t="s">
        <v>87</v>
      </c>
      <c r="N440" s="5">
        <v>0.13358818929863411</v>
      </c>
      <c r="O440" s="4">
        <v>0</v>
      </c>
    </row>
    <row r="441" spans="1:15" x14ac:dyDescent="0.3">
      <c r="A441" s="4">
        <v>147</v>
      </c>
      <c r="B441" s="4">
        <v>147000</v>
      </c>
      <c r="C441" s="4" t="s">
        <v>15</v>
      </c>
      <c r="D441" s="4" t="s">
        <v>161</v>
      </c>
      <c r="E441" s="4" t="s">
        <v>17</v>
      </c>
      <c r="F441" s="4" t="s">
        <v>18</v>
      </c>
      <c r="G441" s="5">
        <v>0.72222222222222221</v>
      </c>
      <c r="H441" s="5">
        <v>0.4</v>
      </c>
      <c r="I441" s="5">
        <v>0.05</v>
      </c>
      <c r="J441" s="6">
        <v>0.50724637681159424</v>
      </c>
      <c r="K441" s="6">
        <v>0.81942857142857128</v>
      </c>
      <c r="L441" s="6">
        <v>0.69543787941093371</v>
      </c>
      <c r="M441" s="4" t="s">
        <v>87</v>
      </c>
      <c r="N441" s="5">
        <v>0.13358818929863411</v>
      </c>
      <c r="O441" s="4">
        <v>0</v>
      </c>
    </row>
    <row r="442" spans="1:15" x14ac:dyDescent="0.3">
      <c r="A442" s="4">
        <v>147</v>
      </c>
      <c r="B442" s="4">
        <v>147000</v>
      </c>
      <c r="C442" s="4" t="s">
        <v>15</v>
      </c>
      <c r="D442" s="4" t="s">
        <v>162</v>
      </c>
      <c r="E442" s="4" t="s">
        <v>17</v>
      </c>
      <c r="F442" s="4" t="s">
        <v>18</v>
      </c>
      <c r="G442" s="5">
        <v>0.81111111111111112</v>
      </c>
      <c r="H442" s="5">
        <v>0.4</v>
      </c>
      <c r="I442" s="5">
        <v>0.05</v>
      </c>
      <c r="J442" s="6">
        <v>0.44927536231884058</v>
      </c>
      <c r="K442" s="6">
        <v>0.82838709677419342</v>
      </c>
      <c r="L442" s="6">
        <v>0.6573676143373004</v>
      </c>
      <c r="M442" s="4" t="s">
        <v>87</v>
      </c>
      <c r="N442" s="5">
        <v>0.13358818929863411</v>
      </c>
      <c r="O442" s="4">
        <v>0</v>
      </c>
    </row>
    <row r="443" spans="1:15" x14ac:dyDescent="0.3">
      <c r="A443" s="4">
        <v>148</v>
      </c>
      <c r="B443" s="4">
        <v>148000</v>
      </c>
      <c r="C443" s="4" t="s">
        <v>15</v>
      </c>
      <c r="D443" s="4" t="s">
        <v>16</v>
      </c>
      <c r="E443" s="4" t="s">
        <v>17</v>
      </c>
      <c r="F443" s="4" t="s">
        <v>18</v>
      </c>
      <c r="G443" s="5">
        <v>0.1</v>
      </c>
      <c r="H443" s="5">
        <v>0.4</v>
      </c>
      <c r="I443" s="5">
        <v>0.05</v>
      </c>
      <c r="J443" s="6">
        <v>0.69354838709677424</v>
      </c>
      <c r="K443" s="6">
        <v>0.7741860465116277</v>
      </c>
      <c r="L443" s="6">
        <v>0.68522790495355823</v>
      </c>
      <c r="M443" s="4" t="s">
        <v>88</v>
      </c>
      <c r="N443" s="5">
        <v>0.1480997246995063</v>
      </c>
      <c r="O443" s="4">
        <v>0</v>
      </c>
    </row>
    <row r="444" spans="1:15" x14ac:dyDescent="0.3">
      <c r="A444" s="4">
        <v>148</v>
      </c>
      <c r="B444" s="4">
        <v>148000</v>
      </c>
      <c r="C444" s="4" t="s">
        <v>15</v>
      </c>
      <c r="D444" s="4" t="s">
        <v>161</v>
      </c>
      <c r="E444" s="4" t="s">
        <v>17</v>
      </c>
      <c r="F444" s="4" t="s">
        <v>18</v>
      </c>
      <c r="G444" s="5">
        <v>0.72222222222222221</v>
      </c>
      <c r="H444" s="5">
        <v>0.4</v>
      </c>
      <c r="I444" s="5">
        <v>0.05</v>
      </c>
      <c r="J444" s="6">
        <v>0.54838709677419351</v>
      </c>
      <c r="K444" s="6">
        <v>0.84441176470588186</v>
      </c>
      <c r="L444" s="6">
        <v>0.71747017062289364</v>
      </c>
      <c r="M444" s="4" t="s">
        <v>88</v>
      </c>
      <c r="N444" s="5">
        <v>0.1480997246995063</v>
      </c>
      <c r="O444" s="4">
        <v>0</v>
      </c>
    </row>
    <row r="445" spans="1:15" x14ac:dyDescent="0.3">
      <c r="A445" s="4">
        <v>148</v>
      </c>
      <c r="B445" s="4">
        <v>148000</v>
      </c>
      <c r="C445" s="4" t="s">
        <v>15</v>
      </c>
      <c r="D445" s="4" t="s">
        <v>162</v>
      </c>
      <c r="E445" s="4" t="s">
        <v>17</v>
      </c>
      <c r="F445" s="4" t="s">
        <v>18</v>
      </c>
      <c r="G445" s="5">
        <v>0.81111111111111112</v>
      </c>
      <c r="H445" s="5">
        <v>0.4</v>
      </c>
      <c r="I445" s="5">
        <v>0.05</v>
      </c>
      <c r="J445" s="6">
        <v>0.4838709677419355</v>
      </c>
      <c r="K445" s="6">
        <v>0.85233333333333294</v>
      </c>
      <c r="L445" s="6">
        <v>0.66751718981400332</v>
      </c>
      <c r="M445" s="4" t="s">
        <v>88</v>
      </c>
      <c r="N445" s="5">
        <v>0.1480997246995063</v>
      </c>
      <c r="O445" s="4">
        <v>0</v>
      </c>
    </row>
    <row r="446" spans="1:15" x14ac:dyDescent="0.3">
      <c r="A446" s="4">
        <v>149</v>
      </c>
      <c r="B446" s="4">
        <v>149000</v>
      </c>
      <c r="C446" s="4" t="s">
        <v>15</v>
      </c>
      <c r="D446" s="4" t="s">
        <v>16</v>
      </c>
      <c r="E446" s="4" t="s">
        <v>17</v>
      </c>
      <c r="F446" s="4" t="s">
        <v>18</v>
      </c>
      <c r="G446" s="5">
        <v>0.1</v>
      </c>
      <c r="H446" s="5">
        <v>0.4</v>
      </c>
      <c r="I446" s="5">
        <v>0.05</v>
      </c>
      <c r="J446" s="6">
        <v>0.67164179104477617</v>
      </c>
      <c r="K446" s="6">
        <v>0.8142222222222224</v>
      </c>
      <c r="L446" s="6">
        <v>0.60207359748437306</v>
      </c>
      <c r="M446" s="4" t="s">
        <v>38</v>
      </c>
      <c r="N446" s="5">
        <v>0.16732809246073729</v>
      </c>
      <c r="O446" s="4">
        <v>1</v>
      </c>
    </row>
    <row r="447" spans="1:15" x14ac:dyDescent="0.3">
      <c r="A447" s="4">
        <v>149</v>
      </c>
      <c r="B447" s="4">
        <v>149000</v>
      </c>
      <c r="C447" s="4" t="s">
        <v>15</v>
      </c>
      <c r="D447" s="4" t="s">
        <v>161</v>
      </c>
      <c r="E447" s="4" t="s">
        <v>17</v>
      </c>
      <c r="F447" s="4" t="s">
        <v>18</v>
      </c>
      <c r="G447" s="5">
        <v>0.54444444444444451</v>
      </c>
      <c r="H447" s="5">
        <v>0.4</v>
      </c>
      <c r="I447" s="5">
        <v>0.05</v>
      </c>
      <c r="J447" s="6">
        <v>0.62686567164179108</v>
      </c>
      <c r="K447" s="6">
        <v>0.83809523809523834</v>
      </c>
      <c r="L447" s="6">
        <v>0.69739451779998785</v>
      </c>
      <c r="M447" s="4" t="s">
        <v>38</v>
      </c>
      <c r="N447" s="5">
        <v>0.16732809246073729</v>
      </c>
      <c r="O447" s="4">
        <v>1</v>
      </c>
    </row>
    <row r="448" spans="1:15" x14ac:dyDescent="0.3">
      <c r="A448" s="4">
        <v>149</v>
      </c>
      <c r="B448" s="4">
        <v>149000</v>
      </c>
      <c r="C448" s="4" t="s">
        <v>15</v>
      </c>
      <c r="D448" s="4" t="s">
        <v>162</v>
      </c>
      <c r="E448" s="4" t="s">
        <v>17</v>
      </c>
      <c r="F448" s="4" t="s">
        <v>18</v>
      </c>
      <c r="G448" s="5">
        <v>0.81111111111111112</v>
      </c>
      <c r="H448" s="5">
        <v>0.4</v>
      </c>
      <c r="I448" s="5">
        <v>0.05</v>
      </c>
      <c r="J448" s="6">
        <v>0.5074626865671642</v>
      </c>
      <c r="K448" s="6">
        <v>0.86705882352941166</v>
      </c>
      <c r="L448" s="6">
        <v>0.64842330558428807</v>
      </c>
      <c r="M448" s="4" t="s">
        <v>38</v>
      </c>
      <c r="N448" s="5">
        <v>0.16732809246073729</v>
      </c>
      <c r="O448" s="4">
        <v>1</v>
      </c>
    </row>
    <row r="449" spans="1:15" x14ac:dyDescent="0.3">
      <c r="A449" s="4">
        <v>150</v>
      </c>
      <c r="B449" s="4">
        <v>150000</v>
      </c>
      <c r="C449" s="4" t="s">
        <v>15</v>
      </c>
      <c r="D449" s="4" t="s">
        <v>16</v>
      </c>
      <c r="E449" s="4" t="s">
        <v>17</v>
      </c>
      <c r="F449" s="4" t="s">
        <v>18</v>
      </c>
      <c r="G449" s="5">
        <v>0.1</v>
      </c>
      <c r="H449" s="5">
        <v>0.4</v>
      </c>
      <c r="I449" s="5">
        <v>0.05</v>
      </c>
      <c r="J449" s="6">
        <v>0.68493150684931503</v>
      </c>
      <c r="K449" s="6">
        <v>0.78700000000000014</v>
      </c>
      <c r="L449" s="6">
        <v>0.67815417803789602</v>
      </c>
      <c r="M449" s="4" t="s">
        <v>49</v>
      </c>
      <c r="N449" s="5">
        <v>8.9962135282265571E-2</v>
      </c>
      <c r="O449" s="4">
        <v>0</v>
      </c>
    </row>
    <row r="450" spans="1:15" x14ac:dyDescent="0.3">
      <c r="A450" s="4">
        <v>150</v>
      </c>
      <c r="B450" s="4">
        <v>150000</v>
      </c>
      <c r="C450" s="4" t="s">
        <v>15</v>
      </c>
      <c r="D450" s="4" t="s">
        <v>161</v>
      </c>
      <c r="E450" s="4" t="s">
        <v>17</v>
      </c>
      <c r="F450" s="4" t="s">
        <v>18</v>
      </c>
      <c r="G450" s="5">
        <v>0.54444444444444451</v>
      </c>
      <c r="H450" s="5">
        <v>0.4</v>
      </c>
      <c r="I450" s="5">
        <v>0.05</v>
      </c>
      <c r="J450" s="6">
        <v>0.64383561643835618</v>
      </c>
      <c r="K450" s="6">
        <v>0.81127659574468103</v>
      </c>
      <c r="L450" s="6">
        <v>0.6761817914501248</v>
      </c>
      <c r="M450" s="4" t="s">
        <v>49</v>
      </c>
      <c r="N450" s="5">
        <v>8.9962135282265571E-2</v>
      </c>
      <c r="O450" s="4">
        <v>0</v>
      </c>
    </row>
    <row r="451" spans="1:15" x14ac:dyDescent="0.3">
      <c r="A451" s="4">
        <v>150</v>
      </c>
      <c r="B451" s="4">
        <v>150000</v>
      </c>
      <c r="C451" s="4" t="s">
        <v>15</v>
      </c>
      <c r="D451" s="4" t="s">
        <v>162</v>
      </c>
      <c r="E451" s="4" t="s">
        <v>17</v>
      </c>
      <c r="F451" s="4" t="s">
        <v>18</v>
      </c>
      <c r="G451" s="5">
        <v>0.81111111111111112</v>
      </c>
      <c r="H451" s="5">
        <v>0.4</v>
      </c>
      <c r="I451" s="5">
        <v>0.05</v>
      </c>
      <c r="J451" s="6">
        <v>0.52054794520547942</v>
      </c>
      <c r="K451" s="6">
        <v>0.82842105263157884</v>
      </c>
      <c r="L451" s="6">
        <v>0.73331015289884671</v>
      </c>
      <c r="M451" s="4" t="s">
        <v>49</v>
      </c>
      <c r="N451" s="5">
        <v>8.9962135282265571E-2</v>
      </c>
      <c r="O451" s="4">
        <v>0</v>
      </c>
    </row>
    <row r="452" spans="1:15" x14ac:dyDescent="0.3">
      <c r="A452" s="4">
        <v>151</v>
      </c>
      <c r="B452" s="4">
        <v>151000</v>
      </c>
      <c r="C452" s="4" t="s">
        <v>15</v>
      </c>
      <c r="D452" s="4" t="s">
        <v>16</v>
      </c>
      <c r="E452" s="4" t="s">
        <v>17</v>
      </c>
      <c r="F452" s="4" t="s">
        <v>18</v>
      </c>
      <c r="G452" s="5">
        <v>0.1</v>
      </c>
      <c r="H452" s="5">
        <v>0.4</v>
      </c>
      <c r="I452" s="5">
        <v>0.05</v>
      </c>
      <c r="J452" s="6">
        <v>0.74647887323943662</v>
      </c>
      <c r="K452" s="6">
        <v>0.77433962264150946</v>
      </c>
      <c r="L452" s="6">
        <v>0.67782120644181731</v>
      </c>
      <c r="M452" s="4" t="s">
        <v>30</v>
      </c>
      <c r="N452" s="5">
        <v>0.1424765987688944</v>
      </c>
      <c r="O452" s="4">
        <v>0</v>
      </c>
    </row>
    <row r="453" spans="1:15" x14ac:dyDescent="0.3">
      <c r="A453" s="4">
        <v>151</v>
      </c>
      <c r="B453" s="4">
        <v>151000</v>
      </c>
      <c r="C453" s="4" t="s">
        <v>15</v>
      </c>
      <c r="D453" s="4" t="s">
        <v>161</v>
      </c>
      <c r="E453" s="4" t="s">
        <v>17</v>
      </c>
      <c r="F453" s="4" t="s">
        <v>18</v>
      </c>
      <c r="G453" s="5">
        <v>0.54444444444444451</v>
      </c>
      <c r="H453" s="5">
        <v>0.4</v>
      </c>
      <c r="I453" s="5">
        <v>0.05</v>
      </c>
      <c r="J453" s="6">
        <v>0.6619718309859155</v>
      </c>
      <c r="K453" s="6">
        <v>0.81744680851063833</v>
      </c>
      <c r="L453" s="6">
        <v>0.72368723143250469</v>
      </c>
      <c r="M453" s="4" t="s">
        <v>30</v>
      </c>
      <c r="N453" s="5">
        <v>0.1424765987688944</v>
      </c>
      <c r="O453" s="4">
        <v>0</v>
      </c>
    </row>
    <row r="454" spans="1:15" x14ac:dyDescent="0.3">
      <c r="A454" s="4">
        <v>151</v>
      </c>
      <c r="B454" s="4">
        <v>151000</v>
      </c>
      <c r="C454" s="4" t="s">
        <v>15</v>
      </c>
      <c r="D454" s="4" t="s">
        <v>162</v>
      </c>
      <c r="E454" s="4" t="s">
        <v>17</v>
      </c>
      <c r="F454" s="4" t="s">
        <v>18</v>
      </c>
      <c r="G454" s="5">
        <v>0.81111111111111112</v>
      </c>
      <c r="H454" s="5">
        <v>0.4</v>
      </c>
      <c r="I454" s="5">
        <v>0.05</v>
      </c>
      <c r="J454" s="6">
        <v>0.54929577464788737</v>
      </c>
      <c r="K454" s="6">
        <v>0.83128205128205113</v>
      </c>
      <c r="L454" s="6">
        <v>0.7419444479844608</v>
      </c>
      <c r="M454" s="4" t="s">
        <v>30</v>
      </c>
      <c r="N454" s="5">
        <v>0.1424765987688944</v>
      </c>
      <c r="O454" s="4">
        <v>0</v>
      </c>
    </row>
    <row r="455" spans="1:15" x14ac:dyDescent="0.3">
      <c r="A455" s="4">
        <v>152</v>
      </c>
      <c r="B455" s="4">
        <v>152000</v>
      </c>
      <c r="C455" s="4" t="s">
        <v>15</v>
      </c>
      <c r="D455" s="4" t="s">
        <v>16</v>
      </c>
      <c r="E455" s="4" t="s">
        <v>17</v>
      </c>
      <c r="F455" s="4" t="s">
        <v>18</v>
      </c>
      <c r="G455" s="5">
        <v>0.1</v>
      </c>
      <c r="H455" s="5">
        <v>0.4</v>
      </c>
      <c r="I455" s="5">
        <v>0.05</v>
      </c>
      <c r="J455" s="6">
        <v>0.76470588235294112</v>
      </c>
      <c r="K455" s="6">
        <v>0.79192307692307673</v>
      </c>
      <c r="L455" s="6">
        <v>0.6850275816760284</v>
      </c>
      <c r="M455" s="4" t="s">
        <v>89</v>
      </c>
      <c r="N455" s="5">
        <v>0.18939049124439081</v>
      </c>
      <c r="O455" s="4">
        <v>1</v>
      </c>
    </row>
    <row r="456" spans="1:15" x14ac:dyDescent="0.3">
      <c r="A456" s="4">
        <v>152</v>
      </c>
      <c r="B456" s="4">
        <v>152000</v>
      </c>
      <c r="C456" s="4" t="s">
        <v>15</v>
      </c>
      <c r="D456" s="4" t="s">
        <v>161</v>
      </c>
      <c r="E456" s="4" t="s">
        <v>17</v>
      </c>
      <c r="F456" s="4" t="s">
        <v>18</v>
      </c>
      <c r="G456" s="5">
        <v>0.54444444444444451</v>
      </c>
      <c r="H456" s="5">
        <v>0.60000000000000009</v>
      </c>
      <c r="I456" s="5">
        <v>0.05</v>
      </c>
      <c r="J456" s="6">
        <v>0.67647058823529416</v>
      </c>
      <c r="K456" s="6">
        <v>0.85173913043478244</v>
      </c>
      <c r="L456" s="6">
        <v>0.76336303667674865</v>
      </c>
      <c r="M456" s="4" t="s">
        <v>89</v>
      </c>
      <c r="N456" s="5">
        <v>0.18939049124439081</v>
      </c>
      <c r="O456" s="4">
        <v>1</v>
      </c>
    </row>
    <row r="457" spans="1:15" x14ac:dyDescent="0.3">
      <c r="A457" s="4">
        <v>152</v>
      </c>
      <c r="B457" s="4">
        <v>152000</v>
      </c>
      <c r="C457" s="4" t="s">
        <v>15</v>
      </c>
      <c r="D457" s="4" t="s">
        <v>162</v>
      </c>
      <c r="E457" s="4" t="s">
        <v>17</v>
      </c>
      <c r="F457" s="4" t="s">
        <v>18</v>
      </c>
      <c r="G457" s="5">
        <v>0.9</v>
      </c>
      <c r="H457" s="5">
        <v>0.60000000000000009</v>
      </c>
      <c r="I457" s="5">
        <v>0.05</v>
      </c>
      <c r="J457" s="6">
        <v>0.45588235294117652</v>
      </c>
      <c r="K457" s="6">
        <v>0.87096774193548376</v>
      </c>
      <c r="L457" s="6">
        <v>0.68692013401191276</v>
      </c>
      <c r="M457" s="4" t="s">
        <v>89</v>
      </c>
      <c r="N457" s="5">
        <v>0.18939049124439081</v>
      </c>
      <c r="O457" s="4">
        <v>1</v>
      </c>
    </row>
    <row r="458" spans="1:15" x14ac:dyDescent="0.3">
      <c r="A458" s="4">
        <v>153</v>
      </c>
      <c r="B458" s="4">
        <v>153000</v>
      </c>
      <c r="C458" s="4" t="s">
        <v>15</v>
      </c>
      <c r="D458" s="4" t="s">
        <v>16</v>
      </c>
      <c r="E458" s="4" t="s">
        <v>17</v>
      </c>
      <c r="F458" s="4" t="s">
        <v>18</v>
      </c>
      <c r="G458" s="5">
        <v>0.1</v>
      </c>
      <c r="H458" s="5">
        <v>0.4</v>
      </c>
      <c r="I458" s="5">
        <v>0.05</v>
      </c>
      <c r="J458" s="6">
        <v>0.73134328358208955</v>
      </c>
      <c r="K458" s="6">
        <v>0.78306122448979587</v>
      </c>
      <c r="L458" s="6">
        <v>0.71509203436478863</v>
      </c>
      <c r="M458" s="4" t="s">
        <v>90</v>
      </c>
      <c r="N458" s="5">
        <v>0.15758323905698399</v>
      </c>
      <c r="O458" s="4">
        <v>1</v>
      </c>
    </row>
    <row r="459" spans="1:15" x14ac:dyDescent="0.3">
      <c r="A459" s="4">
        <v>153</v>
      </c>
      <c r="B459" s="4">
        <v>153000</v>
      </c>
      <c r="C459" s="4" t="s">
        <v>15</v>
      </c>
      <c r="D459" s="4" t="s">
        <v>161</v>
      </c>
      <c r="E459" s="4" t="s">
        <v>17</v>
      </c>
      <c r="F459" s="4" t="s">
        <v>18</v>
      </c>
      <c r="G459" s="5">
        <v>0.54444444444444451</v>
      </c>
      <c r="H459" s="5">
        <v>0.60000000000000009</v>
      </c>
      <c r="I459" s="5">
        <v>0.05</v>
      </c>
      <c r="J459" s="6">
        <v>0.64179104477611937</v>
      </c>
      <c r="K459" s="6">
        <v>0.84604651162790701</v>
      </c>
      <c r="L459" s="6">
        <v>0.75027218118582617</v>
      </c>
      <c r="M459" s="4" t="s">
        <v>90</v>
      </c>
      <c r="N459" s="5">
        <v>0.15758323905698399</v>
      </c>
      <c r="O459" s="4">
        <v>1</v>
      </c>
    </row>
    <row r="460" spans="1:15" x14ac:dyDescent="0.3">
      <c r="A460" s="4">
        <v>153</v>
      </c>
      <c r="B460" s="4">
        <v>153000</v>
      </c>
      <c r="C460" s="4" t="s">
        <v>15</v>
      </c>
      <c r="D460" s="4" t="s">
        <v>162</v>
      </c>
      <c r="E460" s="4" t="s">
        <v>17</v>
      </c>
      <c r="F460" s="4" t="s">
        <v>18</v>
      </c>
      <c r="G460" s="5">
        <v>0.9</v>
      </c>
      <c r="H460" s="5">
        <v>0.60000000000000009</v>
      </c>
      <c r="I460" s="5">
        <v>0.05</v>
      </c>
      <c r="J460" s="6">
        <v>0.43283582089552242</v>
      </c>
      <c r="K460" s="6">
        <v>0.86965517241379298</v>
      </c>
      <c r="L460" s="6">
        <v>0.64148817440969697</v>
      </c>
      <c r="M460" s="4" t="s">
        <v>90</v>
      </c>
      <c r="N460" s="5">
        <v>0.15758323905698399</v>
      </c>
      <c r="O460" s="4">
        <v>1</v>
      </c>
    </row>
    <row r="461" spans="1:15" x14ac:dyDescent="0.3">
      <c r="A461" s="4">
        <v>154</v>
      </c>
      <c r="B461" s="4">
        <v>154000</v>
      </c>
      <c r="C461" s="4" t="s">
        <v>15</v>
      </c>
      <c r="D461" s="4" t="s">
        <v>16</v>
      </c>
      <c r="E461" s="4" t="s">
        <v>17</v>
      </c>
      <c r="F461" s="4" t="s">
        <v>18</v>
      </c>
      <c r="G461" s="5">
        <v>0.1</v>
      </c>
      <c r="H461" s="5">
        <v>0.4</v>
      </c>
      <c r="I461" s="5">
        <v>0.05</v>
      </c>
      <c r="J461" s="6">
        <v>0.71212121212121215</v>
      </c>
      <c r="K461" s="6">
        <v>0.80744680851063833</v>
      </c>
      <c r="L461" s="6">
        <v>0.70969245261877822</v>
      </c>
      <c r="M461" s="4" t="s">
        <v>91</v>
      </c>
      <c r="N461" s="5">
        <v>0.11915433875232211</v>
      </c>
      <c r="O461" s="4">
        <v>0</v>
      </c>
    </row>
    <row r="462" spans="1:15" x14ac:dyDescent="0.3">
      <c r="A462" s="4">
        <v>154</v>
      </c>
      <c r="B462" s="4">
        <v>154000</v>
      </c>
      <c r="C462" s="4" t="s">
        <v>15</v>
      </c>
      <c r="D462" s="4" t="s">
        <v>161</v>
      </c>
      <c r="E462" s="4" t="s">
        <v>17</v>
      </c>
      <c r="F462" s="4" t="s">
        <v>18</v>
      </c>
      <c r="G462" s="5">
        <v>0.54444444444444451</v>
      </c>
      <c r="H462" s="5">
        <v>0.60000000000000009</v>
      </c>
      <c r="I462" s="5">
        <v>0.05</v>
      </c>
      <c r="J462" s="6">
        <v>0.65151515151515149</v>
      </c>
      <c r="K462" s="6">
        <v>0.83883720930232575</v>
      </c>
      <c r="L462" s="6">
        <v>0.78298573819615402</v>
      </c>
      <c r="M462" s="4" t="s">
        <v>91</v>
      </c>
      <c r="N462" s="5">
        <v>0.11915433875232211</v>
      </c>
      <c r="O462" s="4">
        <v>0</v>
      </c>
    </row>
    <row r="463" spans="1:15" x14ac:dyDescent="0.3">
      <c r="A463" s="4">
        <v>154</v>
      </c>
      <c r="B463" s="4">
        <v>154000</v>
      </c>
      <c r="C463" s="4" t="s">
        <v>15</v>
      </c>
      <c r="D463" s="4" t="s">
        <v>162</v>
      </c>
      <c r="E463" s="4" t="s">
        <v>17</v>
      </c>
      <c r="F463" s="4" t="s">
        <v>18</v>
      </c>
      <c r="G463" s="5">
        <v>0.9</v>
      </c>
      <c r="H463" s="5">
        <v>0.60000000000000009</v>
      </c>
      <c r="I463" s="5">
        <v>0.05</v>
      </c>
      <c r="J463" s="6">
        <v>0.43939393939393939</v>
      </c>
      <c r="K463" s="6">
        <v>0.86724137931034495</v>
      </c>
      <c r="L463" s="6">
        <v>0.71453143411526732</v>
      </c>
      <c r="M463" s="4" t="s">
        <v>91</v>
      </c>
      <c r="N463" s="5">
        <v>0.11915433875232211</v>
      </c>
      <c r="O463" s="4">
        <v>0</v>
      </c>
    </row>
    <row r="464" spans="1:15" x14ac:dyDescent="0.3">
      <c r="A464" s="4">
        <v>155</v>
      </c>
      <c r="B464" s="4">
        <v>155000</v>
      </c>
      <c r="C464" s="4" t="s">
        <v>15</v>
      </c>
      <c r="D464" s="4" t="s">
        <v>16</v>
      </c>
      <c r="E464" s="4" t="s">
        <v>17</v>
      </c>
      <c r="F464" s="4" t="s">
        <v>18</v>
      </c>
      <c r="G464" s="5">
        <v>0.1</v>
      </c>
      <c r="H464" s="5">
        <v>0.4</v>
      </c>
      <c r="I464" s="5">
        <v>0.05</v>
      </c>
      <c r="J464" s="6">
        <v>0.70422535211267601</v>
      </c>
      <c r="K464" s="6">
        <v>0.77820000000000022</v>
      </c>
      <c r="L464" s="6">
        <v>0.65134573863333012</v>
      </c>
      <c r="M464" s="4" t="s">
        <v>30</v>
      </c>
      <c r="N464" s="5">
        <v>0.1419623830124776</v>
      </c>
      <c r="O464" s="4">
        <v>0</v>
      </c>
    </row>
    <row r="465" spans="1:15" x14ac:dyDescent="0.3">
      <c r="A465" s="4">
        <v>155</v>
      </c>
      <c r="B465" s="4">
        <v>155000</v>
      </c>
      <c r="C465" s="4" t="s">
        <v>15</v>
      </c>
      <c r="D465" s="4" t="s">
        <v>161</v>
      </c>
      <c r="E465" s="4" t="s">
        <v>17</v>
      </c>
      <c r="F465" s="4" t="s">
        <v>18</v>
      </c>
      <c r="G465" s="5">
        <v>0.54444444444444451</v>
      </c>
      <c r="H465" s="5">
        <v>0.60000000000000009</v>
      </c>
      <c r="I465" s="5">
        <v>0.05</v>
      </c>
      <c r="J465" s="6">
        <v>0.59154929577464788</v>
      </c>
      <c r="K465" s="6">
        <v>0.84428571428571453</v>
      </c>
      <c r="L465" s="6">
        <v>0.80732411519994174</v>
      </c>
      <c r="M465" s="4" t="s">
        <v>30</v>
      </c>
      <c r="N465" s="5">
        <v>0.1419623830124776</v>
      </c>
      <c r="O465" s="4">
        <v>0</v>
      </c>
    </row>
    <row r="466" spans="1:15" x14ac:dyDescent="0.3">
      <c r="A466" s="4">
        <v>155</v>
      </c>
      <c r="B466" s="4">
        <v>155000</v>
      </c>
      <c r="C466" s="4" t="s">
        <v>15</v>
      </c>
      <c r="D466" s="4" t="s">
        <v>162</v>
      </c>
      <c r="E466" s="4" t="s">
        <v>17</v>
      </c>
      <c r="F466" s="4" t="s">
        <v>18</v>
      </c>
      <c r="G466" s="5">
        <v>0.9</v>
      </c>
      <c r="H466" s="5">
        <v>0.60000000000000009</v>
      </c>
      <c r="I466" s="5">
        <v>0.05</v>
      </c>
      <c r="J466" s="6">
        <v>0.43661971830985907</v>
      </c>
      <c r="K466" s="6">
        <v>0.87161290322580642</v>
      </c>
      <c r="L466" s="6">
        <v>0.70507167558028971</v>
      </c>
      <c r="M466" s="4" t="s">
        <v>30</v>
      </c>
      <c r="N466" s="5">
        <v>0.1419623830124776</v>
      </c>
      <c r="O466" s="4">
        <v>0</v>
      </c>
    </row>
    <row r="467" spans="1:15" x14ac:dyDescent="0.3">
      <c r="A467" s="4">
        <v>156</v>
      </c>
      <c r="B467" s="4">
        <v>156000</v>
      </c>
      <c r="C467" s="4" t="s">
        <v>15</v>
      </c>
      <c r="D467" s="4" t="s">
        <v>16</v>
      </c>
      <c r="E467" s="4" t="s">
        <v>17</v>
      </c>
      <c r="F467" s="4" t="s">
        <v>18</v>
      </c>
      <c r="G467" s="5">
        <v>0.1</v>
      </c>
      <c r="H467" s="5">
        <v>0.4</v>
      </c>
      <c r="I467" s="5">
        <v>0.05</v>
      </c>
      <c r="J467" s="6">
        <v>0.72222222222222221</v>
      </c>
      <c r="K467" s="6">
        <v>0.77307692307692299</v>
      </c>
      <c r="L467" s="6">
        <v>0.67117109914799644</v>
      </c>
      <c r="M467" s="4" t="s">
        <v>92</v>
      </c>
      <c r="N467" s="5">
        <v>0.19198531779501901</v>
      </c>
      <c r="O467" s="4">
        <v>1</v>
      </c>
    </row>
    <row r="468" spans="1:15" x14ac:dyDescent="0.3">
      <c r="A468" s="4">
        <v>156</v>
      </c>
      <c r="B468" s="4">
        <v>156000</v>
      </c>
      <c r="C468" s="4" t="s">
        <v>15</v>
      </c>
      <c r="D468" s="4" t="s">
        <v>161</v>
      </c>
      <c r="E468" s="4" t="s">
        <v>17</v>
      </c>
      <c r="F468" s="4" t="s">
        <v>18</v>
      </c>
      <c r="G468" s="5">
        <v>0.81111111111111112</v>
      </c>
      <c r="H468" s="5">
        <v>0.4</v>
      </c>
      <c r="I468" s="5">
        <v>0.05</v>
      </c>
      <c r="J468" s="6">
        <v>0.4861111111111111</v>
      </c>
      <c r="K468" s="6">
        <v>0.84771428571428542</v>
      </c>
      <c r="L468" s="6">
        <v>0.75745301353090611</v>
      </c>
      <c r="M468" s="4" t="s">
        <v>92</v>
      </c>
      <c r="N468" s="5">
        <v>0.19198531779501901</v>
      </c>
      <c r="O468" s="4">
        <v>1</v>
      </c>
    </row>
    <row r="469" spans="1:15" x14ac:dyDescent="0.3">
      <c r="A469" s="4">
        <v>156</v>
      </c>
      <c r="B469" s="4">
        <v>156000</v>
      </c>
      <c r="C469" s="4" t="s">
        <v>15</v>
      </c>
      <c r="D469" s="4" t="s">
        <v>162</v>
      </c>
      <c r="E469" s="4" t="s">
        <v>17</v>
      </c>
      <c r="F469" s="4" t="s">
        <v>18</v>
      </c>
      <c r="G469" s="5">
        <v>0.9</v>
      </c>
      <c r="H469" s="5">
        <v>0.60000000000000009</v>
      </c>
      <c r="I469" s="5">
        <v>0.05</v>
      </c>
      <c r="J469" s="6">
        <v>0.43055555555555558</v>
      </c>
      <c r="K469" s="6">
        <v>0.87290322580645141</v>
      </c>
      <c r="L469" s="6">
        <v>0.75034117202685402</v>
      </c>
      <c r="M469" s="4" t="s">
        <v>92</v>
      </c>
      <c r="N469" s="5">
        <v>0.19198531779501901</v>
      </c>
      <c r="O469" s="4">
        <v>1</v>
      </c>
    </row>
    <row r="470" spans="1:15" x14ac:dyDescent="0.3">
      <c r="A470" s="4">
        <v>157</v>
      </c>
      <c r="B470" s="4">
        <v>157000</v>
      </c>
      <c r="C470" s="4" t="s">
        <v>15</v>
      </c>
      <c r="D470" s="4" t="s">
        <v>16</v>
      </c>
      <c r="E470" s="4" t="s">
        <v>17</v>
      </c>
      <c r="F470" s="4" t="s">
        <v>18</v>
      </c>
      <c r="G470" s="5">
        <v>0.1</v>
      </c>
      <c r="H470" s="5">
        <v>0.4</v>
      </c>
      <c r="I470" s="5">
        <v>0.05</v>
      </c>
      <c r="J470" s="6">
        <v>0.70833333333333337</v>
      </c>
      <c r="K470" s="6">
        <v>0.76901960784313728</v>
      </c>
      <c r="L470" s="6">
        <v>0.622106945572096</v>
      </c>
      <c r="M470" s="4" t="s">
        <v>60</v>
      </c>
      <c r="N470" s="5">
        <v>0.1066352119789961</v>
      </c>
      <c r="O470" s="4">
        <v>0</v>
      </c>
    </row>
    <row r="471" spans="1:15" x14ac:dyDescent="0.3">
      <c r="A471" s="4">
        <v>157</v>
      </c>
      <c r="B471" s="4">
        <v>157000</v>
      </c>
      <c r="C471" s="4" t="s">
        <v>15</v>
      </c>
      <c r="D471" s="4" t="s">
        <v>161</v>
      </c>
      <c r="E471" s="4" t="s">
        <v>17</v>
      </c>
      <c r="F471" s="4" t="s">
        <v>18</v>
      </c>
      <c r="G471" s="5">
        <v>0.81111111111111112</v>
      </c>
      <c r="H471" s="5">
        <v>0.4</v>
      </c>
      <c r="I471" s="5">
        <v>0.05</v>
      </c>
      <c r="J471" s="6">
        <v>0.52777777777777779</v>
      </c>
      <c r="K471" s="6">
        <v>0.84763157894736807</v>
      </c>
      <c r="L471" s="6">
        <v>0.69984378088030252</v>
      </c>
      <c r="M471" s="4" t="s">
        <v>60</v>
      </c>
      <c r="N471" s="5">
        <v>0.1066352119789961</v>
      </c>
      <c r="O471" s="4">
        <v>0</v>
      </c>
    </row>
    <row r="472" spans="1:15" x14ac:dyDescent="0.3">
      <c r="A472" s="4">
        <v>157</v>
      </c>
      <c r="B472" s="4">
        <v>157000</v>
      </c>
      <c r="C472" s="4" t="s">
        <v>15</v>
      </c>
      <c r="D472" s="4" t="s">
        <v>162</v>
      </c>
      <c r="E472" s="4" t="s">
        <v>17</v>
      </c>
      <c r="F472" s="4" t="s">
        <v>18</v>
      </c>
      <c r="G472" s="5">
        <v>0.9</v>
      </c>
      <c r="H472" s="5">
        <v>0.60000000000000009</v>
      </c>
      <c r="I472" s="5">
        <v>0.05</v>
      </c>
      <c r="J472" s="6">
        <v>0.44444444444444442</v>
      </c>
      <c r="K472" s="6">
        <v>0.87499999999999989</v>
      </c>
      <c r="L472" s="6">
        <v>0.73936218787202423</v>
      </c>
      <c r="M472" s="4" t="s">
        <v>60</v>
      </c>
      <c r="N472" s="5">
        <v>0.1066352119789961</v>
      </c>
      <c r="O472" s="4">
        <v>0</v>
      </c>
    </row>
    <row r="473" spans="1:15" x14ac:dyDescent="0.3">
      <c r="A473" s="4">
        <v>158</v>
      </c>
      <c r="B473" s="4">
        <v>158000</v>
      </c>
      <c r="C473" s="4" t="s">
        <v>15</v>
      </c>
      <c r="D473" s="4" t="s">
        <v>16</v>
      </c>
      <c r="E473" s="4" t="s">
        <v>17</v>
      </c>
      <c r="F473" s="4" t="s">
        <v>18</v>
      </c>
      <c r="G473" s="5">
        <v>0.1</v>
      </c>
      <c r="H473" s="5">
        <v>0.4</v>
      </c>
      <c r="I473" s="5">
        <v>0.05</v>
      </c>
      <c r="J473" s="6">
        <v>0.6901408450704225</v>
      </c>
      <c r="K473" s="6">
        <v>0.78836734693877542</v>
      </c>
      <c r="L473" s="6">
        <v>0.60784888713463492</v>
      </c>
      <c r="M473" s="4" t="s">
        <v>93</v>
      </c>
      <c r="N473" s="5">
        <v>0.1047441203561605</v>
      </c>
      <c r="O473" s="4">
        <v>0</v>
      </c>
    </row>
    <row r="474" spans="1:15" x14ac:dyDescent="0.3">
      <c r="A474" s="4">
        <v>158</v>
      </c>
      <c r="B474" s="4">
        <v>158000</v>
      </c>
      <c r="C474" s="4" t="s">
        <v>15</v>
      </c>
      <c r="D474" s="4" t="s">
        <v>161</v>
      </c>
      <c r="E474" s="4" t="s">
        <v>17</v>
      </c>
      <c r="F474" s="4" t="s">
        <v>18</v>
      </c>
      <c r="G474" s="5">
        <v>0.81111111111111112</v>
      </c>
      <c r="H474" s="5">
        <v>0.4</v>
      </c>
      <c r="I474" s="5">
        <v>0.05</v>
      </c>
      <c r="J474" s="6">
        <v>0.54929577464788737</v>
      </c>
      <c r="K474" s="6">
        <v>0.85025641025640997</v>
      </c>
      <c r="L474" s="6">
        <v>0.70307066188022194</v>
      </c>
      <c r="M474" s="4" t="s">
        <v>93</v>
      </c>
      <c r="N474" s="5">
        <v>0.1047441203561605</v>
      </c>
      <c r="O474" s="4">
        <v>0</v>
      </c>
    </row>
    <row r="475" spans="1:15" x14ac:dyDescent="0.3">
      <c r="A475" s="4">
        <v>158</v>
      </c>
      <c r="B475" s="4">
        <v>158000</v>
      </c>
      <c r="C475" s="4" t="s">
        <v>15</v>
      </c>
      <c r="D475" s="4" t="s">
        <v>162</v>
      </c>
      <c r="E475" s="4" t="s">
        <v>17</v>
      </c>
      <c r="F475" s="4" t="s">
        <v>18</v>
      </c>
      <c r="G475" s="5">
        <v>0.9</v>
      </c>
      <c r="H475" s="5">
        <v>0.60000000000000009</v>
      </c>
      <c r="I475" s="5">
        <v>0.05</v>
      </c>
      <c r="J475" s="6">
        <v>0.45070422535211269</v>
      </c>
      <c r="K475" s="6">
        <v>0.87874999999999981</v>
      </c>
      <c r="L475" s="6">
        <v>0.74055071569115327</v>
      </c>
      <c r="M475" s="4" t="s">
        <v>93</v>
      </c>
      <c r="N475" s="5">
        <v>0.1047441203561605</v>
      </c>
      <c r="O475" s="4">
        <v>0</v>
      </c>
    </row>
    <row r="476" spans="1:15" x14ac:dyDescent="0.3">
      <c r="A476" s="4">
        <v>159</v>
      </c>
      <c r="B476" s="4">
        <v>159000</v>
      </c>
      <c r="C476" s="4" t="s">
        <v>15</v>
      </c>
      <c r="D476" s="4" t="s">
        <v>16</v>
      </c>
      <c r="E476" s="4" t="s">
        <v>17</v>
      </c>
      <c r="F476" s="4" t="s">
        <v>18</v>
      </c>
      <c r="G476" s="5">
        <v>0.1</v>
      </c>
      <c r="H476" s="5">
        <v>0.4</v>
      </c>
      <c r="I476" s="5">
        <v>0.05</v>
      </c>
      <c r="J476" s="6">
        <v>0.72058823529411764</v>
      </c>
      <c r="K476" s="6">
        <v>0.77795918367346939</v>
      </c>
      <c r="L476" s="6">
        <v>0.66595082363025238</v>
      </c>
      <c r="M476" s="4" t="s">
        <v>94</v>
      </c>
      <c r="N476" s="5">
        <v>0.13479755002712679</v>
      </c>
      <c r="O476" s="4">
        <v>0</v>
      </c>
    </row>
    <row r="477" spans="1:15" x14ac:dyDescent="0.3">
      <c r="A477" s="4">
        <v>159</v>
      </c>
      <c r="B477" s="4">
        <v>159000</v>
      </c>
      <c r="C477" s="4" t="s">
        <v>15</v>
      </c>
      <c r="D477" s="4" t="s">
        <v>161</v>
      </c>
      <c r="E477" s="4" t="s">
        <v>17</v>
      </c>
      <c r="F477" s="4" t="s">
        <v>18</v>
      </c>
      <c r="G477" s="5">
        <v>0.81111111111111112</v>
      </c>
      <c r="H477" s="5">
        <v>0.4</v>
      </c>
      <c r="I477" s="5">
        <v>0.05</v>
      </c>
      <c r="J477" s="6">
        <v>0.54411764705882348</v>
      </c>
      <c r="K477" s="6">
        <v>0.82891891891891878</v>
      </c>
      <c r="L477" s="6">
        <v>0.65698148006611057</v>
      </c>
      <c r="M477" s="4" t="s">
        <v>94</v>
      </c>
      <c r="N477" s="5">
        <v>0.13479755002712679</v>
      </c>
      <c r="O477" s="4">
        <v>0</v>
      </c>
    </row>
    <row r="478" spans="1:15" x14ac:dyDescent="0.3">
      <c r="A478" s="4">
        <v>159</v>
      </c>
      <c r="B478" s="4">
        <v>159000</v>
      </c>
      <c r="C478" s="4" t="s">
        <v>15</v>
      </c>
      <c r="D478" s="4" t="s">
        <v>162</v>
      </c>
      <c r="E478" s="4" t="s">
        <v>17</v>
      </c>
      <c r="F478" s="4" t="s">
        <v>18</v>
      </c>
      <c r="G478" s="5">
        <v>0.9</v>
      </c>
      <c r="H478" s="5">
        <v>0.60000000000000009</v>
      </c>
      <c r="I478" s="5">
        <v>0.05</v>
      </c>
      <c r="J478" s="6">
        <v>0.48529411764705882</v>
      </c>
      <c r="K478" s="6">
        <v>0.87757575757575745</v>
      </c>
      <c r="L478" s="6">
        <v>0.68928825975794683</v>
      </c>
      <c r="M478" s="4" t="s">
        <v>94</v>
      </c>
      <c r="N478" s="5">
        <v>0.13479755002712679</v>
      </c>
      <c r="O478" s="4">
        <v>0</v>
      </c>
    </row>
    <row r="479" spans="1:15" x14ac:dyDescent="0.3">
      <c r="A479" s="4">
        <v>160</v>
      </c>
      <c r="B479" s="4">
        <v>160000</v>
      </c>
      <c r="C479" s="4" t="s">
        <v>15</v>
      </c>
      <c r="D479" s="4" t="s">
        <v>16</v>
      </c>
      <c r="E479" s="4" t="s">
        <v>17</v>
      </c>
      <c r="F479" s="4" t="s">
        <v>18</v>
      </c>
      <c r="G479" s="5">
        <v>0.1</v>
      </c>
      <c r="H479" s="5">
        <v>0.4</v>
      </c>
      <c r="I479" s="5">
        <v>0.05</v>
      </c>
      <c r="J479" s="6">
        <v>0.70588235294117652</v>
      </c>
      <c r="K479" s="6">
        <v>0.77104166666666696</v>
      </c>
      <c r="L479" s="6">
        <v>0.64318474988229346</v>
      </c>
      <c r="M479" s="4" t="s">
        <v>95</v>
      </c>
      <c r="N479" s="5">
        <v>0.2406709480708816</v>
      </c>
      <c r="O479" s="4">
        <v>1</v>
      </c>
    </row>
    <row r="480" spans="1:15" x14ac:dyDescent="0.3">
      <c r="A480" s="4">
        <v>160</v>
      </c>
      <c r="B480" s="4">
        <v>160000</v>
      </c>
      <c r="C480" s="4" t="s">
        <v>15</v>
      </c>
      <c r="D480" s="4" t="s">
        <v>161</v>
      </c>
      <c r="E480" s="4" t="s">
        <v>17</v>
      </c>
      <c r="F480" s="4" t="s">
        <v>18</v>
      </c>
      <c r="G480" s="5">
        <v>0.54444444444444451</v>
      </c>
      <c r="H480" s="5">
        <v>0.60000000000000009</v>
      </c>
      <c r="I480" s="5">
        <v>0.05</v>
      </c>
      <c r="J480" s="6">
        <v>0.6029411764705882</v>
      </c>
      <c r="K480" s="6">
        <v>0.84414634146341483</v>
      </c>
      <c r="L480" s="6">
        <v>0.75553438072292545</v>
      </c>
      <c r="M480" s="4" t="s">
        <v>95</v>
      </c>
      <c r="N480" s="5">
        <v>0.2406709480708816</v>
      </c>
      <c r="O480" s="4">
        <v>1</v>
      </c>
    </row>
    <row r="481" spans="1:15" x14ac:dyDescent="0.3">
      <c r="A481" s="4">
        <v>160</v>
      </c>
      <c r="B481" s="4">
        <v>160000</v>
      </c>
      <c r="C481" s="4" t="s">
        <v>15</v>
      </c>
      <c r="D481" s="4" t="s">
        <v>162</v>
      </c>
      <c r="E481" s="4" t="s">
        <v>17</v>
      </c>
      <c r="F481" s="4" t="s">
        <v>18</v>
      </c>
      <c r="G481" s="5">
        <v>0.9</v>
      </c>
      <c r="H481" s="5">
        <v>0.60000000000000009</v>
      </c>
      <c r="I481" s="5">
        <v>0.05</v>
      </c>
      <c r="J481" s="6">
        <v>0.44117647058823528</v>
      </c>
      <c r="K481" s="6">
        <v>0.8650000000000001</v>
      </c>
      <c r="L481" s="6">
        <v>0.62504095337639276</v>
      </c>
      <c r="M481" s="4" t="s">
        <v>95</v>
      </c>
      <c r="N481" s="5">
        <v>0.2406709480708816</v>
      </c>
      <c r="O481" s="4">
        <v>1</v>
      </c>
    </row>
    <row r="482" spans="1:15" x14ac:dyDescent="0.3">
      <c r="A482" s="4">
        <v>161</v>
      </c>
      <c r="B482" s="4">
        <v>161000</v>
      </c>
      <c r="C482" s="4" t="s">
        <v>15</v>
      </c>
      <c r="D482" s="4" t="s">
        <v>16</v>
      </c>
      <c r="E482" s="4" t="s">
        <v>17</v>
      </c>
      <c r="F482" s="4" t="s">
        <v>18</v>
      </c>
      <c r="G482" s="5">
        <v>0.1</v>
      </c>
      <c r="H482" s="5">
        <v>0.4</v>
      </c>
      <c r="I482" s="5">
        <v>0.05</v>
      </c>
      <c r="J482" s="6">
        <v>0.765625</v>
      </c>
      <c r="K482" s="6">
        <v>0.74346938775510207</v>
      </c>
      <c r="L482" s="6">
        <v>0.62516785885890824</v>
      </c>
      <c r="M482" s="4" t="s">
        <v>96</v>
      </c>
      <c r="N482" s="5">
        <v>0.15014498189799441</v>
      </c>
      <c r="O482" s="4">
        <v>1</v>
      </c>
    </row>
    <row r="483" spans="1:15" x14ac:dyDescent="0.3">
      <c r="A483" s="4">
        <v>161</v>
      </c>
      <c r="B483" s="4">
        <v>161000</v>
      </c>
      <c r="C483" s="4" t="s">
        <v>15</v>
      </c>
      <c r="D483" s="4" t="s">
        <v>161</v>
      </c>
      <c r="E483" s="4" t="s">
        <v>17</v>
      </c>
      <c r="F483" s="4" t="s">
        <v>18</v>
      </c>
      <c r="G483" s="5">
        <v>0.72222222222222221</v>
      </c>
      <c r="H483" s="5">
        <v>0.8</v>
      </c>
      <c r="I483" s="5">
        <v>0.05</v>
      </c>
      <c r="J483" s="6">
        <v>0.546875</v>
      </c>
      <c r="K483" s="6">
        <v>0.86657142857142855</v>
      </c>
      <c r="L483" s="6">
        <v>0.74734018133589053</v>
      </c>
      <c r="M483" s="4" t="s">
        <v>96</v>
      </c>
      <c r="N483" s="5">
        <v>0.15014498189799441</v>
      </c>
      <c r="O483" s="4">
        <v>1</v>
      </c>
    </row>
    <row r="484" spans="1:15" x14ac:dyDescent="0.3">
      <c r="A484" s="4">
        <v>161</v>
      </c>
      <c r="B484" s="4">
        <v>161000</v>
      </c>
      <c r="C484" s="4" t="s">
        <v>15</v>
      </c>
      <c r="D484" s="4" t="s">
        <v>162</v>
      </c>
      <c r="E484" s="4" t="s">
        <v>17</v>
      </c>
      <c r="F484" s="4" t="s">
        <v>18</v>
      </c>
      <c r="G484" s="5">
        <v>0.9</v>
      </c>
      <c r="H484" s="5">
        <v>0.8</v>
      </c>
      <c r="I484" s="5">
        <v>0.05</v>
      </c>
      <c r="J484" s="6">
        <v>0.375</v>
      </c>
      <c r="K484" s="6">
        <v>0.88</v>
      </c>
      <c r="L484" s="6">
        <v>0.66916023338159014</v>
      </c>
      <c r="M484" s="4" t="s">
        <v>96</v>
      </c>
      <c r="N484" s="5">
        <v>0.15014498189799441</v>
      </c>
      <c r="O484" s="4">
        <v>1</v>
      </c>
    </row>
    <row r="485" spans="1:15" x14ac:dyDescent="0.3">
      <c r="A485" s="4">
        <v>162</v>
      </c>
      <c r="B485" s="4">
        <v>162000</v>
      </c>
      <c r="C485" s="4" t="s">
        <v>15</v>
      </c>
      <c r="D485" s="4" t="s">
        <v>16</v>
      </c>
      <c r="E485" s="4" t="s">
        <v>17</v>
      </c>
      <c r="F485" s="4" t="s">
        <v>18</v>
      </c>
      <c r="G485" s="5">
        <v>0.1</v>
      </c>
      <c r="H485" s="5">
        <v>0.4</v>
      </c>
      <c r="I485" s="5">
        <v>0.05</v>
      </c>
      <c r="J485" s="6">
        <v>0.7</v>
      </c>
      <c r="K485" s="6">
        <v>0.73346938775510195</v>
      </c>
      <c r="L485" s="6">
        <v>0.66749099275052881</v>
      </c>
      <c r="M485" s="4" t="s">
        <v>19</v>
      </c>
      <c r="N485" s="5">
        <v>1</v>
      </c>
      <c r="O485" s="4">
        <v>1</v>
      </c>
    </row>
    <row r="486" spans="1:15" x14ac:dyDescent="0.3">
      <c r="A486" s="4">
        <v>162</v>
      </c>
      <c r="B486" s="4">
        <v>162000</v>
      </c>
      <c r="C486" s="4" t="s">
        <v>15</v>
      </c>
      <c r="D486" s="4" t="s">
        <v>161</v>
      </c>
      <c r="E486" s="4" t="s">
        <v>17</v>
      </c>
      <c r="F486" s="4" t="s">
        <v>18</v>
      </c>
      <c r="G486" s="5">
        <v>0.81111111111111112</v>
      </c>
      <c r="H486" s="5">
        <v>0.8</v>
      </c>
      <c r="I486" s="5">
        <v>0.05</v>
      </c>
      <c r="J486" s="6">
        <v>0.45714285714285707</v>
      </c>
      <c r="K486" s="6">
        <v>0.84843749999999984</v>
      </c>
      <c r="L486" s="6">
        <v>0.7501793474630547</v>
      </c>
      <c r="M486" s="4" t="s">
        <v>19</v>
      </c>
      <c r="N486" s="5">
        <v>1</v>
      </c>
      <c r="O486" s="4">
        <v>1</v>
      </c>
    </row>
    <row r="487" spans="1:15" x14ac:dyDescent="0.3">
      <c r="A487" s="4">
        <v>162</v>
      </c>
      <c r="B487" s="4">
        <v>162000</v>
      </c>
      <c r="C487" s="4" t="s">
        <v>15</v>
      </c>
      <c r="D487" s="4" t="s">
        <v>162</v>
      </c>
      <c r="E487" s="4" t="s">
        <v>17</v>
      </c>
      <c r="F487" s="4" t="s">
        <v>18</v>
      </c>
      <c r="G487" s="5">
        <v>0.81111111111111112</v>
      </c>
      <c r="H487" s="5">
        <v>0.8</v>
      </c>
      <c r="I487" s="5">
        <v>0.05</v>
      </c>
      <c r="J487" s="6">
        <v>0.45714285714285707</v>
      </c>
      <c r="K487" s="6">
        <v>0.84843749999999984</v>
      </c>
      <c r="L487" s="6">
        <v>0.7501793474630547</v>
      </c>
      <c r="M487" s="4" t="s">
        <v>19</v>
      </c>
      <c r="N487" s="5">
        <v>1</v>
      </c>
      <c r="O487" s="4">
        <v>1</v>
      </c>
    </row>
    <row r="488" spans="1:15" x14ac:dyDescent="0.3">
      <c r="A488" s="4">
        <v>163</v>
      </c>
      <c r="B488" s="4">
        <v>163000</v>
      </c>
      <c r="C488" s="4" t="s">
        <v>15</v>
      </c>
      <c r="D488" s="4" t="s">
        <v>16</v>
      </c>
      <c r="E488" s="4" t="s">
        <v>17</v>
      </c>
      <c r="F488" s="4" t="s">
        <v>18</v>
      </c>
      <c r="G488" s="5">
        <v>0.1</v>
      </c>
      <c r="H488" s="5">
        <v>0.4</v>
      </c>
      <c r="I488" s="5">
        <v>0.05</v>
      </c>
      <c r="J488" s="6">
        <v>0.60869565217391308</v>
      </c>
      <c r="K488" s="6">
        <v>0.77238095238095228</v>
      </c>
      <c r="L488" s="6">
        <v>0.65158631992302418</v>
      </c>
      <c r="M488" s="4" t="s">
        <v>19</v>
      </c>
      <c r="N488" s="5">
        <v>1</v>
      </c>
      <c r="O488" s="4">
        <v>1</v>
      </c>
    </row>
    <row r="489" spans="1:15" x14ac:dyDescent="0.3">
      <c r="A489" s="4">
        <v>163</v>
      </c>
      <c r="B489" s="4">
        <v>163000</v>
      </c>
      <c r="C489" s="4" t="s">
        <v>15</v>
      </c>
      <c r="D489" s="4" t="s">
        <v>162</v>
      </c>
      <c r="E489" s="4" t="s">
        <v>17</v>
      </c>
      <c r="F489" s="4" t="s">
        <v>18</v>
      </c>
      <c r="G489" s="5">
        <v>0.81111111111111112</v>
      </c>
      <c r="H489" s="5">
        <v>0.8</v>
      </c>
      <c r="I489" s="5">
        <v>0.05</v>
      </c>
      <c r="J489" s="6">
        <v>0.47826086956521741</v>
      </c>
      <c r="K489" s="6">
        <v>0.8600000000000001</v>
      </c>
      <c r="L489" s="6">
        <v>0.70013577306749797</v>
      </c>
      <c r="M489" s="4" t="s">
        <v>19</v>
      </c>
      <c r="N489" s="5">
        <v>1</v>
      </c>
      <c r="O489" s="4">
        <v>1</v>
      </c>
    </row>
    <row r="490" spans="1:15" x14ac:dyDescent="0.3">
      <c r="A490" s="4">
        <v>163</v>
      </c>
      <c r="B490" s="4">
        <v>163000</v>
      </c>
      <c r="C490" s="4" t="s">
        <v>15</v>
      </c>
      <c r="D490" s="4" t="s">
        <v>161</v>
      </c>
      <c r="E490" s="4" t="s">
        <v>17</v>
      </c>
      <c r="F490" s="4" t="s">
        <v>18</v>
      </c>
      <c r="G490" s="5">
        <v>0.9</v>
      </c>
      <c r="H490" s="5">
        <v>0.8</v>
      </c>
      <c r="I490" s="5">
        <v>0.05</v>
      </c>
      <c r="J490" s="6">
        <v>0.39130434782608697</v>
      </c>
      <c r="K490" s="6">
        <v>0.85777777777777775</v>
      </c>
      <c r="L490" s="6">
        <v>0.73124179563929537</v>
      </c>
      <c r="M490" s="4" t="s">
        <v>19</v>
      </c>
      <c r="N490" s="5">
        <v>1</v>
      </c>
      <c r="O490" s="4">
        <v>1</v>
      </c>
    </row>
    <row r="491" spans="1:15" x14ac:dyDescent="0.3">
      <c r="A491" s="4">
        <v>164</v>
      </c>
      <c r="B491" s="4">
        <v>164000</v>
      </c>
      <c r="C491" s="4" t="s">
        <v>15</v>
      </c>
      <c r="D491" s="4" t="s">
        <v>16</v>
      </c>
      <c r="E491" s="4" t="s">
        <v>17</v>
      </c>
      <c r="F491" s="4" t="s">
        <v>18</v>
      </c>
      <c r="G491" s="5">
        <v>0.1</v>
      </c>
      <c r="H491" s="5">
        <v>0.4</v>
      </c>
      <c r="I491" s="5">
        <v>0.05</v>
      </c>
      <c r="J491" s="6">
        <v>0.63157894736842102</v>
      </c>
      <c r="K491" s="6">
        <v>0.77375000000000005</v>
      </c>
      <c r="L491" s="6">
        <v>0.62821373387596524</v>
      </c>
      <c r="M491" s="4" t="s">
        <v>19</v>
      </c>
      <c r="N491" s="5">
        <v>1</v>
      </c>
      <c r="O491" s="4">
        <v>1</v>
      </c>
    </row>
    <row r="492" spans="1:15" x14ac:dyDescent="0.3">
      <c r="A492" s="4">
        <v>164</v>
      </c>
      <c r="B492" s="4">
        <v>164000</v>
      </c>
      <c r="C492" s="4" t="s">
        <v>15</v>
      </c>
      <c r="D492" s="4" t="s">
        <v>161</v>
      </c>
      <c r="E492" s="4" t="s">
        <v>17</v>
      </c>
      <c r="F492" s="4" t="s">
        <v>18</v>
      </c>
      <c r="G492" s="5">
        <v>0.54444444444444451</v>
      </c>
      <c r="H492" s="5">
        <v>0.4</v>
      </c>
      <c r="I492" s="5">
        <v>0.05</v>
      </c>
      <c r="J492" s="6">
        <v>0.55263157894736847</v>
      </c>
      <c r="K492" s="6">
        <v>0.81880952380952388</v>
      </c>
      <c r="L492" s="6">
        <v>0.67653786725103948</v>
      </c>
      <c r="M492" s="4" t="s">
        <v>19</v>
      </c>
      <c r="N492" s="5">
        <v>1</v>
      </c>
      <c r="O492" s="4">
        <v>1</v>
      </c>
    </row>
    <row r="493" spans="1:15" x14ac:dyDescent="0.3">
      <c r="A493" s="4">
        <v>164</v>
      </c>
      <c r="B493" s="4">
        <v>164000</v>
      </c>
      <c r="C493" s="4" t="s">
        <v>15</v>
      </c>
      <c r="D493" s="4" t="s">
        <v>162</v>
      </c>
      <c r="E493" s="4" t="s">
        <v>17</v>
      </c>
      <c r="F493" s="4" t="s">
        <v>18</v>
      </c>
      <c r="G493" s="5">
        <v>0.81111111111111112</v>
      </c>
      <c r="H493" s="5">
        <v>0.4</v>
      </c>
      <c r="I493" s="5">
        <v>0.05</v>
      </c>
      <c r="J493" s="6">
        <v>0.44736842105263158</v>
      </c>
      <c r="K493" s="6">
        <v>0.84617647058823497</v>
      </c>
      <c r="L493" s="6">
        <v>0.66692264621092134</v>
      </c>
      <c r="M493" s="4" t="s">
        <v>19</v>
      </c>
      <c r="N493" s="5">
        <v>1</v>
      </c>
      <c r="O493" s="4">
        <v>1</v>
      </c>
    </row>
    <row r="494" spans="1:15" x14ac:dyDescent="0.3">
      <c r="A494" s="4">
        <v>165</v>
      </c>
      <c r="B494" s="4">
        <v>165000</v>
      </c>
      <c r="C494" s="4" t="s">
        <v>15</v>
      </c>
      <c r="D494" s="4" t="s">
        <v>16</v>
      </c>
      <c r="E494" s="4" t="s">
        <v>17</v>
      </c>
      <c r="F494" s="4" t="s">
        <v>18</v>
      </c>
      <c r="G494" s="5">
        <v>0.1</v>
      </c>
      <c r="H494" s="5">
        <v>0.4</v>
      </c>
      <c r="I494" s="5">
        <v>0.05</v>
      </c>
      <c r="J494" s="6">
        <v>0.62337662337662336</v>
      </c>
      <c r="K494" s="6">
        <v>0.75666666666666671</v>
      </c>
      <c r="L494" s="6">
        <v>0.64206877972961796</v>
      </c>
      <c r="M494" s="4" t="s">
        <v>97</v>
      </c>
      <c r="N494" s="5">
        <v>8.6426060583563363E-2</v>
      </c>
      <c r="O494" s="4">
        <v>0</v>
      </c>
    </row>
    <row r="495" spans="1:15" x14ac:dyDescent="0.3">
      <c r="A495" s="4">
        <v>165</v>
      </c>
      <c r="B495" s="4">
        <v>165000</v>
      </c>
      <c r="C495" s="4" t="s">
        <v>15</v>
      </c>
      <c r="D495" s="4" t="s">
        <v>161</v>
      </c>
      <c r="E495" s="4" t="s">
        <v>17</v>
      </c>
      <c r="F495" s="4" t="s">
        <v>18</v>
      </c>
      <c r="G495" s="5">
        <v>0.54444444444444451</v>
      </c>
      <c r="H495" s="5">
        <v>0.4</v>
      </c>
      <c r="I495" s="5">
        <v>0.05</v>
      </c>
      <c r="J495" s="6">
        <v>0.51948051948051943</v>
      </c>
      <c r="K495" s="6">
        <v>0.81749999999999967</v>
      </c>
      <c r="L495" s="6">
        <v>0.71901320034010563</v>
      </c>
      <c r="M495" s="4" t="s">
        <v>97</v>
      </c>
      <c r="N495" s="5">
        <v>8.6426060583563363E-2</v>
      </c>
      <c r="O495" s="4">
        <v>0</v>
      </c>
    </row>
    <row r="496" spans="1:15" x14ac:dyDescent="0.3">
      <c r="A496" s="4">
        <v>165</v>
      </c>
      <c r="B496" s="4">
        <v>165000</v>
      </c>
      <c r="C496" s="4" t="s">
        <v>15</v>
      </c>
      <c r="D496" s="4" t="s">
        <v>162</v>
      </c>
      <c r="E496" s="4" t="s">
        <v>17</v>
      </c>
      <c r="F496" s="4" t="s">
        <v>18</v>
      </c>
      <c r="G496" s="5">
        <v>0.81111111111111112</v>
      </c>
      <c r="H496" s="5">
        <v>0.4</v>
      </c>
      <c r="I496" s="5">
        <v>0.05</v>
      </c>
      <c r="J496" s="6">
        <v>0.44155844155844148</v>
      </c>
      <c r="K496" s="6">
        <v>0.83558823529411741</v>
      </c>
      <c r="L496" s="6">
        <v>0.67876304732926485</v>
      </c>
      <c r="M496" s="4" t="s">
        <v>97</v>
      </c>
      <c r="N496" s="5">
        <v>8.6426060583563363E-2</v>
      </c>
      <c r="O496" s="4">
        <v>0</v>
      </c>
    </row>
    <row r="497" spans="1:15" x14ac:dyDescent="0.3">
      <c r="A497" s="4">
        <v>166</v>
      </c>
      <c r="B497" s="4">
        <v>166000</v>
      </c>
      <c r="C497" s="4" t="s">
        <v>15</v>
      </c>
      <c r="D497" s="4" t="s">
        <v>16</v>
      </c>
      <c r="E497" s="4" t="s">
        <v>17</v>
      </c>
      <c r="F497" s="4" t="s">
        <v>18</v>
      </c>
      <c r="G497" s="5">
        <v>0.1</v>
      </c>
      <c r="H497" s="5">
        <v>0.4</v>
      </c>
      <c r="I497" s="5">
        <v>0.05</v>
      </c>
      <c r="J497" s="6">
        <v>0.68571428571428572</v>
      </c>
      <c r="K497" s="6">
        <v>0.78666666666666663</v>
      </c>
      <c r="L497" s="6">
        <v>0.58472955677306904</v>
      </c>
      <c r="M497" s="4" t="s">
        <v>98</v>
      </c>
      <c r="N497" s="5">
        <v>0.12979456376795481</v>
      </c>
      <c r="O497" s="4">
        <v>0</v>
      </c>
    </row>
    <row r="498" spans="1:15" x14ac:dyDescent="0.3">
      <c r="A498" s="4">
        <v>166</v>
      </c>
      <c r="B498" s="4">
        <v>166000</v>
      </c>
      <c r="C498" s="4" t="s">
        <v>15</v>
      </c>
      <c r="D498" s="4" t="s">
        <v>161</v>
      </c>
      <c r="E498" s="4" t="s">
        <v>17</v>
      </c>
      <c r="F498" s="4" t="s">
        <v>18</v>
      </c>
      <c r="G498" s="5">
        <v>0.54444444444444451</v>
      </c>
      <c r="H498" s="5">
        <v>0.4</v>
      </c>
      <c r="I498" s="5">
        <v>0.05</v>
      </c>
      <c r="J498" s="6">
        <v>0.62857142857142856</v>
      </c>
      <c r="K498" s="6">
        <v>0.81386363636363646</v>
      </c>
      <c r="L498" s="6">
        <v>0.65252771242068708</v>
      </c>
      <c r="M498" s="4" t="s">
        <v>98</v>
      </c>
      <c r="N498" s="5">
        <v>0.12979456376795481</v>
      </c>
      <c r="O498" s="4">
        <v>0</v>
      </c>
    </row>
    <row r="499" spans="1:15" x14ac:dyDescent="0.3">
      <c r="A499" s="4">
        <v>166</v>
      </c>
      <c r="B499" s="4">
        <v>166000</v>
      </c>
      <c r="C499" s="4" t="s">
        <v>15</v>
      </c>
      <c r="D499" s="4" t="s">
        <v>162</v>
      </c>
      <c r="E499" s="4" t="s">
        <v>17</v>
      </c>
      <c r="F499" s="4" t="s">
        <v>18</v>
      </c>
      <c r="G499" s="5">
        <v>0.81111111111111112</v>
      </c>
      <c r="H499" s="5">
        <v>0.4</v>
      </c>
      <c r="I499" s="5">
        <v>0.05</v>
      </c>
      <c r="J499" s="6">
        <v>0.51428571428571423</v>
      </c>
      <c r="K499" s="6">
        <v>0.83888888888888868</v>
      </c>
      <c r="L499" s="6">
        <v>0.69758688872588848</v>
      </c>
      <c r="M499" s="4" t="s">
        <v>98</v>
      </c>
      <c r="N499" s="5">
        <v>0.12979456376795481</v>
      </c>
      <c r="O499" s="4">
        <v>0</v>
      </c>
    </row>
    <row r="500" spans="1:15" x14ac:dyDescent="0.3">
      <c r="A500" s="4">
        <v>167</v>
      </c>
      <c r="B500" s="4">
        <v>167000</v>
      </c>
      <c r="C500" s="4" t="s">
        <v>15</v>
      </c>
      <c r="D500" s="4" t="s">
        <v>16</v>
      </c>
      <c r="E500" s="4" t="s">
        <v>17</v>
      </c>
      <c r="F500" s="4" t="s">
        <v>18</v>
      </c>
      <c r="G500" s="5">
        <v>0.1</v>
      </c>
      <c r="H500" s="5">
        <v>0.4</v>
      </c>
      <c r="I500" s="5">
        <v>0.05</v>
      </c>
      <c r="J500" s="6">
        <v>0.71641791044776115</v>
      </c>
      <c r="K500" s="6">
        <v>0.77500000000000002</v>
      </c>
      <c r="L500" s="6">
        <v>0.65376696033838722</v>
      </c>
      <c r="M500" s="4" t="s">
        <v>38</v>
      </c>
      <c r="N500" s="5">
        <v>0.16686300573888849</v>
      </c>
      <c r="O500" s="4">
        <v>1</v>
      </c>
    </row>
    <row r="501" spans="1:15" x14ac:dyDescent="0.3">
      <c r="A501" s="4">
        <v>167</v>
      </c>
      <c r="B501" s="4">
        <v>167000</v>
      </c>
      <c r="C501" s="4" t="s">
        <v>15</v>
      </c>
      <c r="D501" s="4" t="s">
        <v>161</v>
      </c>
      <c r="E501" s="4" t="s">
        <v>17</v>
      </c>
      <c r="F501" s="4" t="s">
        <v>18</v>
      </c>
      <c r="G501" s="5">
        <v>0.72222222222222221</v>
      </c>
      <c r="H501" s="5">
        <v>0.4</v>
      </c>
      <c r="I501" s="5">
        <v>0.05</v>
      </c>
      <c r="J501" s="6">
        <v>0.58208955223880599</v>
      </c>
      <c r="K501" s="6">
        <v>0.81230769230769206</v>
      </c>
      <c r="L501" s="6">
        <v>0.7268991295593954</v>
      </c>
      <c r="M501" s="4" t="s">
        <v>38</v>
      </c>
      <c r="N501" s="5">
        <v>0.16686300573888849</v>
      </c>
      <c r="O501" s="4">
        <v>1</v>
      </c>
    </row>
    <row r="502" spans="1:15" x14ac:dyDescent="0.3">
      <c r="A502" s="4">
        <v>167</v>
      </c>
      <c r="B502" s="4">
        <v>167000</v>
      </c>
      <c r="C502" s="4" t="s">
        <v>15</v>
      </c>
      <c r="D502" s="4" t="s">
        <v>162</v>
      </c>
      <c r="E502" s="4" t="s">
        <v>17</v>
      </c>
      <c r="F502" s="4" t="s">
        <v>18</v>
      </c>
      <c r="G502" s="5">
        <v>0.81111111111111112</v>
      </c>
      <c r="H502" s="5">
        <v>0.60000000000000009</v>
      </c>
      <c r="I502" s="5">
        <v>0.05</v>
      </c>
      <c r="J502" s="6">
        <v>0.5074626865671642</v>
      </c>
      <c r="K502" s="6">
        <v>0.8408823529411763</v>
      </c>
      <c r="L502" s="6">
        <v>0.66662501097375981</v>
      </c>
      <c r="M502" s="4" t="s">
        <v>38</v>
      </c>
      <c r="N502" s="5">
        <v>0.16686300573888849</v>
      </c>
      <c r="O502" s="4">
        <v>1</v>
      </c>
    </row>
    <row r="503" spans="1:15" x14ac:dyDescent="0.3">
      <c r="A503" s="4">
        <v>168</v>
      </c>
      <c r="B503" s="4">
        <v>168000</v>
      </c>
      <c r="C503" s="4" t="s">
        <v>15</v>
      </c>
      <c r="D503" s="4" t="s">
        <v>16</v>
      </c>
      <c r="E503" s="4" t="s">
        <v>17</v>
      </c>
      <c r="F503" s="4" t="s">
        <v>18</v>
      </c>
      <c r="G503" s="5">
        <v>0.1</v>
      </c>
      <c r="H503" s="5">
        <v>0.4</v>
      </c>
      <c r="I503" s="5">
        <v>0.05</v>
      </c>
      <c r="J503" s="6">
        <v>0.70149253731343286</v>
      </c>
      <c r="K503" s="6">
        <v>0.77617021276595743</v>
      </c>
      <c r="L503" s="6">
        <v>0.66522036979029719</v>
      </c>
      <c r="M503" s="4" t="s">
        <v>99</v>
      </c>
      <c r="N503" s="5">
        <v>0.1030177204502966</v>
      </c>
      <c r="O503" s="4">
        <v>0</v>
      </c>
    </row>
    <row r="504" spans="1:15" x14ac:dyDescent="0.3">
      <c r="A504" s="4">
        <v>168</v>
      </c>
      <c r="B504" s="4">
        <v>168000</v>
      </c>
      <c r="C504" s="4" t="s">
        <v>15</v>
      </c>
      <c r="D504" s="4" t="s">
        <v>161</v>
      </c>
      <c r="E504" s="4" t="s">
        <v>17</v>
      </c>
      <c r="F504" s="4" t="s">
        <v>18</v>
      </c>
      <c r="G504" s="5">
        <v>0.72222222222222221</v>
      </c>
      <c r="H504" s="5">
        <v>0.4</v>
      </c>
      <c r="I504" s="5">
        <v>0.05</v>
      </c>
      <c r="J504" s="6">
        <v>0.59701492537313428</v>
      </c>
      <c r="K504" s="6">
        <v>0.8145</v>
      </c>
      <c r="L504" s="6">
        <v>0.73574810091169474</v>
      </c>
      <c r="M504" s="4" t="s">
        <v>99</v>
      </c>
      <c r="N504" s="5">
        <v>0.1030177204502966</v>
      </c>
      <c r="O504" s="4">
        <v>0</v>
      </c>
    </row>
    <row r="505" spans="1:15" x14ac:dyDescent="0.3">
      <c r="A505" s="4">
        <v>168</v>
      </c>
      <c r="B505" s="4">
        <v>168000</v>
      </c>
      <c r="C505" s="4" t="s">
        <v>15</v>
      </c>
      <c r="D505" s="4" t="s">
        <v>162</v>
      </c>
      <c r="E505" s="4" t="s">
        <v>17</v>
      </c>
      <c r="F505" s="4" t="s">
        <v>18</v>
      </c>
      <c r="G505" s="5">
        <v>0.81111111111111112</v>
      </c>
      <c r="H505" s="5">
        <v>0.60000000000000009</v>
      </c>
      <c r="I505" s="5">
        <v>0.05</v>
      </c>
      <c r="J505" s="6">
        <v>0.53731343283582089</v>
      </c>
      <c r="K505" s="6">
        <v>0.8194444444444442</v>
      </c>
      <c r="L505" s="6">
        <v>0.70113846183477446</v>
      </c>
      <c r="M505" s="4" t="s">
        <v>99</v>
      </c>
      <c r="N505" s="5">
        <v>0.1030177204502966</v>
      </c>
      <c r="O505" s="4">
        <v>0</v>
      </c>
    </row>
    <row r="506" spans="1:15" x14ac:dyDescent="0.3">
      <c r="A506" s="4">
        <v>169</v>
      </c>
      <c r="B506" s="4">
        <v>169000</v>
      </c>
      <c r="C506" s="4" t="s">
        <v>15</v>
      </c>
      <c r="D506" s="4" t="s">
        <v>16</v>
      </c>
      <c r="E506" s="4" t="s">
        <v>17</v>
      </c>
      <c r="F506" s="4" t="s">
        <v>18</v>
      </c>
      <c r="G506" s="5">
        <v>0.1</v>
      </c>
      <c r="H506" s="5">
        <v>0.4</v>
      </c>
      <c r="I506" s="5">
        <v>0.05</v>
      </c>
      <c r="J506" s="6">
        <v>0.77419354838709675</v>
      </c>
      <c r="K506" s="6">
        <v>0.77500000000000002</v>
      </c>
      <c r="L506" s="6">
        <v>0.6457017508002717</v>
      </c>
      <c r="M506" s="4" t="s">
        <v>19</v>
      </c>
      <c r="N506" s="5">
        <v>1</v>
      </c>
      <c r="O506" s="4">
        <v>1</v>
      </c>
    </row>
    <row r="507" spans="1:15" x14ac:dyDescent="0.3">
      <c r="A507" s="4">
        <v>169</v>
      </c>
      <c r="B507" s="4">
        <v>169000</v>
      </c>
      <c r="C507" s="4" t="s">
        <v>15</v>
      </c>
      <c r="D507" s="4" t="s">
        <v>161</v>
      </c>
      <c r="E507" s="4" t="s">
        <v>17</v>
      </c>
      <c r="F507" s="4" t="s">
        <v>18</v>
      </c>
      <c r="G507" s="5">
        <v>0.54444444444444451</v>
      </c>
      <c r="H507" s="5">
        <v>0.60000000000000009</v>
      </c>
      <c r="I507" s="5">
        <v>0.05</v>
      </c>
      <c r="J507" s="6">
        <v>0.69354838709677424</v>
      </c>
      <c r="K507" s="6">
        <v>0.82465116279069783</v>
      </c>
      <c r="L507" s="6">
        <v>0.75098457300815114</v>
      </c>
      <c r="M507" s="4" t="s">
        <v>19</v>
      </c>
      <c r="N507" s="5">
        <v>1</v>
      </c>
      <c r="O507" s="4">
        <v>1</v>
      </c>
    </row>
    <row r="508" spans="1:15" x14ac:dyDescent="0.3">
      <c r="A508" s="4">
        <v>169</v>
      </c>
      <c r="B508" s="4">
        <v>169000</v>
      </c>
      <c r="C508" s="4" t="s">
        <v>15</v>
      </c>
      <c r="D508" s="4" t="s">
        <v>162</v>
      </c>
      <c r="E508" s="4" t="s">
        <v>17</v>
      </c>
      <c r="F508" s="4" t="s">
        <v>18</v>
      </c>
      <c r="G508" s="5">
        <v>0.81111111111111112</v>
      </c>
      <c r="H508" s="5">
        <v>0.60000000000000009</v>
      </c>
      <c r="I508" s="5">
        <v>0.05</v>
      </c>
      <c r="J508" s="6">
        <v>0.58064516129032262</v>
      </c>
      <c r="K508" s="6">
        <v>0.84361111111111109</v>
      </c>
      <c r="L508" s="6">
        <v>0.73840370983200354</v>
      </c>
      <c r="M508" s="4" t="s">
        <v>19</v>
      </c>
      <c r="N508" s="5">
        <v>1</v>
      </c>
      <c r="O508" s="4">
        <v>1</v>
      </c>
    </row>
    <row r="509" spans="1:15" x14ac:dyDescent="0.3">
      <c r="A509" s="4">
        <v>170</v>
      </c>
      <c r="B509" s="4">
        <v>170000</v>
      </c>
      <c r="C509" s="4" t="s">
        <v>15</v>
      </c>
      <c r="D509" s="4" t="s">
        <v>16</v>
      </c>
      <c r="E509" s="4" t="s">
        <v>17</v>
      </c>
      <c r="F509" s="4" t="s">
        <v>18</v>
      </c>
      <c r="G509" s="5">
        <v>0.1</v>
      </c>
      <c r="H509" s="5">
        <v>0.4</v>
      </c>
      <c r="I509" s="5">
        <v>0.05</v>
      </c>
      <c r="J509" s="6">
        <v>0.77419354838709675</v>
      </c>
      <c r="K509" s="6">
        <v>0.77354166666666668</v>
      </c>
      <c r="L509" s="6">
        <v>0.62478182963206874</v>
      </c>
      <c r="M509" s="4" t="s">
        <v>19</v>
      </c>
      <c r="N509" s="5">
        <v>1</v>
      </c>
      <c r="O509" s="4">
        <v>1</v>
      </c>
    </row>
    <row r="510" spans="1:15" x14ac:dyDescent="0.3">
      <c r="A510" s="4">
        <v>170</v>
      </c>
      <c r="B510" s="4">
        <v>170000</v>
      </c>
      <c r="C510" s="4" t="s">
        <v>15</v>
      </c>
      <c r="D510" s="4" t="s">
        <v>161</v>
      </c>
      <c r="E510" s="4" t="s">
        <v>17</v>
      </c>
      <c r="F510" s="4" t="s">
        <v>18</v>
      </c>
      <c r="G510" s="5">
        <v>0.54444444444444451</v>
      </c>
      <c r="H510" s="5">
        <v>0.8</v>
      </c>
      <c r="I510" s="5">
        <v>0.05</v>
      </c>
      <c r="J510" s="6">
        <v>0.69354838709677424</v>
      </c>
      <c r="K510" s="6">
        <v>0.82418604651162797</v>
      </c>
      <c r="L510" s="6">
        <v>0.73587902069636513</v>
      </c>
      <c r="M510" s="4" t="s">
        <v>19</v>
      </c>
      <c r="N510" s="5">
        <v>1</v>
      </c>
      <c r="O510" s="4">
        <v>1</v>
      </c>
    </row>
    <row r="511" spans="1:15" x14ac:dyDescent="0.3">
      <c r="A511" s="4">
        <v>170</v>
      </c>
      <c r="B511" s="4">
        <v>170000</v>
      </c>
      <c r="C511" s="4" t="s">
        <v>15</v>
      </c>
      <c r="D511" s="4" t="s">
        <v>162</v>
      </c>
      <c r="E511" s="4" t="s">
        <v>17</v>
      </c>
      <c r="F511" s="4" t="s">
        <v>18</v>
      </c>
      <c r="G511" s="5">
        <v>0.81111111111111112</v>
      </c>
      <c r="H511" s="5">
        <v>0.8</v>
      </c>
      <c r="I511" s="5">
        <v>0.05</v>
      </c>
      <c r="J511" s="6">
        <v>0.56451612903225812</v>
      </c>
      <c r="K511" s="6">
        <v>0.84485714285714264</v>
      </c>
      <c r="L511" s="6">
        <v>0.68121149144285276</v>
      </c>
      <c r="M511" s="4" t="s">
        <v>19</v>
      </c>
      <c r="N511" s="5">
        <v>1</v>
      </c>
      <c r="O511" s="4">
        <v>1</v>
      </c>
    </row>
    <row r="512" spans="1:15" x14ac:dyDescent="0.3">
      <c r="A512" s="4">
        <v>171</v>
      </c>
      <c r="B512" s="4">
        <v>171000</v>
      </c>
      <c r="C512" s="4" t="s">
        <v>15</v>
      </c>
      <c r="D512" s="4" t="s">
        <v>16</v>
      </c>
      <c r="E512" s="4" t="s">
        <v>17</v>
      </c>
      <c r="F512" s="4" t="s">
        <v>18</v>
      </c>
      <c r="G512" s="5">
        <v>0.1</v>
      </c>
      <c r="H512" s="5">
        <v>0.4</v>
      </c>
      <c r="I512" s="5">
        <v>0.05</v>
      </c>
      <c r="J512" s="6">
        <v>0.72580645161290325</v>
      </c>
      <c r="K512" s="6">
        <v>0.7971111111111111</v>
      </c>
      <c r="L512" s="6">
        <v>0.69037669523439182</v>
      </c>
      <c r="M512" s="4" t="s">
        <v>60</v>
      </c>
      <c r="N512" s="5">
        <v>0.1067960185336588</v>
      </c>
      <c r="O512" s="4">
        <v>0</v>
      </c>
    </row>
    <row r="513" spans="1:15" x14ac:dyDescent="0.3">
      <c r="A513" s="4">
        <v>171</v>
      </c>
      <c r="B513" s="4">
        <v>171000</v>
      </c>
      <c r="C513" s="4" t="s">
        <v>15</v>
      </c>
      <c r="D513" s="4" t="s">
        <v>161</v>
      </c>
      <c r="E513" s="4" t="s">
        <v>17</v>
      </c>
      <c r="F513" s="4" t="s">
        <v>18</v>
      </c>
      <c r="G513" s="5">
        <v>0.54444444444444451</v>
      </c>
      <c r="H513" s="5">
        <v>0.8</v>
      </c>
      <c r="I513" s="5">
        <v>0.05</v>
      </c>
      <c r="J513" s="6">
        <v>0.66129032258064513</v>
      </c>
      <c r="K513" s="6">
        <v>0.84634146341463401</v>
      </c>
      <c r="L513" s="6">
        <v>0.73732534843304498</v>
      </c>
      <c r="M513" s="4" t="s">
        <v>60</v>
      </c>
      <c r="N513" s="5">
        <v>0.1067960185336588</v>
      </c>
      <c r="O513" s="4">
        <v>0</v>
      </c>
    </row>
    <row r="514" spans="1:15" x14ac:dyDescent="0.3">
      <c r="A514" s="4">
        <v>171</v>
      </c>
      <c r="B514" s="4">
        <v>171000</v>
      </c>
      <c r="C514" s="4" t="s">
        <v>15</v>
      </c>
      <c r="D514" s="4" t="s">
        <v>162</v>
      </c>
      <c r="E514" s="4" t="s">
        <v>17</v>
      </c>
      <c r="F514" s="4" t="s">
        <v>18</v>
      </c>
      <c r="G514" s="5">
        <v>0.81111111111111112</v>
      </c>
      <c r="H514" s="5">
        <v>0.8</v>
      </c>
      <c r="I514" s="5">
        <v>0.05</v>
      </c>
      <c r="J514" s="6">
        <v>0.56451612903225812</v>
      </c>
      <c r="K514" s="6">
        <v>0.86971428571428544</v>
      </c>
      <c r="L514" s="6">
        <v>0.68013517553337699</v>
      </c>
      <c r="M514" s="4" t="s">
        <v>60</v>
      </c>
      <c r="N514" s="5">
        <v>0.1067960185336588</v>
      </c>
      <c r="O514" s="4">
        <v>0</v>
      </c>
    </row>
    <row r="515" spans="1:15" x14ac:dyDescent="0.3">
      <c r="A515" s="4">
        <v>172</v>
      </c>
      <c r="B515" s="4">
        <v>172000</v>
      </c>
      <c r="C515" s="4" t="s">
        <v>15</v>
      </c>
      <c r="D515" s="4" t="s">
        <v>16</v>
      </c>
      <c r="E515" s="4" t="s">
        <v>17</v>
      </c>
      <c r="F515" s="4" t="s">
        <v>18</v>
      </c>
      <c r="G515" s="5">
        <v>0.1</v>
      </c>
      <c r="H515" s="5">
        <v>0.4</v>
      </c>
      <c r="I515" s="5">
        <v>0.05</v>
      </c>
      <c r="J515" s="6">
        <v>0.70967741935483875</v>
      </c>
      <c r="K515" s="6">
        <v>0.8136363636363636</v>
      </c>
      <c r="L515" s="6">
        <v>0.70513576155152558</v>
      </c>
      <c r="M515" s="4" t="s">
        <v>45</v>
      </c>
      <c r="N515" s="5">
        <v>0.14739598359241921</v>
      </c>
      <c r="O515" s="4">
        <v>0</v>
      </c>
    </row>
    <row r="516" spans="1:15" x14ac:dyDescent="0.3">
      <c r="A516" s="4">
        <v>172</v>
      </c>
      <c r="B516" s="4">
        <v>172000</v>
      </c>
      <c r="C516" s="4" t="s">
        <v>15</v>
      </c>
      <c r="D516" s="4" t="s">
        <v>161</v>
      </c>
      <c r="E516" s="4" t="s">
        <v>17</v>
      </c>
      <c r="F516" s="4" t="s">
        <v>18</v>
      </c>
      <c r="G516" s="5">
        <v>0.54444444444444451</v>
      </c>
      <c r="H516" s="5">
        <v>0.8</v>
      </c>
      <c r="I516" s="5">
        <v>0.05</v>
      </c>
      <c r="J516" s="6">
        <v>0.62903225806451613</v>
      </c>
      <c r="K516" s="6">
        <v>0.85384615384615381</v>
      </c>
      <c r="L516" s="6">
        <v>0.70402465044041451</v>
      </c>
      <c r="M516" s="4" t="s">
        <v>45</v>
      </c>
      <c r="N516" s="5">
        <v>0.14739598359241921</v>
      </c>
      <c r="O516" s="4">
        <v>0</v>
      </c>
    </row>
    <row r="517" spans="1:15" x14ac:dyDescent="0.3">
      <c r="A517" s="4">
        <v>172</v>
      </c>
      <c r="B517" s="4">
        <v>172000</v>
      </c>
      <c r="C517" s="4" t="s">
        <v>15</v>
      </c>
      <c r="D517" s="4" t="s">
        <v>162</v>
      </c>
      <c r="E517" s="4" t="s">
        <v>17</v>
      </c>
      <c r="F517" s="4" t="s">
        <v>18</v>
      </c>
      <c r="G517" s="5">
        <v>0.81111111111111112</v>
      </c>
      <c r="H517" s="5">
        <v>0.8</v>
      </c>
      <c r="I517" s="5">
        <v>0.05</v>
      </c>
      <c r="J517" s="6">
        <v>0.56451612903225812</v>
      </c>
      <c r="K517" s="6">
        <v>0.87057142857142844</v>
      </c>
      <c r="L517" s="6">
        <v>0.72193480254225595</v>
      </c>
      <c r="M517" s="4" t="s">
        <v>45</v>
      </c>
      <c r="N517" s="5">
        <v>0.14739598359241921</v>
      </c>
      <c r="O517" s="4">
        <v>0</v>
      </c>
    </row>
    <row r="518" spans="1:15" x14ac:dyDescent="0.3">
      <c r="A518" s="4">
        <v>173</v>
      </c>
      <c r="B518" s="4">
        <v>173000</v>
      </c>
      <c r="C518" s="4" t="s">
        <v>15</v>
      </c>
      <c r="D518" s="4" t="s">
        <v>16</v>
      </c>
      <c r="E518" s="4" t="s">
        <v>17</v>
      </c>
      <c r="F518" s="4" t="s">
        <v>18</v>
      </c>
      <c r="G518" s="5">
        <v>0.1</v>
      </c>
      <c r="H518" s="5">
        <v>0.4</v>
      </c>
      <c r="I518" s="5">
        <v>0.05</v>
      </c>
      <c r="J518" s="6">
        <v>0.71212121212121215</v>
      </c>
      <c r="K518" s="6">
        <v>0.81574468085106377</v>
      </c>
      <c r="L518" s="6">
        <v>0.6243442999976172</v>
      </c>
      <c r="M518" s="4" t="s">
        <v>100</v>
      </c>
      <c r="N518" s="5">
        <v>0.1311222729861756</v>
      </c>
      <c r="O518" s="4">
        <v>0</v>
      </c>
    </row>
    <row r="519" spans="1:15" x14ac:dyDescent="0.3">
      <c r="A519" s="4">
        <v>173</v>
      </c>
      <c r="B519" s="4">
        <v>173000</v>
      </c>
      <c r="C519" s="4" t="s">
        <v>15</v>
      </c>
      <c r="D519" s="4" t="s">
        <v>161</v>
      </c>
      <c r="E519" s="4" t="s">
        <v>17</v>
      </c>
      <c r="F519" s="4" t="s">
        <v>18</v>
      </c>
      <c r="G519" s="5">
        <v>0.54444444444444451</v>
      </c>
      <c r="H519" s="5">
        <v>0.8</v>
      </c>
      <c r="I519" s="5">
        <v>0.05</v>
      </c>
      <c r="J519" s="6">
        <v>0.66666666666666663</v>
      </c>
      <c r="K519" s="6">
        <v>0.83727272727272717</v>
      </c>
      <c r="L519" s="6">
        <v>0.71980726296058029</v>
      </c>
      <c r="M519" s="4" t="s">
        <v>100</v>
      </c>
      <c r="N519" s="5">
        <v>0.1311222729861756</v>
      </c>
      <c r="O519" s="4">
        <v>0</v>
      </c>
    </row>
    <row r="520" spans="1:15" x14ac:dyDescent="0.3">
      <c r="A520" s="4">
        <v>173</v>
      </c>
      <c r="B520" s="4">
        <v>173000</v>
      </c>
      <c r="C520" s="4" t="s">
        <v>15</v>
      </c>
      <c r="D520" s="4" t="s">
        <v>162</v>
      </c>
      <c r="E520" s="4" t="s">
        <v>17</v>
      </c>
      <c r="F520" s="4" t="s">
        <v>18</v>
      </c>
      <c r="G520" s="5">
        <v>0.81111111111111112</v>
      </c>
      <c r="H520" s="5">
        <v>0.8</v>
      </c>
      <c r="I520" s="5">
        <v>0.05</v>
      </c>
      <c r="J520" s="6">
        <v>0.56060606060606055</v>
      </c>
      <c r="K520" s="6">
        <v>0.86783783783783741</v>
      </c>
      <c r="L520" s="6">
        <v>0.71954936689369242</v>
      </c>
      <c r="M520" s="4" t="s">
        <v>100</v>
      </c>
      <c r="N520" s="5">
        <v>0.1311222729861756</v>
      </c>
      <c r="O520" s="4">
        <v>0</v>
      </c>
    </row>
    <row r="521" spans="1:15" x14ac:dyDescent="0.3">
      <c r="A521" s="4">
        <v>174</v>
      </c>
      <c r="B521" s="4">
        <v>174000</v>
      </c>
      <c r="C521" s="4" t="s">
        <v>15</v>
      </c>
      <c r="D521" s="4" t="s">
        <v>16</v>
      </c>
      <c r="E521" s="4" t="s">
        <v>17</v>
      </c>
      <c r="F521" s="4" t="s">
        <v>18</v>
      </c>
      <c r="G521" s="5">
        <v>0.1</v>
      </c>
      <c r="H521" s="5">
        <v>0.4</v>
      </c>
      <c r="I521" s="5">
        <v>0.05</v>
      </c>
      <c r="J521" s="6">
        <v>0.74603174603174605</v>
      </c>
      <c r="K521" s="6">
        <v>0.81382978723404253</v>
      </c>
      <c r="L521" s="6">
        <v>0.6610220904104912</v>
      </c>
      <c r="M521" s="4" t="s">
        <v>19</v>
      </c>
      <c r="N521" s="5">
        <v>1</v>
      </c>
      <c r="O521" s="4">
        <v>1</v>
      </c>
    </row>
    <row r="522" spans="1:15" x14ac:dyDescent="0.3">
      <c r="A522" s="4">
        <v>174</v>
      </c>
      <c r="B522" s="4">
        <v>174000</v>
      </c>
      <c r="C522" s="4" t="s">
        <v>15</v>
      </c>
      <c r="D522" s="4" t="s">
        <v>161</v>
      </c>
      <c r="E522" s="4" t="s">
        <v>17</v>
      </c>
      <c r="F522" s="4" t="s">
        <v>18</v>
      </c>
      <c r="G522" s="5">
        <v>0.54444444444444451</v>
      </c>
      <c r="H522" s="5">
        <v>0.4</v>
      </c>
      <c r="I522" s="5">
        <v>0.05</v>
      </c>
      <c r="J522" s="6">
        <v>0.66666666666666663</v>
      </c>
      <c r="K522" s="6">
        <v>0.85142857142857142</v>
      </c>
      <c r="L522" s="6">
        <v>0.75961253353218439</v>
      </c>
      <c r="M522" s="4" t="s">
        <v>19</v>
      </c>
      <c r="N522" s="5">
        <v>1</v>
      </c>
      <c r="O522" s="4">
        <v>1</v>
      </c>
    </row>
    <row r="523" spans="1:15" x14ac:dyDescent="0.3">
      <c r="A523" s="4">
        <v>174</v>
      </c>
      <c r="B523" s="4">
        <v>174000</v>
      </c>
      <c r="C523" s="4" t="s">
        <v>15</v>
      </c>
      <c r="D523" s="4" t="s">
        <v>162</v>
      </c>
      <c r="E523" s="4" t="s">
        <v>17</v>
      </c>
      <c r="F523" s="4" t="s">
        <v>18</v>
      </c>
      <c r="G523" s="5">
        <v>0.9</v>
      </c>
      <c r="H523" s="5">
        <v>0.4</v>
      </c>
      <c r="I523" s="5">
        <v>0.05</v>
      </c>
      <c r="J523" s="6">
        <v>0.47619047619047622</v>
      </c>
      <c r="K523" s="6">
        <v>0.86899999999999977</v>
      </c>
      <c r="L523" s="6">
        <v>0.67761324474272089</v>
      </c>
      <c r="M523" s="4" t="s">
        <v>19</v>
      </c>
      <c r="N523" s="5">
        <v>1</v>
      </c>
      <c r="O523" s="4">
        <v>1</v>
      </c>
    </row>
    <row r="524" spans="1:15" x14ac:dyDescent="0.3">
      <c r="A524" s="4">
        <v>175</v>
      </c>
      <c r="B524" s="4">
        <v>175000</v>
      </c>
      <c r="C524" s="4" t="s">
        <v>15</v>
      </c>
      <c r="D524" s="4" t="s">
        <v>16</v>
      </c>
      <c r="E524" s="4" t="s">
        <v>17</v>
      </c>
      <c r="F524" s="4" t="s">
        <v>18</v>
      </c>
      <c r="G524" s="5">
        <v>0.1</v>
      </c>
      <c r="H524" s="5">
        <v>0.4</v>
      </c>
      <c r="I524" s="5">
        <v>0.05</v>
      </c>
      <c r="J524" s="6">
        <v>0.74193548387096775</v>
      </c>
      <c r="K524" s="6">
        <v>0.79999999999999982</v>
      </c>
      <c r="L524" s="6">
        <v>0.62010406200183632</v>
      </c>
      <c r="M524" s="4" t="s">
        <v>27</v>
      </c>
      <c r="N524" s="5">
        <v>8.2751452372481729E-2</v>
      </c>
      <c r="O524" s="4">
        <v>0</v>
      </c>
    </row>
    <row r="525" spans="1:15" x14ac:dyDescent="0.3">
      <c r="A525" s="4">
        <v>175</v>
      </c>
      <c r="B525" s="4">
        <v>175000</v>
      </c>
      <c r="C525" s="4" t="s">
        <v>15</v>
      </c>
      <c r="D525" s="4" t="s">
        <v>161</v>
      </c>
      <c r="E525" s="4" t="s">
        <v>17</v>
      </c>
      <c r="F525" s="4" t="s">
        <v>18</v>
      </c>
      <c r="G525" s="5">
        <v>0.54444444444444451</v>
      </c>
      <c r="H525" s="5">
        <v>0.4</v>
      </c>
      <c r="I525" s="5">
        <v>0.05</v>
      </c>
      <c r="J525" s="6">
        <v>0.62903225806451613</v>
      </c>
      <c r="K525" s="6">
        <v>0.85512820512820475</v>
      </c>
      <c r="L525" s="6">
        <v>0.70744576631965994</v>
      </c>
      <c r="M525" s="4" t="s">
        <v>27</v>
      </c>
      <c r="N525" s="5">
        <v>8.2751452372481729E-2</v>
      </c>
      <c r="O525" s="4">
        <v>0</v>
      </c>
    </row>
    <row r="526" spans="1:15" x14ac:dyDescent="0.3">
      <c r="A526" s="4">
        <v>175</v>
      </c>
      <c r="B526" s="4">
        <v>175000</v>
      </c>
      <c r="C526" s="4" t="s">
        <v>15</v>
      </c>
      <c r="D526" s="4" t="s">
        <v>162</v>
      </c>
      <c r="E526" s="4" t="s">
        <v>17</v>
      </c>
      <c r="F526" s="4" t="s">
        <v>18</v>
      </c>
      <c r="G526" s="5">
        <v>0.9</v>
      </c>
      <c r="H526" s="5">
        <v>0.4</v>
      </c>
      <c r="I526" s="5">
        <v>0.05</v>
      </c>
      <c r="J526" s="6">
        <v>0.45161290322580638</v>
      </c>
      <c r="K526" s="6">
        <v>0.86392857142857127</v>
      </c>
      <c r="L526" s="6">
        <v>0.61135567610995811</v>
      </c>
      <c r="M526" s="4" t="s">
        <v>27</v>
      </c>
      <c r="N526" s="5">
        <v>8.2751452372481729E-2</v>
      </c>
      <c r="O526" s="4">
        <v>0</v>
      </c>
    </row>
    <row r="527" spans="1:15" x14ac:dyDescent="0.3">
      <c r="A527" s="4">
        <v>176</v>
      </c>
      <c r="B527" s="4">
        <v>176000</v>
      </c>
      <c r="C527" s="4" t="s">
        <v>15</v>
      </c>
      <c r="D527" s="4" t="s">
        <v>16</v>
      </c>
      <c r="E527" s="4" t="s">
        <v>17</v>
      </c>
      <c r="F527" s="4" t="s">
        <v>18</v>
      </c>
      <c r="G527" s="5">
        <v>0.1</v>
      </c>
      <c r="H527" s="5">
        <v>0.4</v>
      </c>
      <c r="I527" s="5">
        <v>0.05</v>
      </c>
      <c r="J527" s="6">
        <v>0.76190476190476186</v>
      </c>
      <c r="K527" s="6">
        <v>0.79312499999999997</v>
      </c>
      <c r="L527" s="6">
        <v>0.6267401355020783</v>
      </c>
      <c r="M527" s="4" t="s">
        <v>19</v>
      </c>
      <c r="N527" s="5">
        <v>1</v>
      </c>
      <c r="O527" s="4">
        <v>1</v>
      </c>
    </row>
    <row r="528" spans="1:15" x14ac:dyDescent="0.3">
      <c r="A528" s="4">
        <v>176</v>
      </c>
      <c r="B528" s="4">
        <v>176000</v>
      </c>
      <c r="C528" s="4" t="s">
        <v>15</v>
      </c>
      <c r="D528" s="4" t="s">
        <v>161</v>
      </c>
      <c r="E528" s="4" t="s">
        <v>17</v>
      </c>
      <c r="F528" s="4" t="s">
        <v>18</v>
      </c>
      <c r="G528" s="5">
        <v>0.54444444444444451</v>
      </c>
      <c r="H528" s="5">
        <v>0.4</v>
      </c>
      <c r="I528" s="5">
        <v>0.05</v>
      </c>
      <c r="J528" s="6">
        <v>0.63492063492063489</v>
      </c>
      <c r="K528" s="6">
        <v>0.85549999999999993</v>
      </c>
      <c r="L528" s="6">
        <v>0.72741443690798491</v>
      </c>
      <c r="M528" s="4" t="s">
        <v>19</v>
      </c>
      <c r="N528" s="5">
        <v>1</v>
      </c>
      <c r="O528" s="4">
        <v>1</v>
      </c>
    </row>
    <row r="529" spans="1:15" x14ac:dyDescent="0.3">
      <c r="A529" s="4">
        <v>176</v>
      </c>
      <c r="B529" s="4">
        <v>176000</v>
      </c>
      <c r="C529" s="4" t="s">
        <v>15</v>
      </c>
      <c r="D529" s="4" t="s">
        <v>162</v>
      </c>
      <c r="E529" s="4" t="s">
        <v>17</v>
      </c>
      <c r="F529" s="4" t="s">
        <v>18</v>
      </c>
      <c r="G529" s="5">
        <v>0.81111111111111112</v>
      </c>
      <c r="H529" s="5">
        <v>0.4</v>
      </c>
      <c r="I529" s="5">
        <v>0.05</v>
      </c>
      <c r="J529" s="6">
        <v>0.58730158730158732</v>
      </c>
      <c r="K529" s="6">
        <v>0.86621621621621592</v>
      </c>
      <c r="L529" s="6">
        <v>0.71682254726545014</v>
      </c>
      <c r="M529" s="4" t="s">
        <v>19</v>
      </c>
      <c r="N529" s="5">
        <v>1</v>
      </c>
      <c r="O529" s="4">
        <v>1</v>
      </c>
    </row>
    <row r="530" spans="1:15" x14ac:dyDescent="0.3">
      <c r="A530" s="4">
        <v>177</v>
      </c>
      <c r="B530" s="4">
        <v>177000</v>
      </c>
      <c r="C530" s="4" t="s">
        <v>15</v>
      </c>
      <c r="D530" s="4" t="s">
        <v>16</v>
      </c>
      <c r="E530" s="4" t="s">
        <v>17</v>
      </c>
      <c r="F530" s="4" t="s">
        <v>18</v>
      </c>
      <c r="G530" s="5">
        <v>0.1</v>
      </c>
      <c r="H530" s="5">
        <v>0.4</v>
      </c>
      <c r="I530" s="5">
        <v>0.05</v>
      </c>
      <c r="J530" s="6">
        <v>0.75</v>
      </c>
      <c r="K530" s="6">
        <v>0.80866666666666664</v>
      </c>
      <c r="L530" s="6">
        <v>0.73692821350809756</v>
      </c>
      <c r="M530" s="4" t="s">
        <v>101</v>
      </c>
      <c r="N530" s="5">
        <v>7.6975332548627928E-2</v>
      </c>
      <c r="O530" s="4">
        <v>0</v>
      </c>
    </row>
    <row r="531" spans="1:15" x14ac:dyDescent="0.3">
      <c r="A531" s="4">
        <v>177</v>
      </c>
      <c r="B531" s="4">
        <v>177000</v>
      </c>
      <c r="C531" s="4" t="s">
        <v>15</v>
      </c>
      <c r="D531" s="4" t="s">
        <v>161</v>
      </c>
      <c r="E531" s="4" t="s">
        <v>17</v>
      </c>
      <c r="F531" s="4" t="s">
        <v>18</v>
      </c>
      <c r="G531" s="5">
        <v>0.54444444444444451</v>
      </c>
      <c r="H531" s="5">
        <v>0.4</v>
      </c>
      <c r="I531" s="5">
        <v>0.05</v>
      </c>
      <c r="J531" s="6">
        <v>0.66666666666666663</v>
      </c>
      <c r="K531" s="6">
        <v>0.84899999999999998</v>
      </c>
      <c r="L531" s="6">
        <v>0.73392638399808729</v>
      </c>
      <c r="M531" s="4" t="s">
        <v>101</v>
      </c>
      <c r="N531" s="5">
        <v>7.6975332548627928E-2</v>
      </c>
      <c r="O531" s="4">
        <v>0</v>
      </c>
    </row>
    <row r="532" spans="1:15" x14ac:dyDescent="0.3">
      <c r="A532" s="4">
        <v>177</v>
      </c>
      <c r="B532" s="4">
        <v>177000</v>
      </c>
      <c r="C532" s="4" t="s">
        <v>15</v>
      </c>
      <c r="D532" s="4" t="s">
        <v>162</v>
      </c>
      <c r="E532" s="4" t="s">
        <v>17</v>
      </c>
      <c r="F532" s="4" t="s">
        <v>18</v>
      </c>
      <c r="G532" s="5">
        <v>0.81111111111111112</v>
      </c>
      <c r="H532" s="5">
        <v>0.4</v>
      </c>
      <c r="I532" s="5">
        <v>0.05</v>
      </c>
      <c r="J532" s="6">
        <v>0.6</v>
      </c>
      <c r="K532" s="6">
        <v>0.86305555555555535</v>
      </c>
      <c r="L532" s="6">
        <v>0.63777394382055941</v>
      </c>
      <c r="M532" s="4" t="s">
        <v>101</v>
      </c>
      <c r="N532" s="5">
        <v>7.6975332548627928E-2</v>
      </c>
      <c r="O532" s="4">
        <v>0</v>
      </c>
    </row>
    <row r="533" spans="1:15" x14ac:dyDescent="0.3">
      <c r="A533" s="4">
        <v>178</v>
      </c>
      <c r="B533" s="4">
        <v>178000</v>
      </c>
      <c r="C533" s="4" t="s">
        <v>15</v>
      </c>
      <c r="D533" s="4" t="s">
        <v>16</v>
      </c>
      <c r="E533" s="4" t="s">
        <v>17</v>
      </c>
      <c r="F533" s="4" t="s">
        <v>18</v>
      </c>
      <c r="G533" s="5">
        <v>0.1</v>
      </c>
      <c r="H533" s="5">
        <v>0.4</v>
      </c>
      <c r="I533" s="5">
        <v>0.05</v>
      </c>
      <c r="J533" s="6">
        <v>0.77192982456140347</v>
      </c>
      <c r="K533" s="6">
        <v>0.7893181818181817</v>
      </c>
      <c r="L533" s="6">
        <v>0.71539528048694334</v>
      </c>
      <c r="M533" s="4" t="s">
        <v>86</v>
      </c>
      <c r="N533" s="5">
        <v>0.1407463368429932</v>
      </c>
      <c r="O533" s="4">
        <v>0</v>
      </c>
    </row>
    <row r="534" spans="1:15" x14ac:dyDescent="0.3">
      <c r="A534" s="4">
        <v>178</v>
      </c>
      <c r="B534" s="4">
        <v>178000</v>
      </c>
      <c r="C534" s="4" t="s">
        <v>15</v>
      </c>
      <c r="D534" s="4" t="s">
        <v>161</v>
      </c>
      <c r="E534" s="4" t="s">
        <v>17</v>
      </c>
      <c r="F534" s="4" t="s">
        <v>18</v>
      </c>
      <c r="G534" s="5">
        <v>0.54444444444444451</v>
      </c>
      <c r="H534" s="5">
        <v>0.4</v>
      </c>
      <c r="I534" s="5">
        <v>0.05</v>
      </c>
      <c r="J534" s="6">
        <v>0.66666666666666663</v>
      </c>
      <c r="K534" s="6">
        <v>0.84210526315789469</v>
      </c>
      <c r="L534" s="6">
        <v>0.68478883064117757</v>
      </c>
      <c r="M534" s="4" t="s">
        <v>86</v>
      </c>
      <c r="N534" s="5">
        <v>0.1407463368429932</v>
      </c>
      <c r="O534" s="4">
        <v>0</v>
      </c>
    </row>
    <row r="535" spans="1:15" x14ac:dyDescent="0.3">
      <c r="A535" s="4">
        <v>178</v>
      </c>
      <c r="B535" s="4">
        <v>178000</v>
      </c>
      <c r="C535" s="4" t="s">
        <v>15</v>
      </c>
      <c r="D535" s="4" t="s">
        <v>162</v>
      </c>
      <c r="E535" s="4" t="s">
        <v>17</v>
      </c>
      <c r="F535" s="4" t="s">
        <v>18</v>
      </c>
      <c r="G535" s="5">
        <v>0.81111111111111112</v>
      </c>
      <c r="H535" s="5">
        <v>0.4</v>
      </c>
      <c r="I535" s="5">
        <v>0.05</v>
      </c>
      <c r="J535" s="6">
        <v>0.54385964912280704</v>
      </c>
      <c r="K535" s="6">
        <v>0.8616129032258063</v>
      </c>
      <c r="L535" s="6">
        <v>0.63186241990939684</v>
      </c>
      <c r="M535" s="4" t="s">
        <v>86</v>
      </c>
      <c r="N535" s="5">
        <v>0.1407463368429932</v>
      </c>
      <c r="O535" s="4">
        <v>0</v>
      </c>
    </row>
    <row r="536" spans="1:15" x14ac:dyDescent="0.3">
      <c r="A536" s="4">
        <v>179</v>
      </c>
      <c r="B536" s="4">
        <v>179000</v>
      </c>
      <c r="C536" s="4" t="s">
        <v>15</v>
      </c>
      <c r="D536" s="4" t="s">
        <v>16</v>
      </c>
      <c r="E536" s="4" t="s">
        <v>17</v>
      </c>
      <c r="F536" s="4" t="s">
        <v>18</v>
      </c>
      <c r="G536" s="5">
        <v>0.1</v>
      </c>
      <c r="H536" s="5">
        <v>0.4</v>
      </c>
      <c r="I536" s="5">
        <v>0.05</v>
      </c>
      <c r="J536" s="6">
        <v>0.72881355932203384</v>
      </c>
      <c r="K536" s="6">
        <v>0.78999999999999981</v>
      </c>
      <c r="L536" s="6">
        <v>0.74230111568283452</v>
      </c>
      <c r="M536" s="4" t="s">
        <v>102</v>
      </c>
      <c r="N536" s="5">
        <v>0.15121921763333071</v>
      </c>
      <c r="O536" s="4">
        <v>1</v>
      </c>
    </row>
    <row r="537" spans="1:15" x14ac:dyDescent="0.3">
      <c r="A537" s="4">
        <v>179</v>
      </c>
      <c r="B537" s="4">
        <v>179000</v>
      </c>
      <c r="C537" s="4" t="s">
        <v>15</v>
      </c>
      <c r="D537" s="4" t="s">
        <v>161</v>
      </c>
      <c r="E537" s="4" t="s">
        <v>17</v>
      </c>
      <c r="F537" s="4" t="s">
        <v>18</v>
      </c>
      <c r="G537" s="5">
        <v>0.4555555555555556</v>
      </c>
      <c r="H537" s="5">
        <v>0.4</v>
      </c>
      <c r="I537" s="5">
        <v>0.05</v>
      </c>
      <c r="J537" s="6">
        <v>0.71186440677966101</v>
      </c>
      <c r="K537" s="6">
        <v>0.79857142857142838</v>
      </c>
      <c r="L537" s="6">
        <v>0.75853488191660101</v>
      </c>
      <c r="M537" s="4" t="s">
        <v>102</v>
      </c>
      <c r="N537" s="5">
        <v>0.15121921763333071</v>
      </c>
      <c r="O537" s="4">
        <v>1</v>
      </c>
    </row>
    <row r="538" spans="1:15" x14ac:dyDescent="0.3">
      <c r="A538" s="4">
        <v>179</v>
      </c>
      <c r="B538" s="4">
        <v>179000</v>
      </c>
      <c r="C538" s="4" t="s">
        <v>15</v>
      </c>
      <c r="D538" s="4" t="s">
        <v>162</v>
      </c>
      <c r="E538" s="4" t="s">
        <v>17</v>
      </c>
      <c r="F538" s="4" t="s">
        <v>18</v>
      </c>
      <c r="G538" s="5">
        <v>0.81111111111111112</v>
      </c>
      <c r="H538" s="5">
        <v>0.4</v>
      </c>
      <c r="I538" s="5">
        <v>0.05</v>
      </c>
      <c r="J538" s="6">
        <v>0.5423728813559322</v>
      </c>
      <c r="K538" s="6">
        <v>0.85968749999999994</v>
      </c>
      <c r="L538" s="6">
        <v>0.57918995740984824</v>
      </c>
      <c r="M538" s="4" t="s">
        <v>102</v>
      </c>
      <c r="N538" s="5">
        <v>0.15121921763333071</v>
      </c>
      <c r="O538" s="4">
        <v>1</v>
      </c>
    </row>
    <row r="539" spans="1:15" x14ac:dyDescent="0.3">
      <c r="A539" s="4">
        <v>180</v>
      </c>
      <c r="B539" s="4">
        <v>180000</v>
      </c>
      <c r="C539" s="4" t="s">
        <v>15</v>
      </c>
      <c r="D539" s="4" t="s">
        <v>16</v>
      </c>
      <c r="E539" s="4" t="s">
        <v>17</v>
      </c>
      <c r="F539" s="4" t="s">
        <v>18</v>
      </c>
      <c r="G539" s="5">
        <v>0.1</v>
      </c>
      <c r="H539" s="5">
        <v>0.4</v>
      </c>
      <c r="I539" s="5">
        <v>0.05</v>
      </c>
      <c r="J539" s="6">
        <v>0.77419354838709675</v>
      </c>
      <c r="K539" s="6">
        <v>0.75270833333333342</v>
      </c>
      <c r="L539" s="6">
        <v>0.62455409692149244</v>
      </c>
      <c r="M539" s="4" t="s">
        <v>78</v>
      </c>
      <c r="N539" s="5">
        <v>9.5753930927305678E-2</v>
      </c>
      <c r="O539" s="4">
        <v>0</v>
      </c>
    </row>
    <row r="540" spans="1:15" x14ac:dyDescent="0.3">
      <c r="A540" s="4">
        <v>180</v>
      </c>
      <c r="B540" s="4">
        <v>180000</v>
      </c>
      <c r="C540" s="4" t="s">
        <v>15</v>
      </c>
      <c r="D540" s="4" t="s">
        <v>161</v>
      </c>
      <c r="E540" s="4" t="s">
        <v>17</v>
      </c>
      <c r="F540" s="4" t="s">
        <v>18</v>
      </c>
      <c r="G540" s="5">
        <v>0.4555555555555556</v>
      </c>
      <c r="H540" s="5">
        <v>0.4</v>
      </c>
      <c r="I540" s="5">
        <v>0.05</v>
      </c>
      <c r="J540" s="6">
        <v>0.75806451612903225</v>
      </c>
      <c r="K540" s="6">
        <v>0.76212765957446804</v>
      </c>
      <c r="L540" s="6">
        <v>0.6572299680589021</v>
      </c>
      <c r="M540" s="4" t="s">
        <v>78</v>
      </c>
      <c r="N540" s="5">
        <v>9.5753930927305678E-2</v>
      </c>
      <c r="O540" s="4">
        <v>0</v>
      </c>
    </row>
    <row r="541" spans="1:15" x14ac:dyDescent="0.3">
      <c r="A541" s="4">
        <v>180</v>
      </c>
      <c r="B541" s="4">
        <v>180000</v>
      </c>
      <c r="C541" s="4" t="s">
        <v>15</v>
      </c>
      <c r="D541" s="4" t="s">
        <v>162</v>
      </c>
      <c r="E541" s="4" t="s">
        <v>17</v>
      </c>
      <c r="F541" s="4" t="s">
        <v>18</v>
      </c>
      <c r="G541" s="5">
        <v>0.81111111111111112</v>
      </c>
      <c r="H541" s="5">
        <v>0.4</v>
      </c>
      <c r="I541" s="5">
        <v>0.05</v>
      </c>
      <c r="J541" s="6">
        <v>0.532258064516129</v>
      </c>
      <c r="K541" s="6">
        <v>0.82666666666666655</v>
      </c>
      <c r="L541" s="6">
        <v>0.5691493539599134</v>
      </c>
      <c r="M541" s="4" t="s">
        <v>78</v>
      </c>
      <c r="N541" s="5">
        <v>9.5753930927305678E-2</v>
      </c>
      <c r="O541" s="4">
        <v>0</v>
      </c>
    </row>
    <row r="542" spans="1:15" x14ac:dyDescent="0.3">
      <c r="A542" s="4">
        <v>181</v>
      </c>
      <c r="B542" s="4">
        <v>181000</v>
      </c>
      <c r="C542" s="4" t="s">
        <v>15</v>
      </c>
      <c r="D542" s="4" t="s">
        <v>16</v>
      </c>
      <c r="E542" s="4" t="s">
        <v>17</v>
      </c>
      <c r="F542" s="4" t="s">
        <v>18</v>
      </c>
      <c r="G542" s="5">
        <v>0.1</v>
      </c>
      <c r="H542" s="5">
        <v>0.4</v>
      </c>
      <c r="I542" s="5">
        <v>0.05</v>
      </c>
      <c r="J542" s="6">
        <v>0.74626865671641796</v>
      </c>
      <c r="K542" s="6">
        <v>0.76800000000000013</v>
      </c>
      <c r="L542" s="6">
        <v>0.64587913089013071</v>
      </c>
      <c r="M542" s="4" t="s">
        <v>103</v>
      </c>
      <c r="N542" s="5">
        <v>0.108892794386917</v>
      </c>
      <c r="O542" s="4">
        <v>0</v>
      </c>
    </row>
    <row r="543" spans="1:15" x14ac:dyDescent="0.3">
      <c r="A543" s="4">
        <v>181</v>
      </c>
      <c r="B543" s="4">
        <v>181000</v>
      </c>
      <c r="C543" s="4" t="s">
        <v>15</v>
      </c>
      <c r="D543" s="4" t="s">
        <v>161</v>
      </c>
      <c r="E543" s="4" t="s">
        <v>17</v>
      </c>
      <c r="F543" s="4" t="s">
        <v>18</v>
      </c>
      <c r="G543" s="5">
        <v>0.4555555555555556</v>
      </c>
      <c r="H543" s="5">
        <v>0.4</v>
      </c>
      <c r="I543" s="5">
        <v>0.05</v>
      </c>
      <c r="J543" s="6">
        <v>0.74626865671641796</v>
      </c>
      <c r="K543" s="6">
        <v>0.76800000000000013</v>
      </c>
      <c r="L543" s="6">
        <v>0.64587913089013071</v>
      </c>
      <c r="M543" s="4" t="s">
        <v>103</v>
      </c>
      <c r="N543" s="5">
        <v>0.108892794386917</v>
      </c>
      <c r="O543" s="4">
        <v>0</v>
      </c>
    </row>
    <row r="544" spans="1:15" x14ac:dyDescent="0.3">
      <c r="A544" s="4">
        <v>181</v>
      </c>
      <c r="B544" s="4">
        <v>181000</v>
      </c>
      <c r="C544" s="4" t="s">
        <v>15</v>
      </c>
      <c r="D544" s="4" t="s">
        <v>162</v>
      </c>
      <c r="E544" s="4" t="s">
        <v>17</v>
      </c>
      <c r="F544" s="4" t="s">
        <v>18</v>
      </c>
      <c r="G544" s="5">
        <v>0.81111111111111112</v>
      </c>
      <c r="H544" s="5">
        <v>0.4</v>
      </c>
      <c r="I544" s="5">
        <v>0.05</v>
      </c>
      <c r="J544" s="6">
        <v>0.5074626865671642</v>
      </c>
      <c r="K544" s="6">
        <v>0.83382352941176441</v>
      </c>
      <c r="L544" s="6">
        <v>0.65342424615487049</v>
      </c>
      <c r="M544" s="4" t="s">
        <v>103</v>
      </c>
      <c r="N544" s="5">
        <v>0.108892794386917</v>
      </c>
      <c r="O544" s="4">
        <v>0</v>
      </c>
    </row>
    <row r="545" spans="1:15" x14ac:dyDescent="0.3">
      <c r="A545" s="4">
        <v>182</v>
      </c>
      <c r="B545" s="4">
        <v>182000</v>
      </c>
      <c r="C545" s="4" t="s">
        <v>15</v>
      </c>
      <c r="D545" s="4" t="s">
        <v>16</v>
      </c>
      <c r="E545" s="4" t="s">
        <v>17</v>
      </c>
      <c r="F545" s="4" t="s">
        <v>18</v>
      </c>
      <c r="G545" s="5">
        <v>0.1</v>
      </c>
      <c r="H545" s="5">
        <v>0.4</v>
      </c>
      <c r="I545" s="5">
        <v>0.05</v>
      </c>
      <c r="J545" s="6">
        <v>0.76119402985074625</v>
      </c>
      <c r="K545" s="6">
        <v>0.77529411764705913</v>
      </c>
      <c r="L545" s="6">
        <v>0.64253552189144003</v>
      </c>
      <c r="M545" s="4" t="s">
        <v>75</v>
      </c>
      <c r="N545" s="5">
        <v>0.12619088863566649</v>
      </c>
      <c r="O545" s="4">
        <v>0</v>
      </c>
    </row>
    <row r="546" spans="1:15" x14ac:dyDescent="0.3">
      <c r="A546" s="4">
        <v>182</v>
      </c>
      <c r="B546" s="4">
        <v>182000</v>
      </c>
      <c r="C546" s="4" t="s">
        <v>15</v>
      </c>
      <c r="D546" s="4" t="s">
        <v>161</v>
      </c>
      <c r="E546" s="4" t="s">
        <v>17</v>
      </c>
      <c r="F546" s="4" t="s">
        <v>18</v>
      </c>
      <c r="G546" s="5">
        <v>0.4555555555555556</v>
      </c>
      <c r="H546" s="5">
        <v>0.4</v>
      </c>
      <c r="I546" s="5">
        <v>0.05</v>
      </c>
      <c r="J546" s="6">
        <v>0.76119402985074625</v>
      </c>
      <c r="K546" s="6">
        <v>0.77529411764705913</v>
      </c>
      <c r="L546" s="6">
        <v>0.64253552189144003</v>
      </c>
      <c r="M546" s="4" t="s">
        <v>75</v>
      </c>
      <c r="N546" s="5">
        <v>0.12619088863566649</v>
      </c>
      <c r="O546" s="4">
        <v>0</v>
      </c>
    </row>
    <row r="547" spans="1:15" x14ac:dyDescent="0.3">
      <c r="A547" s="4">
        <v>182</v>
      </c>
      <c r="B547" s="4">
        <v>182000</v>
      </c>
      <c r="C547" s="4" t="s">
        <v>15</v>
      </c>
      <c r="D547" s="4" t="s">
        <v>162</v>
      </c>
      <c r="E547" s="4" t="s">
        <v>17</v>
      </c>
      <c r="F547" s="4" t="s">
        <v>18</v>
      </c>
      <c r="G547" s="5">
        <v>0.81111111111111112</v>
      </c>
      <c r="H547" s="5">
        <v>0.4</v>
      </c>
      <c r="I547" s="5">
        <v>0.05</v>
      </c>
      <c r="J547" s="6">
        <v>0.56716417910447758</v>
      </c>
      <c r="K547" s="6">
        <v>0.84236842105263132</v>
      </c>
      <c r="L547" s="6">
        <v>0.6712469873625343</v>
      </c>
      <c r="M547" s="4" t="s">
        <v>75</v>
      </c>
      <c r="N547" s="5">
        <v>0.12619088863566649</v>
      </c>
      <c r="O547" s="4">
        <v>0</v>
      </c>
    </row>
    <row r="548" spans="1:15" x14ac:dyDescent="0.3">
      <c r="A548" s="4">
        <v>183</v>
      </c>
      <c r="B548" s="4">
        <v>183000</v>
      </c>
      <c r="C548" s="4" t="s">
        <v>15</v>
      </c>
      <c r="D548" s="4" t="s">
        <v>16</v>
      </c>
      <c r="E548" s="4" t="s">
        <v>17</v>
      </c>
      <c r="F548" s="4" t="s">
        <v>18</v>
      </c>
      <c r="G548" s="5">
        <v>0.1</v>
      </c>
      <c r="H548" s="5">
        <v>0.4</v>
      </c>
      <c r="I548" s="5">
        <v>0.05</v>
      </c>
      <c r="J548" s="6">
        <v>0.75806451612903225</v>
      </c>
      <c r="K548" s="6">
        <v>0.77680851063829781</v>
      </c>
      <c r="L548" s="6">
        <v>0.63090066689425861</v>
      </c>
      <c r="M548" s="4" t="s">
        <v>19</v>
      </c>
      <c r="N548" s="5">
        <v>1</v>
      </c>
      <c r="O548" s="4">
        <v>1</v>
      </c>
    </row>
    <row r="549" spans="1:15" x14ac:dyDescent="0.3">
      <c r="A549" s="4">
        <v>183</v>
      </c>
      <c r="B549" s="4">
        <v>183000</v>
      </c>
      <c r="C549" s="4" t="s">
        <v>15</v>
      </c>
      <c r="D549" s="4" t="s">
        <v>161</v>
      </c>
      <c r="E549" s="4" t="s">
        <v>17</v>
      </c>
      <c r="F549" s="4" t="s">
        <v>18</v>
      </c>
      <c r="G549" s="5">
        <v>0.6333333333333333</v>
      </c>
      <c r="H549" s="5">
        <v>0.8</v>
      </c>
      <c r="I549" s="5">
        <v>0.05</v>
      </c>
      <c r="J549" s="6">
        <v>0.61290322580645162</v>
      </c>
      <c r="K549" s="6">
        <v>0.86605263157894707</v>
      </c>
      <c r="L549" s="6">
        <v>0.70432829897936977</v>
      </c>
      <c r="M549" s="4" t="s">
        <v>19</v>
      </c>
      <c r="N549" s="5">
        <v>1</v>
      </c>
      <c r="O549" s="4">
        <v>1</v>
      </c>
    </row>
    <row r="550" spans="1:15" x14ac:dyDescent="0.3">
      <c r="A550" s="4">
        <v>183</v>
      </c>
      <c r="B550" s="4">
        <v>183000</v>
      </c>
      <c r="C550" s="4" t="s">
        <v>15</v>
      </c>
      <c r="D550" s="4" t="s">
        <v>162</v>
      </c>
      <c r="E550" s="4" t="s">
        <v>17</v>
      </c>
      <c r="F550" s="4" t="s">
        <v>18</v>
      </c>
      <c r="G550" s="5">
        <v>0.9</v>
      </c>
      <c r="H550" s="5">
        <v>0.8</v>
      </c>
      <c r="I550" s="5">
        <v>0.05</v>
      </c>
      <c r="J550" s="6">
        <v>0.46774193548387089</v>
      </c>
      <c r="K550" s="6">
        <v>0.89379310344827556</v>
      </c>
      <c r="L550" s="6">
        <v>0.69868664895231125</v>
      </c>
      <c r="M550" s="4" t="s">
        <v>19</v>
      </c>
      <c r="N550" s="5">
        <v>1</v>
      </c>
      <c r="O550" s="4">
        <v>1</v>
      </c>
    </row>
    <row r="551" spans="1:15" x14ac:dyDescent="0.3">
      <c r="A551" s="4">
        <v>184</v>
      </c>
      <c r="B551" s="4">
        <v>184000</v>
      </c>
      <c r="C551" s="4" t="s">
        <v>15</v>
      </c>
      <c r="D551" s="4" t="s">
        <v>16</v>
      </c>
      <c r="E551" s="4" t="s">
        <v>17</v>
      </c>
      <c r="F551" s="4" t="s">
        <v>18</v>
      </c>
      <c r="G551" s="5">
        <v>0.1</v>
      </c>
      <c r="H551" s="5">
        <v>0.4</v>
      </c>
      <c r="I551" s="5">
        <v>0.05</v>
      </c>
      <c r="J551" s="6">
        <v>0.69354838709677424</v>
      </c>
      <c r="K551" s="6">
        <v>0.80720930232558141</v>
      </c>
      <c r="L551" s="6">
        <v>0.69857862698328754</v>
      </c>
      <c r="M551" s="4" t="s">
        <v>104</v>
      </c>
      <c r="N551" s="5">
        <v>6.9593687454860081E-2</v>
      </c>
      <c r="O551" s="4">
        <v>0</v>
      </c>
    </row>
    <row r="552" spans="1:15" x14ac:dyDescent="0.3">
      <c r="A552" s="4">
        <v>184</v>
      </c>
      <c r="B552" s="4">
        <v>184000</v>
      </c>
      <c r="C552" s="4" t="s">
        <v>15</v>
      </c>
      <c r="D552" s="4" t="s">
        <v>161</v>
      </c>
      <c r="E552" s="4" t="s">
        <v>17</v>
      </c>
      <c r="F552" s="4" t="s">
        <v>18</v>
      </c>
      <c r="G552" s="5">
        <v>0.6333333333333333</v>
      </c>
      <c r="H552" s="5">
        <v>0.8</v>
      </c>
      <c r="I552" s="5">
        <v>0.05</v>
      </c>
      <c r="J552" s="6">
        <v>0.61290322580645162</v>
      </c>
      <c r="K552" s="6">
        <v>0.85078947368421032</v>
      </c>
      <c r="L552" s="6">
        <v>0.62376452433040563</v>
      </c>
      <c r="M552" s="4" t="s">
        <v>104</v>
      </c>
      <c r="N552" s="5">
        <v>6.9593687454860081E-2</v>
      </c>
      <c r="O552" s="4">
        <v>0</v>
      </c>
    </row>
    <row r="553" spans="1:15" x14ac:dyDescent="0.3">
      <c r="A553" s="4">
        <v>184</v>
      </c>
      <c r="B553" s="4">
        <v>184000</v>
      </c>
      <c r="C553" s="4" t="s">
        <v>15</v>
      </c>
      <c r="D553" s="4" t="s">
        <v>162</v>
      </c>
      <c r="E553" s="4" t="s">
        <v>17</v>
      </c>
      <c r="F553" s="4" t="s">
        <v>18</v>
      </c>
      <c r="G553" s="5">
        <v>0.9</v>
      </c>
      <c r="H553" s="5">
        <v>0.8</v>
      </c>
      <c r="I553" s="5">
        <v>0.05</v>
      </c>
      <c r="J553" s="6">
        <v>0.4838709677419355</v>
      </c>
      <c r="K553" s="6">
        <v>0.86266666666666636</v>
      </c>
      <c r="L553" s="6">
        <v>0.58958002799502096</v>
      </c>
      <c r="M553" s="4" t="s">
        <v>104</v>
      </c>
      <c r="N553" s="5">
        <v>6.9593687454860081E-2</v>
      </c>
      <c r="O553" s="4">
        <v>0</v>
      </c>
    </row>
    <row r="554" spans="1:15" x14ac:dyDescent="0.3">
      <c r="A554" s="4">
        <v>185</v>
      </c>
      <c r="B554" s="4">
        <v>185000</v>
      </c>
      <c r="C554" s="4" t="s">
        <v>15</v>
      </c>
      <c r="D554" s="4" t="s">
        <v>16</v>
      </c>
      <c r="E554" s="4" t="s">
        <v>17</v>
      </c>
      <c r="F554" s="4" t="s">
        <v>18</v>
      </c>
      <c r="G554" s="5">
        <v>0.1</v>
      </c>
      <c r="H554" s="5">
        <v>0.4</v>
      </c>
      <c r="I554" s="5">
        <v>0.05</v>
      </c>
      <c r="J554" s="6">
        <v>0.7</v>
      </c>
      <c r="K554" s="6">
        <v>0.81023809523809509</v>
      </c>
      <c r="L554" s="6">
        <v>0.65364725724513462</v>
      </c>
      <c r="M554" s="4" t="s">
        <v>19</v>
      </c>
      <c r="N554" s="5">
        <v>1</v>
      </c>
      <c r="O554" s="4">
        <v>1</v>
      </c>
    </row>
    <row r="555" spans="1:15" x14ac:dyDescent="0.3">
      <c r="A555" s="4">
        <v>185</v>
      </c>
      <c r="B555" s="4">
        <v>185000</v>
      </c>
      <c r="C555" s="4" t="s">
        <v>15</v>
      </c>
      <c r="D555" s="4" t="s">
        <v>161</v>
      </c>
      <c r="E555" s="4" t="s">
        <v>17</v>
      </c>
      <c r="F555" s="4" t="s">
        <v>18</v>
      </c>
      <c r="G555" s="5">
        <v>0.72222222222222221</v>
      </c>
      <c r="H555" s="5">
        <v>0.4</v>
      </c>
      <c r="I555" s="5">
        <v>0.05</v>
      </c>
      <c r="J555" s="6">
        <v>0.6166666666666667</v>
      </c>
      <c r="K555" s="6">
        <v>0.84810810810810788</v>
      </c>
      <c r="L555" s="6">
        <v>0.70624197519964027</v>
      </c>
      <c r="M555" s="4" t="s">
        <v>19</v>
      </c>
      <c r="N555" s="5">
        <v>1</v>
      </c>
      <c r="O555" s="4">
        <v>1</v>
      </c>
    </row>
    <row r="556" spans="1:15" x14ac:dyDescent="0.3">
      <c r="A556" s="4">
        <v>185</v>
      </c>
      <c r="B556" s="4">
        <v>185000</v>
      </c>
      <c r="C556" s="4" t="s">
        <v>15</v>
      </c>
      <c r="D556" s="4" t="s">
        <v>162</v>
      </c>
      <c r="E556" s="4" t="s">
        <v>17</v>
      </c>
      <c r="F556" s="4" t="s">
        <v>18</v>
      </c>
      <c r="G556" s="5">
        <v>0.81111111111111112</v>
      </c>
      <c r="H556" s="5">
        <v>0.4</v>
      </c>
      <c r="I556" s="5">
        <v>0.05</v>
      </c>
      <c r="J556" s="6">
        <v>0.56666666666666665</v>
      </c>
      <c r="K556" s="6">
        <v>0.85588235294117621</v>
      </c>
      <c r="L556" s="6">
        <v>0.67360219466626703</v>
      </c>
      <c r="M556" s="4" t="s">
        <v>19</v>
      </c>
      <c r="N556" s="5">
        <v>1</v>
      </c>
      <c r="O556" s="4">
        <v>1</v>
      </c>
    </row>
    <row r="557" spans="1:15" x14ac:dyDescent="0.3">
      <c r="A557" s="4">
        <v>186</v>
      </c>
      <c r="B557" s="4">
        <v>186000</v>
      </c>
      <c r="C557" s="4" t="s">
        <v>15</v>
      </c>
      <c r="D557" s="4" t="s">
        <v>16</v>
      </c>
      <c r="E557" s="4" t="s">
        <v>17</v>
      </c>
      <c r="F557" s="4" t="s">
        <v>18</v>
      </c>
      <c r="G557" s="5">
        <v>0.1</v>
      </c>
      <c r="H557" s="5">
        <v>0.4</v>
      </c>
      <c r="I557" s="5">
        <v>0.05</v>
      </c>
      <c r="J557" s="6">
        <v>0.74576271186440679</v>
      </c>
      <c r="K557" s="6">
        <v>0.80136363636363628</v>
      </c>
      <c r="L557" s="6">
        <v>0.7081275763033078</v>
      </c>
      <c r="M557" s="4" t="s">
        <v>19</v>
      </c>
      <c r="N557" s="5">
        <v>1</v>
      </c>
      <c r="O557" s="4">
        <v>1</v>
      </c>
    </row>
    <row r="558" spans="1:15" x14ac:dyDescent="0.3">
      <c r="A558" s="4">
        <v>186</v>
      </c>
      <c r="B558" s="4">
        <v>186000</v>
      </c>
      <c r="C558" s="4" t="s">
        <v>15</v>
      </c>
      <c r="D558" s="4" t="s">
        <v>161</v>
      </c>
      <c r="E558" s="4" t="s">
        <v>17</v>
      </c>
      <c r="F558" s="4" t="s">
        <v>18</v>
      </c>
      <c r="G558" s="5">
        <v>0.3666666666666667</v>
      </c>
      <c r="H558" s="5">
        <v>0.4</v>
      </c>
      <c r="I558" s="5">
        <v>0.05</v>
      </c>
      <c r="J558" s="6">
        <v>0.72881355932203384</v>
      </c>
      <c r="K558" s="6">
        <v>0.81232558139534883</v>
      </c>
      <c r="L558" s="6">
        <v>0.72269634087207257</v>
      </c>
      <c r="M558" s="4" t="s">
        <v>19</v>
      </c>
      <c r="N558" s="5">
        <v>1</v>
      </c>
      <c r="O558" s="4">
        <v>1</v>
      </c>
    </row>
    <row r="559" spans="1:15" x14ac:dyDescent="0.3">
      <c r="A559" s="4">
        <v>186</v>
      </c>
      <c r="B559" s="4">
        <v>186000</v>
      </c>
      <c r="C559" s="4" t="s">
        <v>15</v>
      </c>
      <c r="D559" s="4" t="s">
        <v>162</v>
      </c>
      <c r="E559" s="4" t="s">
        <v>17</v>
      </c>
      <c r="F559" s="4" t="s">
        <v>18</v>
      </c>
      <c r="G559" s="5">
        <v>0.81111111111111112</v>
      </c>
      <c r="H559" s="5">
        <v>0.4</v>
      </c>
      <c r="I559" s="5">
        <v>0.05</v>
      </c>
      <c r="J559" s="6">
        <v>0.57627118644067798</v>
      </c>
      <c r="K559" s="6">
        <v>0.85205882352941154</v>
      </c>
      <c r="L559" s="6">
        <v>0.66502345585778921</v>
      </c>
      <c r="M559" s="4" t="s">
        <v>19</v>
      </c>
      <c r="N559" s="5">
        <v>1</v>
      </c>
      <c r="O559" s="4">
        <v>1</v>
      </c>
    </row>
    <row r="560" spans="1:15" x14ac:dyDescent="0.3">
      <c r="A560" s="4">
        <v>187</v>
      </c>
      <c r="B560" s="4">
        <v>187000</v>
      </c>
      <c r="C560" s="4" t="s">
        <v>15</v>
      </c>
      <c r="D560" s="4" t="s">
        <v>16</v>
      </c>
      <c r="E560" s="4" t="s">
        <v>17</v>
      </c>
      <c r="F560" s="4" t="s">
        <v>18</v>
      </c>
      <c r="G560" s="5">
        <v>0.1</v>
      </c>
      <c r="H560" s="5">
        <v>0.4</v>
      </c>
      <c r="I560" s="5">
        <v>0.05</v>
      </c>
      <c r="J560" s="6">
        <v>0.69491525423728817</v>
      </c>
      <c r="K560" s="6">
        <v>0.80731707317073176</v>
      </c>
      <c r="L560" s="6">
        <v>0.59829599967615377</v>
      </c>
      <c r="M560" s="4" t="s">
        <v>39</v>
      </c>
      <c r="N560" s="5">
        <v>9.3058499340247069E-2</v>
      </c>
      <c r="O560" s="4">
        <v>0</v>
      </c>
    </row>
    <row r="561" spans="1:15" x14ac:dyDescent="0.3">
      <c r="A561" s="4">
        <v>187</v>
      </c>
      <c r="B561" s="4">
        <v>187000</v>
      </c>
      <c r="C561" s="4" t="s">
        <v>15</v>
      </c>
      <c r="D561" s="4" t="s">
        <v>161</v>
      </c>
      <c r="E561" s="4" t="s">
        <v>17</v>
      </c>
      <c r="F561" s="4" t="s">
        <v>18</v>
      </c>
      <c r="G561" s="5">
        <v>0.3666666666666667</v>
      </c>
      <c r="H561" s="5">
        <v>0.4</v>
      </c>
      <c r="I561" s="5">
        <v>0.05</v>
      </c>
      <c r="J561" s="6">
        <v>0.69491525423728817</v>
      </c>
      <c r="K561" s="6">
        <v>0.80731707317073176</v>
      </c>
      <c r="L561" s="6">
        <v>0.59829599967615377</v>
      </c>
      <c r="M561" s="4" t="s">
        <v>39</v>
      </c>
      <c r="N561" s="5">
        <v>9.3058499340247069E-2</v>
      </c>
      <c r="O561" s="4">
        <v>0</v>
      </c>
    </row>
    <row r="562" spans="1:15" x14ac:dyDescent="0.3">
      <c r="A562" s="4">
        <v>187</v>
      </c>
      <c r="B562" s="4">
        <v>187000</v>
      </c>
      <c r="C562" s="4" t="s">
        <v>15</v>
      </c>
      <c r="D562" s="4" t="s">
        <v>162</v>
      </c>
      <c r="E562" s="4" t="s">
        <v>17</v>
      </c>
      <c r="F562" s="4" t="s">
        <v>18</v>
      </c>
      <c r="G562" s="5">
        <v>0.81111111111111112</v>
      </c>
      <c r="H562" s="5">
        <v>0.4</v>
      </c>
      <c r="I562" s="5">
        <v>0.05</v>
      </c>
      <c r="J562" s="6">
        <v>0.52542372881355937</v>
      </c>
      <c r="K562" s="6">
        <v>0.85161290322580618</v>
      </c>
      <c r="L562" s="6">
        <v>0.69662042386908352</v>
      </c>
      <c r="M562" s="4" t="s">
        <v>39</v>
      </c>
      <c r="N562" s="5">
        <v>9.3058499340247069E-2</v>
      </c>
      <c r="O562" s="4">
        <v>0</v>
      </c>
    </row>
    <row r="563" spans="1:15" x14ac:dyDescent="0.3">
      <c r="A563" s="4">
        <v>188</v>
      </c>
      <c r="B563" s="4">
        <v>188000</v>
      </c>
      <c r="C563" s="4" t="s">
        <v>15</v>
      </c>
      <c r="D563" s="4" t="s">
        <v>16</v>
      </c>
      <c r="E563" s="4" t="s">
        <v>17</v>
      </c>
      <c r="F563" s="4" t="s">
        <v>18</v>
      </c>
      <c r="G563" s="5">
        <v>0.1</v>
      </c>
      <c r="H563" s="5">
        <v>0.4</v>
      </c>
      <c r="I563" s="5">
        <v>0.05</v>
      </c>
      <c r="J563" s="6">
        <v>0.7</v>
      </c>
      <c r="K563" s="6">
        <v>0.79476190476190467</v>
      </c>
      <c r="L563" s="6">
        <v>0.6356533890859325</v>
      </c>
      <c r="M563" s="4" t="s">
        <v>105</v>
      </c>
      <c r="N563" s="5">
        <v>0.13894938515205499</v>
      </c>
      <c r="O563" s="4">
        <v>0</v>
      </c>
    </row>
    <row r="564" spans="1:15" x14ac:dyDescent="0.3">
      <c r="A564" s="4">
        <v>188</v>
      </c>
      <c r="B564" s="4">
        <v>188000</v>
      </c>
      <c r="C564" s="4" t="s">
        <v>15</v>
      </c>
      <c r="D564" s="4" t="s">
        <v>161</v>
      </c>
      <c r="E564" s="4" t="s">
        <v>17</v>
      </c>
      <c r="F564" s="4" t="s">
        <v>18</v>
      </c>
      <c r="G564" s="5">
        <v>0.3666666666666667</v>
      </c>
      <c r="H564" s="5">
        <v>0.4</v>
      </c>
      <c r="I564" s="5">
        <v>0.05</v>
      </c>
      <c r="J564" s="6">
        <v>0.7</v>
      </c>
      <c r="K564" s="6">
        <v>0.79476190476190467</v>
      </c>
      <c r="L564" s="6">
        <v>0.6356533890859325</v>
      </c>
      <c r="M564" s="4" t="s">
        <v>105</v>
      </c>
      <c r="N564" s="5">
        <v>0.13894938515205499</v>
      </c>
      <c r="O564" s="4">
        <v>0</v>
      </c>
    </row>
    <row r="565" spans="1:15" x14ac:dyDescent="0.3">
      <c r="A565" s="4">
        <v>188</v>
      </c>
      <c r="B565" s="4">
        <v>188000</v>
      </c>
      <c r="C565" s="4" t="s">
        <v>15</v>
      </c>
      <c r="D565" s="4" t="s">
        <v>162</v>
      </c>
      <c r="E565" s="4" t="s">
        <v>17</v>
      </c>
      <c r="F565" s="4" t="s">
        <v>18</v>
      </c>
      <c r="G565" s="5">
        <v>0.81111111111111112</v>
      </c>
      <c r="H565" s="5">
        <v>0.4</v>
      </c>
      <c r="I565" s="5">
        <v>0.05</v>
      </c>
      <c r="J565" s="6">
        <v>0.51666666666666672</v>
      </c>
      <c r="K565" s="6">
        <v>0.84419354838709648</v>
      </c>
      <c r="L565" s="6">
        <v>0.71113701003582497</v>
      </c>
      <c r="M565" s="4" t="s">
        <v>105</v>
      </c>
      <c r="N565" s="5">
        <v>0.13894938515205499</v>
      </c>
      <c r="O565" s="4">
        <v>0</v>
      </c>
    </row>
    <row r="566" spans="1:15" x14ac:dyDescent="0.3">
      <c r="A566" s="4">
        <v>189</v>
      </c>
      <c r="B566" s="4">
        <v>189000</v>
      </c>
      <c r="C566" s="4" t="s">
        <v>15</v>
      </c>
      <c r="D566" s="4" t="s">
        <v>16</v>
      </c>
      <c r="E566" s="4" t="s">
        <v>17</v>
      </c>
      <c r="F566" s="4" t="s">
        <v>18</v>
      </c>
      <c r="G566" s="5">
        <v>0.1</v>
      </c>
      <c r="H566" s="5">
        <v>0.4</v>
      </c>
      <c r="I566" s="5">
        <v>0.05</v>
      </c>
      <c r="J566" s="6">
        <v>0.69354838709677424</v>
      </c>
      <c r="K566" s="6">
        <v>0.7930232558139535</v>
      </c>
      <c r="L566" s="6">
        <v>0.65380133810137364</v>
      </c>
      <c r="M566" s="4" t="s">
        <v>19</v>
      </c>
      <c r="N566" s="5">
        <v>1</v>
      </c>
      <c r="O566" s="4">
        <v>1</v>
      </c>
    </row>
    <row r="567" spans="1:15" x14ac:dyDescent="0.3">
      <c r="A567" s="4">
        <v>189</v>
      </c>
      <c r="B567" s="4">
        <v>189000</v>
      </c>
      <c r="C567" s="4" t="s">
        <v>15</v>
      </c>
      <c r="D567" s="4" t="s">
        <v>161</v>
      </c>
      <c r="E567" s="4" t="s">
        <v>17</v>
      </c>
      <c r="F567" s="4" t="s">
        <v>18</v>
      </c>
      <c r="G567" s="5">
        <v>0.81111111111111112</v>
      </c>
      <c r="H567" s="5">
        <v>0.4</v>
      </c>
      <c r="I567" s="5">
        <v>0.05</v>
      </c>
      <c r="J567" s="6">
        <v>0.4838709677419355</v>
      </c>
      <c r="K567" s="6">
        <v>0.85033333333333305</v>
      </c>
      <c r="L567" s="6">
        <v>0.75717686991357036</v>
      </c>
      <c r="M567" s="4" t="s">
        <v>19</v>
      </c>
      <c r="N567" s="5">
        <v>1</v>
      </c>
      <c r="O567" s="4">
        <v>1</v>
      </c>
    </row>
    <row r="568" spans="1:15" x14ac:dyDescent="0.3">
      <c r="A568" s="4">
        <v>189</v>
      </c>
      <c r="B568" s="4">
        <v>189000</v>
      </c>
      <c r="C568" s="4" t="s">
        <v>15</v>
      </c>
      <c r="D568" s="4" t="s">
        <v>162</v>
      </c>
      <c r="E568" s="4" t="s">
        <v>17</v>
      </c>
      <c r="F568" s="4" t="s">
        <v>18</v>
      </c>
      <c r="G568" s="5">
        <v>0.81111111111111112</v>
      </c>
      <c r="H568" s="5">
        <v>0.4</v>
      </c>
      <c r="I568" s="5">
        <v>0.1166666666666667</v>
      </c>
      <c r="J568" s="6">
        <v>0.45161290322580638</v>
      </c>
      <c r="K568" s="6">
        <v>0.85071428571428542</v>
      </c>
      <c r="L568" s="6">
        <v>0.676235826551427</v>
      </c>
      <c r="M568" s="4" t="s">
        <v>19</v>
      </c>
      <c r="N568" s="5">
        <v>1</v>
      </c>
      <c r="O568" s="4">
        <v>1</v>
      </c>
    </row>
    <row r="569" spans="1:15" x14ac:dyDescent="0.3">
      <c r="A569" s="4">
        <v>190</v>
      </c>
      <c r="B569" s="4">
        <v>190000</v>
      </c>
      <c r="C569" s="4" t="s">
        <v>15</v>
      </c>
      <c r="D569" s="4" t="s">
        <v>16</v>
      </c>
      <c r="E569" s="4" t="s">
        <v>17</v>
      </c>
      <c r="F569" s="4" t="s">
        <v>18</v>
      </c>
      <c r="G569" s="5">
        <v>0.1</v>
      </c>
      <c r="H569" s="5">
        <v>0.4</v>
      </c>
      <c r="I569" s="5">
        <v>0.05</v>
      </c>
      <c r="J569" s="6">
        <v>0.69696969696969702</v>
      </c>
      <c r="K569" s="6">
        <v>0.77673913043478271</v>
      </c>
      <c r="L569" s="6">
        <v>0.60586912567804618</v>
      </c>
      <c r="M569" s="4" t="s">
        <v>106</v>
      </c>
      <c r="N569" s="5">
        <v>8.1876463236706581E-2</v>
      </c>
      <c r="O569" s="4">
        <v>0</v>
      </c>
    </row>
    <row r="570" spans="1:15" x14ac:dyDescent="0.3">
      <c r="A570" s="4">
        <v>190</v>
      </c>
      <c r="B570" s="4">
        <v>190000</v>
      </c>
      <c r="C570" s="4" t="s">
        <v>15</v>
      </c>
      <c r="D570" s="4" t="s">
        <v>161</v>
      </c>
      <c r="E570" s="4" t="s">
        <v>17</v>
      </c>
      <c r="F570" s="4" t="s">
        <v>18</v>
      </c>
      <c r="G570" s="5">
        <v>0.81111111111111112</v>
      </c>
      <c r="H570" s="5">
        <v>0.4</v>
      </c>
      <c r="I570" s="5">
        <v>0.05</v>
      </c>
      <c r="J570" s="6">
        <v>0.46969696969696972</v>
      </c>
      <c r="K570" s="6">
        <v>0.85258064516129006</v>
      </c>
      <c r="L570" s="6">
        <v>0.62448651976415459</v>
      </c>
      <c r="M570" s="4" t="s">
        <v>106</v>
      </c>
      <c r="N570" s="5">
        <v>8.1876463236706581E-2</v>
      </c>
      <c r="O570" s="4">
        <v>0</v>
      </c>
    </row>
    <row r="571" spans="1:15" x14ac:dyDescent="0.3">
      <c r="A571" s="4">
        <v>190</v>
      </c>
      <c r="B571" s="4">
        <v>190000</v>
      </c>
      <c r="C571" s="4" t="s">
        <v>15</v>
      </c>
      <c r="D571" s="4" t="s">
        <v>162</v>
      </c>
      <c r="E571" s="4" t="s">
        <v>17</v>
      </c>
      <c r="F571" s="4" t="s">
        <v>18</v>
      </c>
      <c r="G571" s="5">
        <v>0.81111111111111112</v>
      </c>
      <c r="H571" s="5">
        <v>0.4</v>
      </c>
      <c r="I571" s="5">
        <v>0.1166666666666667</v>
      </c>
      <c r="J571" s="6">
        <v>0.43939393939393939</v>
      </c>
      <c r="K571" s="6">
        <v>0.85241379310344811</v>
      </c>
      <c r="L571" s="6">
        <v>0.51719695398248444</v>
      </c>
      <c r="M571" s="4" t="s">
        <v>106</v>
      </c>
      <c r="N571" s="5">
        <v>8.1876463236706581E-2</v>
      </c>
      <c r="O571" s="4">
        <v>0</v>
      </c>
    </row>
    <row r="572" spans="1:15" x14ac:dyDescent="0.3">
      <c r="A572" s="4">
        <v>191</v>
      </c>
      <c r="B572" s="4">
        <v>191000</v>
      </c>
      <c r="C572" s="4" t="s">
        <v>15</v>
      </c>
      <c r="D572" s="4" t="s">
        <v>16</v>
      </c>
      <c r="E572" s="4" t="s">
        <v>17</v>
      </c>
      <c r="F572" s="4" t="s">
        <v>18</v>
      </c>
      <c r="G572" s="5">
        <v>0.1</v>
      </c>
      <c r="H572" s="5">
        <v>0.4</v>
      </c>
      <c r="I572" s="5">
        <v>0.05</v>
      </c>
      <c r="J572" s="6">
        <v>0.67741935483870963</v>
      </c>
      <c r="K572" s="6">
        <v>0.77880952380952362</v>
      </c>
      <c r="L572" s="6">
        <v>0.73249169214849197</v>
      </c>
      <c r="M572" s="4" t="s">
        <v>94</v>
      </c>
      <c r="N572" s="5">
        <v>0.1352415907401717</v>
      </c>
      <c r="O572" s="4">
        <v>0</v>
      </c>
    </row>
    <row r="573" spans="1:15" x14ac:dyDescent="0.3">
      <c r="A573" s="4">
        <v>191</v>
      </c>
      <c r="B573" s="4">
        <v>191000</v>
      </c>
      <c r="C573" s="4" t="s">
        <v>15</v>
      </c>
      <c r="D573" s="4" t="s">
        <v>161</v>
      </c>
      <c r="E573" s="4" t="s">
        <v>17</v>
      </c>
      <c r="F573" s="4" t="s">
        <v>18</v>
      </c>
      <c r="G573" s="5">
        <v>0.81111111111111112</v>
      </c>
      <c r="H573" s="5">
        <v>0.4</v>
      </c>
      <c r="I573" s="5">
        <v>0.05</v>
      </c>
      <c r="J573" s="6">
        <v>0.46774193548387089</v>
      </c>
      <c r="K573" s="6">
        <v>0.85655172413793079</v>
      </c>
      <c r="L573" s="6">
        <v>0.62564767995391724</v>
      </c>
      <c r="M573" s="4" t="s">
        <v>94</v>
      </c>
      <c r="N573" s="5">
        <v>0.1352415907401717</v>
      </c>
      <c r="O573" s="4">
        <v>0</v>
      </c>
    </row>
    <row r="574" spans="1:15" x14ac:dyDescent="0.3">
      <c r="A574" s="4">
        <v>191</v>
      </c>
      <c r="B574" s="4">
        <v>191000</v>
      </c>
      <c r="C574" s="4" t="s">
        <v>15</v>
      </c>
      <c r="D574" s="4" t="s">
        <v>162</v>
      </c>
      <c r="E574" s="4" t="s">
        <v>17</v>
      </c>
      <c r="F574" s="4" t="s">
        <v>18</v>
      </c>
      <c r="G574" s="5">
        <v>0.81111111111111112</v>
      </c>
      <c r="H574" s="5">
        <v>0.4</v>
      </c>
      <c r="I574" s="5">
        <v>0.1166666666666667</v>
      </c>
      <c r="J574" s="6">
        <v>0.45161290322580638</v>
      </c>
      <c r="K574" s="6">
        <v>0.85571428571428554</v>
      </c>
      <c r="L574" s="6">
        <v>0.56325562661290351</v>
      </c>
      <c r="M574" s="4" t="s">
        <v>94</v>
      </c>
      <c r="N574" s="5">
        <v>0.1352415907401717</v>
      </c>
      <c r="O574" s="4">
        <v>0</v>
      </c>
    </row>
    <row r="575" spans="1:15" x14ac:dyDescent="0.3">
      <c r="A575" s="4">
        <v>192</v>
      </c>
      <c r="B575" s="4">
        <v>192000</v>
      </c>
      <c r="C575" s="4" t="s">
        <v>15</v>
      </c>
      <c r="D575" s="4" t="s">
        <v>16</v>
      </c>
      <c r="E575" s="4" t="s">
        <v>17</v>
      </c>
      <c r="F575" s="4" t="s">
        <v>18</v>
      </c>
      <c r="G575" s="5">
        <v>0.1</v>
      </c>
      <c r="H575" s="5">
        <v>0.4</v>
      </c>
      <c r="I575" s="5">
        <v>0.05</v>
      </c>
      <c r="J575" s="6">
        <v>0.71186440677966101</v>
      </c>
      <c r="K575" s="6">
        <v>0.78880952380952407</v>
      </c>
      <c r="L575" s="6">
        <v>0.72286975368379669</v>
      </c>
      <c r="M575" s="4" t="s">
        <v>107</v>
      </c>
      <c r="N575" s="5">
        <v>0.26320707025814261</v>
      </c>
      <c r="O575" s="4">
        <v>1</v>
      </c>
    </row>
    <row r="576" spans="1:15" x14ac:dyDescent="0.3">
      <c r="A576" s="4">
        <v>192</v>
      </c>
      <c r="B576" s="4">
        <v>192000</v>
      </c>
      <c r="C576" s="4" t="s">
        <v>15</v>
      </c>
      <c r="D576" s="4" t="s">
        <v>161</v>
      </c>
      <c r="E576" s="4" t="s">
        <v>17</v>
      </c>
      <c r="F576" s="4" t="s">
        <v>18</v>
      </c>
      <c r="G576" s="5">
        <v>0.18888888888888891</v>
      </c>
      <c r="H576" s="5">
        <v>0.4</v>
      </c>
      <c r="I576" s="5">
        <v>0.05</v>
      </c>
      <c r="J576" s="6">
        <v>0.69491525423728817</v>
      </c>
      <c r="K576" s="6">
        <v>0.80512195121951236</v>
      </c>
      <c r="L576" s="6">
        <v>0.7337234017154961</v>
      </c>
      <c r="M576" s="4" t="s">
        <v>107</v>
      </c>
      <c r="N576" s="5">
        <v>0.26320707025814261</v>
      </c>
      <c r="O576" s="4">
        <v>1</v>
      </c>
    </row>
    <row r="577" spans="1:15" x14ac:dyDescent="0.3">
      <c r="A577" s="4">
        <v>192</v>
      </c>
      <c r="B577" s="4">
        <v>192000</v>
      </c>
      <c r="C577" s="4" t="s">
        <v>15</v>
      </c>
      <c r="D577" s="4" t="s">
        <v>162</v>
      </c>
      <c r="E577" s="4" t="s">
        <v>17</v>
      </c>
      <c r="F577" s="4" t="s">
        <v>18</v>
      </c>
      <c r="G577" s="5">
        <v>0.81111111111111112</v>
      </c>
      <c r="H577" s="5">
        <v>0.60000000000000009</v>
      </c>
      <c r="I577" s="5">
        <v>0.05</v>
      </c>
      <c r="J577" s="6">
        <v>0.5423728813559322</v>
      </c>
      <c r="K577" s="6">
        <v>0.86156249999999979</v>
      </c>
      <c r="L577" s="6">
        <v>0.6243527777763469</v>
      </c>
      <c r="M577" s="4" t="s">
        <v>107</v>
      </c>
      <c r="N577" s="5">
        <v>0.26320707025814261</v>
      </c>
      <c r="O577" s="4">
        <v>1</v>
      </c>
    </row>
    <row r="578" spans="1:15" x14ac:dyDescent="0.3">
      <c r="A578" s="4">
        <v>193</v>
      </c>
      <c r="B578" s="4">
        <v>193000</v>
      </c>
      <c r="C578" s="4" t="s">
        <v>15</v>
      </c>
      <c r="D578" s="4" t="s">
        <v>16</v>
      </c>
      <c r="E578" s="4" t="s">
        <v>17</v>
      </c>
      <c r="F578" s="4" t="s">
        <v>18</v>
      </c>
      <c r="G578" s="5">
        <v>0.1</v>
      </c>
      <c r="H578" s="5">
        <v>0.4</v>
      </c>
      <c r="I578" s="5">
        <v>0.05</v>
      </c>
      <c r="J578" s="6">
        <v>0.76271186440677963</v>
      </c>
      <c r="K578" s="6">
        <v>0.76977777777777778</v>
      </c>
      <c r="L578" s="6">
        <v>0.63887532223398114</v>
      </c>
      <c r="M578" s="4" t="s">
        <v>52</v>
      </c>
      <c r="N578" s="5">
        <v>8.7703653276777135E-2</v>
      </c>
      <c r="O578" s="4">
        <v>0</v>
      </c>
    </row>
    <row r="579" spans="1:15" x14ac:dyDescent="0.3">
      <c r="A579" s="4">
        <v>193</v>
      </c>
      <c r="B579" s="4">
        <v>193000</v>
      </c>
      <c r="C579" s="4" t="s">
        <v>15</v>
      </c>
      <c r="D579" s="4" t="s">
        <v>161</v>
      </c>
      <c r="E579" s="4" t="s">
        <v>17</v>
      </c>
      <c r="F579" s="4" t="s">
        <v>18</v>
      </c>
      <c r="G579" s="5">
        <v>0.18888888888888891</v>
      </c>
      <c r="H579" s="5">
        <v>0.4</v>
      </c>
      <c r="I579" s="5">
        <v>0.05</v>
      </c>
      <c r="J579" s="6">
        <v>0.76271186440677963</v>
      </c>
      <c r="K579" s="6">
        <v>0.76977777777777778</v>
      </c>
      <c r="L579" s="6">
        <v>0.63887532223398114</v>
      </c>
      <c r="M579" s="4" t="s">
        <v>52</v>
      </c>
      <c r="N579" s="5">
        <v>8.7703653276777135E-2</v>
      </c>
      <c r="O579" s="4">
        <v>0</v>
      </c>
    </row>
    <row r="580" spans="1:15" x14ac:dyDescent="0.3">
      <c r="A580" s="4">
        <v>193</v>
      </c>
      <c r="B580" s="4">
        <v>193000</v>
      </c>
      <c r="C580" s="4" t="s">
        <v>15</v>
      </c>
      <c r="D580" s="4" t="s">
        <v>162</v>
      </c>
      <c r="E580" s="4" t="s">
        <v>17</v>
      </c>
      <c r="F580" s="4" t="s">
        <v>18</v>
      </c>
      <c r="G580" s="5">
        <v>0.81111111111111112</v>
      </c>
      <c r="H580" s="5">
        <v>0.60000000000000009</v>
      </c>
      <c r="I580" s="5">
        <v>0.05</v>
      </c>
      <c r="J580" s="6">
        <v>0.55932203389830504</v>
      </c>
      <c r="K580" s="6">
        <v>0.86030303030303013</v>
      </c>
      <c r="L580" s="6">
        <v>0.6504478259427634</v>
      </c>
      <c r="M580" s="4" t="s">
        <v>52</v>
      </c>
      <c r="N580" s="5">
        <v>8.7703653276777135E-2</v>
      </c>
      <c r="O580" s="4">
        <v>0</v>
      </c>
    </row>
    <row r="581" spans="1:15" x14ac:dyDescent="0.3">
      <c r="A581" s="4">
        <v>194</v>
      </c>
      <c r="B581" s="4">
        <v>194000</v>
      </c>
      <c r="C581" s="4" t="s">
        <v>15</v>
      </c>
      <c r="D581" s="4" t="s">
        <v>16</v>
      </c>
      <c r="E581" s="4" t="s">
        <v>17</v>
      </c>
      <c r="F581" s="4" t="s">
        <v>18</v>
      </c>
      <c r="G581" s="5">
        <v>0.1</v>
      </c>
      <c r="H581" s="5">
        <v>0.4</v>
      </c>
      <c r="I581" s="5">
        <v>0.05</v>
      </c>
      <c r="J581" s="6">
        <v>0.74545454545454548</v>
      </c>
      <c r="K581" s="6">
        <v>0.77756097560975612</v>
      </c>
      <c r="L581" s="6">
        <v>0.73936222640784399</v>
      </c>
      <c r="M581" s="4" t="s">
        <v>19</v>
      </c>
      <c r="N581" s="5">
        <v>1</v>
      </c>
      <c r="O581" s="4">
        <v>1</v>
      </c>
    </row>
    <row r="582" spans="1:15" x14ac:dyDescent="0.3">
      <c r="A582" s="4">
        <v>194</v>
      </c>
      <c r="B582" s="4">
        <v>194000</v>
      </c>
      <c r="C582" s="4" t="s">
        <v>15</v>
      </c>
      <c r="D582" s="4" t="s">
        <v>161</v>
      </c>
      <c r="E582" s="4" t="s">
        <v>17</v>
      </c>
      <c r="F582" s="4" t="s">
        <v>18</v>
      </c>
      <c r="G582" s="5">
        <v>0.1</v>
      </c>
      <c r="H582" s="5">
        <v>0.60000000000000009</v>
      </c>
      <c r="I582" s="5">
        <v>0.05</v>
      </c>
      <c r="J582" s="6">
        <v>0.72727272727272729</v>
      </c>
      <c r="K582" s="6">
        <v>0.79700000000000004</v>
      </c>
      <c r="L582" s="6">
        <v>0.75093813587849045</v>
      </c>
      <c r="M582" s="4" t="s">
        <v>19</v>
      </c>
      <c r="N582" s="5">
        <v>1</v>
      </c>
      <c r="O582" s="4">
        <v>1</v>
      </c>
    </row>
    <row r="583" spans="1:15" x14ac:dyDescent="0.3">
      <c r="A583" s="4">
        <v>194</v>
      </c>
      <c r="B583" s="4">
        <v>194000</v>
      </c>
      <c r="C583" s="4" t="s">
        <v>15</v>
      </c>
      <c r="D583" s="4" t="s">
        <v>162</v>
      </c>
      <c r="E583" s="4" t="s">
        <v>17</v>
      </c>
      <c r="F583" s="4" t="s">
        <v>18</v>
      </c>
      <c r="G583" s="5">
        <v>0.81111111111111112</v>
      </c>
      <c r="H583" s="5">
        <v>0.60000000000000009</v>
      </c>
      <c r="I583" s="5">
        <v>0.05</v>
      </c>
      <c r="J583" s="6">
        <v>0.54545454545454541</v>
      </c>
      <c r="K583" s="6">
        <v>0.86066666666666669</v>
      </c>
      <c r="L583" s="6">
        <v>0.72163324322038258</v>
      </c>
      <c r="M583" s="4" t="s">
        <v>19</v>
      </c>
      <c r="N583" s="5">
        <v>1</v>
      </c>
      <c r="O583" s="4">
        <v>1</v>
      </c>
    </row>
    <row r="584" spans="1:15" x14ac:dyDescent="0.3">
      <c r="A584" s="4">
        <v>195</v>
      </c>
      <c r="B584" s="4">
        <v>195000</v>
      </c>
      <c r="C584" s="4" t="s">
        <v>15</v>
      </c>
      <c r="D584" s="4" t="s">
        <v>16</v>
      </c>
      <c r="E584" s="4" t="s">
        <v>17</v>
      </c>
      <c r="F584" s="4" t="s">
        <v>18</v>
      </c>
      <c r="G584" s="5">
        <v>0.1</v>
      </c>
      <c r="H584" s="5">
        <v>0.4</v>
      </c>
      <c r="I584" s="5">
        <v>0.05</v>
      </c>
      <c r="J584" s="6">
        <v>0.73770491803278693</v>
      </c>
      <c r="K584" s="6">
        <v>0.78288888888888919</v>
      </c>
      <c r="L584" s="6">
        <v>0.75773185274462029</v>
      </c>
      <c r="M584" s="4" t="s">
        <v>19</v>
      </c>
      <c r="N584" s="5">
        <v>1</v>
      </c>
      <c r="O584" s="4">
        <v>1</v>
      </c>
    </row>
    <row r="585" spans="1:15" x14ac:dyDescent="0.3">
      <c r="A585" s="4">
        <v>195</v>
      </c>
      <c r="B585" s="4">
        <v>195000</v>
      </c>
      <c r="C585" s="4" t="s">
        <v>15</v>
      </c>
      <c r="D585" s="4" t="s">
        <v>161</v>
      </c>
      <c r="E585" s="4" t="s">
        <v>17</v>
      </c>
      <c r="F585" s="4" t="s">
        <v>18</v>
      </c>
      <c r="G585" s="5">
        <v>0.1</v>
      </c>
      <c r="H585" s="5">
        <v>0.60000000000000009</v>
      </c>
      <c r="I585" s="5">
        <v>0.05</v>
      </c>
      <c r="J585" s="6">
        <v>0.72131147540983609</v>
      </c>
      <c r="K585" s="6">
        <v>0.80068181818181838</v>
      </c>
      <c r="L585" s="6">
        <v>0.77024899783168876</v>
      </c>
      <c r="M585" s="4" t="s">
        <v>19</v>
      </c>
      <c r="N585" s="5">
        <v>1</v>
      </c>
      <c r="O585" s="4">
        <v>1</v>
      </c>
    </row>
    <row r="586" spans="1:15" x14ac:dyDescent="0.3">
      <c r="A586" s="4">
        <v>195</v>
      </c>
      <c r="B586" s="4">
        <v>195000</v>
      </c>
      <c r="C586" s="4" t="s">
        <v>15</v>
      </c>
      <c r="D586" s="4" t="s">
        <v>162</v>
      </c>
      <c r="E586" s="4" t="s">
        <v>17</v>
      </c>
      <c r="F586" s="4" t="s">
        <v>18</v>
      </c>
      <c r="G586" s="5">
        <v>0.81111111111111112</v>
      </c>
      <c r="H586" s="5">
        <v>0.60000000000000009</v>
      </c>
      <c r="I586" s="5">
        <v>0.05</v>
      </c>
      <c r="J586" s="6">
        <v>0.52459016393442626</v>
      </c>
      <c r="K586" s="6">
        <v>0.86281249999999987</v>
      </c>
      <c r="L586" s="6">
        <v>0.65798075096137587</v>
      </c>
      <c r="M586" s="4" t="s">
        <v>19</v>
      </c>
      <c r="N586" s="5">
        <v>1</v>
      </c>
      <c r="O586" s="4">
        <v>1</v>
      </c>
    </row>
    <row r="587" spans="1:15" x14ac:dyDescent="0.3">
      <c r="A587" s="4">
        <v>196</v>
      </c>
      <c r="B587" s="4">
        <v>196000</v>
      </c>
      <c r="C587" s="4" t="s">
        <v>15</v>
      </c>
      <c r="D587" s="4" t="s">
        <v>16</v>
      </c>
      <c r="E587" s="4" t="s">
        <v>17</v>
      </c>
      <c r="F587" s="4" t="s">
        <v>18</v>
      </c>
      <c r="G587" s="5">
        <v>0.1</v>
      </c>
      <c r="H587" s="5">
        <v>0.4</v>
      </c>
      <c r="I587" s="5">
        <v>0.05</v>
      </c>
      <c r="J587" s="6">
        <v>0.69354838709677424</v>
      </c>
      <c r="K587" s="6">
        <v>0.78093023255813965</v>
      </c>
      <c r="L587" s="6">
        <v>0.64455433880650659</v>
      </c>
      <c r="M587" s="4" t="s">
        <v>108</v>
      </c>
      <c r="N587" s="5">
        <v>0.11509533442871681</v>
      </c>
      <c r="O587" s="4">
        <v>0</v>
      </c>
    </row>
    <row r="588" spans="1:15" x14ac:dyDescent="0.3">
      <c r="A588" s="4">
        <v>196</v>
      </c>
      <c r="B588" s="4">
        <v>196000</v>
      </c>
      <c r="C588" s="4" t="s">
        <v>15</v>
      </c>
      <c r="D588" s="4" t="s">
        <v>161</v>
      </c>
      <c r="E588" s="4" t="s">
        <v>17</v>
      </c>
      <c r="F588" s="4" t="s">
        <v>18</v>
      </c>
      <c r="G588" s="5">
        <v>0.1</v>
      </c>
      <c r="H588" s="5">
        <v>0.60000000000000009</v>
      </c>
      <c r="I588" s="5">
        <v>0.05</v>
      </c>
      <c r="J588" s="6">
        <v>0.67741935483870963</v>
      </c>
      <c r="K588" s="6">
        <v>0.79952380952380964</v>
      </c>
      <c r="L588" s="6">
        <v>0.65010989436206212</v>
      </c>
      <c r="M588" s="4" t="s">
        <v>108</v>
      </c>
      <c r="N588" s="5">
        <v>0.11509533442871681</v>
      </c>
      <c r="O588" s="4">
        <v>0</v>
      </c>
    </row>
    <row r="589" spans="1:15" x14ac:dyDescent="0.3">
      <c r="A589" s="4">
        <v>196</v>
      </c>
      <c r="B589" s="4">
        <v>196000</v>
      </c>
      <c r="C589" s="4" t="s">
        <v>15</v>
      </c>
      <c r="D589" s="4" t="s">
        <v>162</v>
      </c>
      <c r="E589" s="4" t="s">
        <v>17</v>
      </c>
      <c r="F589" s="4" t="s">
        <v>18</v>
      </c>
      <c r="G589" s="5">
        <v>0.81111111111111112</v>
      </c>
      <c r="H589" s="5">
        <v>0.60000000000000009</v>
      </c>
      <c r="I589" s="5">
        <v>0.05</v>
      </c>
      <c r="J589" s="6">
        <v>0.5</v>
      </c>
      <c r="K589" s="6">
        <v>0.85483870967741915</v>
      </c>
      <c r="L589" s="6">
        <v>0.59021676847253235</v>
      </c>
      <c r="M589" s="4" t="s">
        <v>108</v>
      </c>
      <c r="N589" s="5">
        <v>0.11509533442871681</v>
      </c>
      <c r="O589" s="4">
        <v>0</v>
      </c>
    </row>
    <row r="590" spans="1:15" x14ac:dyDescent="0.3">
      <c r="A590" s="4">
        <v>197</v>
      </c>
      <c r="B590" s="4">
        <v>197000</v>
      </c>
      <c r="C590" s="4" t="s">
        <v>15</v>
      </c>
      <c r="D590" s="4" t="s">
        <v>16</v>
      </c>
      <c r="E590" s="4" t="s">
        <v>17</v>
      </c>
      <c r="F590" s="4" t="s">
        <v>18</v>
      </c>
      <c r="G590" s="5">
        <v>0.1</v>
      </c>
      <c r="H590" s="5">
        <v>0.4</v>
      </c>
      <c r="I590" s="5">
        <v>0.05</v>
      </c>
      <c r="J590" s="6">
        <v>0.68181818181818177</v>
      </c>
      <c r="K590" s="6">
        <v>0.78200000000000014</v>
      </c>
      <c r="L590" s="6">
        <v>0.62413768530112723</v>
      </c>
      <c r="M590" s="4" t="s">
        <v>102</v>
      </c>
      <c r="N590" s="5">
        <v>0.15133655318342881</v>
      </c>
      <c r="O590" s="4">
        <v>1</v>
      </c>
    </row>
    <row r="591" spans="1:15" x14ac:dyDescent="0.3">
      <c r="A591" s="4">
        <v>197</v>
      </c>
      <c r="B591" s="4">
        <v>197000</v>
      </c>
      <c r="C591" s="4" t="s">
        <v>15</v>
      </c>
      <c r="D591" s="4" t="s">
        <v>161</v>
      </c>
      <c r="E591" s="4" t="s">
        <v>17</v>
      </c>
      <c r="F591" s="4" t="s">
        <v>18</v>
      </c>
      <c r="G591" s="5">
        <v>0.81111111111111112</v>
      </c>
      <c r="H591" s="5">
        <v>0.4</v>
      </c>
      <c r="I591" s="5">
        <v>0.05</v>
      </c>
      <c r="J591" s="6">
        <v>0.5</v>
      </c>
      <c r="K591" s="6">
        <v>0.83484848484848473</v>
      </c>
      <c r="L591" s="6">
        <v>0.73040014578009127</v>
      </c>
      <c r="M591" s="4" t="s">
        <v>102</v>
      </c>
      <c r="N591" s="5">
        <v>0.15133655318342881</v>
      </c>
      <c r="O591" s="4">
        <v>1</v>
      </c>
    </row>
    <row r="592" spans="1:15" x14ac:dyDescent="0.3">
      <c r="A592" s="4">
        <v>197</v>
      </c>
      <c r="B592" s="4">
        <v>197000</v>
      </c>
      <c r="C592" s="4" t="s">
        <v>15</v>
      </c>
      <c r="D592" s="4" t="s">
        <v>162</v>
      </c>
      <c r="E592" s="4" t="s">
        <v>17</v>
      </c>
      <c r="F592" s="4" t="s">
        <v>18</v>
      </c>
      <c r="G592" s="5">
        <v>0.9</v>
      </c>
      <c r="H592" s="5">
        <v>0.60000000000000009</v>
      </c>
      <c r="I592" s="5">
        <v>0.05</v>
      </c>
      <c r="J592" s="6">
        <v>0.40909090909090912</v>
      </c>
      <c r="K592" s="6">
        <v>0.86185185185185187</v>
      </c>
      <c r="L592" s="6">
        <v>0.6967001640026026</v>
      </c>
      <c r="M592" s="4" t="s">
        <v>102</v>
      </c>
      <c r="N592" s="5">
        <v>0.15133655318342881</v>
      </c>
      <c r="O592" s="4">
        <v>1</v>
      </c>
    </row>
    <row r="593" spans="1:15" x14ac:dyDescent="0.3">
      <c r="A593" s="4">
        <v>198</v>
      </c>
      <c r="B593" s="4">
        <v>198000</v>
      </c>
      <c r="C593" s="4" t="s">
        <v>15</v>
      </c>
      <c r="D593" s="4" t="s">
        <v>16</v>
      </c>
      <c r="E593" s="4" t="s">
        <v>17</v>
      </c>
      <c r="F593" s="4" t="s">
        <v>18</v>
      </c>
      <c r="G593" s="5">
        <v>0.1</v>
      </c>
      <c r="H593" s="5">
        <v>0.4</v>
      </c>
      <c r="I593" s="5">
        <v>0.05</v>
      </c>
      <c r="J593" s="6">
        <v>0.79104477611940294</v>
      </c>
      <c r="K593" s="6">
        <v>0.74622641509433973</v>
      </c>
      <c r="L593" s="6">
        <v>0.68901435112565046</v>
      </c>
      <c r="M593" s="4" t="s">
        <v>100</v>
      </c>
      <c r="N593" s="5">
        <v>0.1313946932557285</v>
      </c>
      <c r="O593" s="4">
        <v>0</v>
      </c>
    </row>
    <row r="594" spans="1:15" x14ac:dyDescent="0.3">
      <c r="A594" s="4">
        <v>198</v>
      </c>
      <c r="B594" s="4">
        <v>198000</v>
      </c>
      <c r="C594" s="4" t="s">
        <v>15</v>
      </c>
      <c r="D594" s="4" t="s">
        <v>161</v>
      </c>
      <c r="E594" s="4" t="s">
        <v>17</v>
      </c>
      <c r="F594" s="4" t="s">
        <v>18</v>
      </c>
      <c r="G594" s="5">
        <v>0.81111111111111112</v>
      </c>
      <c r="H594" s="5">
        <v>0.4</v>
      </c>
      <c r="I594" s="5">
        <v>0.05</v>
      </c>
      <c r="J594" s="6">
        <v>0.47761194029850751</v>
      </c>
      <c r="K594" s="6">
        <v>0.83250000000000002</v>
      </c>
      <c r="L594" s="6">
        <v>0.71302306119292547</v>
      </c>
      <c r="M594" s="4" t="s">
        <v>100</v>
      </c>
      <c r="N594" s="5">
        <v>0.1313946932557285</v>
      </c>
      <c r="O594" s="4">
        <v>0</v>
      </c>
    </row>
    <row r="595" spans="1:15" x14ac:dyDescent="0.3">
      <c r="A595" s="4">
        <v>198</v>
      </c>
      <c r="B595" s="4">
        <v>198000</v>
      </c>
      <c r="C595" s="4" t="s">
        <v>15</v>
      </c>
      <c r="D595" s="4" t="s">
        <v>162</v>
      </c>
      <c r="E595" s="4" t="s">
        <v>17</v>
      </c>
      <c r="F595" s="4" t="s">
        <v>18</v>
      </c>
      <c r="G595" s="5">
        <v>0.9</v>
      </c>
      <c r="H595" s="5">
        <v>0.60000000000000009</v>
      </c>
      <c r="I595" s="5">
        <v>0.05</v>
      </c>
      <c r="J595" s="6">
        <v>0.43283582089552242</v>
      </c>
      <c r="K595" s="6">
        <v>0.83068965517241378</v>
      </c>
      <c r="L595" s="6">
        <v>0.67715094384204122</v>
      </c>
      <c r="M595" s="4" t="s">
        <v>100</v>
      </c>
      <c r="N595" s="5">
        <v>0.1313946932557285</v>
      </c>
      <c r="O595" s="4">
        <v>0</v>
      </c>
    </row>
    <row r="596" spans="1:15" x14ac:dyDescent="0.3">
      <c r="A596" s="4">
        <v>199</v>
      </c>
      <c r="B596" s="4">
        <v>199000</v>
      </c>
      <c r="C596" s="4" t="s">
        <v>15</v>
      </c>
      <c r="D596" s="4" t="s">
        <v>16</v>
      </c>
      <c r="E596" s="4" t="s">
        <v>17</v>
      </c>
      <c r="F596" s="4" t="s">
        <v>18</v>
      </c>
      <c r="G596" s="5">
        <v>0.1</v>
      </c>
      <c r="H596" s="5">
        <v>0.4</v>
      </c>
      <c r="I596" s="5">
        <v>0.05</v>
      </c>
      <c r="J596" s="6">
        <v>0.71641791044776115</v>
      </c>
      <c r="K596" s="6">
        <v>0.77395833333333341</v>
      </c>
      <c r="L596" s="6">
        <v>0.63156175132462766</v>
      </c>
      <c r="M596" s="4" t="s">
        <v>19</v>
      </c>
      <c r="N596" s="5">
        <v>1</v>
      </c>
      <c r="O596" s="4">
        <v>1</v>
      </c>
    </row>
    <row r="597" spans="1:15" x14ac:dyDescent="0.3">
      <c r="A597" s="4">
        <v>199</v>
      </c>
      <c r="B597" s="4">
        <v>199000</v>
      </c>
      <c r="C597" s="4" t="s">
        <v>15</v>
      </c>
      <c r="D597" s="4" t="s">
        <v>161</v>
      </c>
      <c r="E597" s="4" t="s">
        <v>17</v>
      </c>
      <c r="F597" s="4" t="s">
        <v>18</v>
      </c>
      <c r="G597" s="5">
        <v>0.72222222222222221</v>
      </c>
      <c r="H597" s="5">
        <v>0.8</v>
      </c>
      <c r="I597" s="5">
        <v>0.05</v>
      </c>
      <c r="J597" s="6">
        <v>0.53731343283582089</v>
      </c>
      <c r="K597" s="6">
        <v>0.85666666666666658</v>
      </c>
      <c r="L597" s="6">
        <v>0.76490967917489661</v>
      </c>
      <c r="M597" s="4" t="s">
        <v>19</v>
      </c>
      <c r="N597" s="5">
        <v>1</v>
      </c>
      <c r="O597" s="4">
        <v>1</v>
      </c>
    </row>
    <row r="598" spans="1:15" x14ac:dyDescent="0.3">
      <c r="A598" s="4">
        <v>199</v>
      </c>
      <c r="B598" s="4">
        <v>199000</v>
      </c>
      <c r="C598" s="4" t="s">
        <v>15</v>
      </c>
      <c r="D598" s="4" t="s">
        <v>162</v>
      </c>
      <c r="E598" s="4" t="s">
        <v>17</v>
      </c>
      <c r="F598" s="4" t="s">
        <v>18</v>
      </c>
      <c r="G598" s="5">
        <v>0.81111111111111112</v>
      </c>
      <c r="H598" s="5">
        <v>0.8</v>
      </c>
      <c r="I598" s="5">
        <v>0.05</v>
      </c>
      <c r="J598" s="6">
        <v>0.47761194029850751</v>
      </c>
      <c r="K598" s="6">
        <v>0.8665624999999999</v>
      </c>
      <c r="L598" s="6">
        <v>0.73427612847877921</v>
      </c>
      <c r="M598" s="4" t="s">
        <v>19</v>
      </c>
      <c r="N598" s="5">
        <v>1</v>
      </c>
      <c r="O598" s="4">
        <v>1</v>
      </c>
    </row>
    <row r="599" spans="1:15" x14ac:dyDescent="0.3">
      <c r="A599" s="4">
        <v>200</v>
      </c>
      <c r="B599" s="4">
        <v>200000</v>
      </c>
      <c r="C599" s="4" t="s">
        <v>15</v>
      </c>
      <c r="D599" s="4" t="s">
        <v>16</v>
      </c>
      <c r="E599" s="4" t="s">
        <v>17</v>
      </c>
      <c r="F599" s="4" t="s">
        <v>18</v>
      </c>
      <c r="G599" s="5">
        <v>0.1</v>
      </c>
      <c r="H599" s="5">
        <v>0.4</v>
      </c>
      <c r="I599" s="5">
        <v>0.05</v>
      </c>
      <c r="J599" s="6">
        <v>0.73770491803278693</v>
      </c>
      <c r="K599" s="6">
        <v>0.74888888888888883</v>
      </c>
      <c r="L599" s="6">
        <v>0.60283276230919902</v>
      </c>
      <c r="M599" s="4" t="s">
        <v>109</v>
      </c>
      <c r="N599" s="5">
        <v>0.2420304448783632</v>
      </c>
      <c r="O599" s="4">
        <v>1</v>
      </c>
    </row>
    <row r="600" spans="1:15" x14ac:dyDescent="0.3">
      <c r="A600" s="4">
        <v>200</v>
      </c>
      <c r="B600" s="4">
        <v>200000</v>
      </c>
      <c r="C600" s="4" t="s">
        <v>15</v>
      </c>
      <c r="D600" s="4" t="s">
        <v>161</v>
      </c>
      <c r="E600" s="4" t="s">
        <v>17</v>
      </c>
      <c r="F600" s="4" t="s">
        <v>18</v>
      </c>
      <c r="G600" s="5">
        <v>0.72222222222222221</v>
      </c>
      <c r="H600" s="5">
        <v>0.8</v>
      </c>
      <c r="I600" s="5">
        <v>0.05</v>
      </c>
      <c r="J600" s="6">
        <v>0.55737704918032782</v>
      </c>
      <c r="K600" s="6">
        <v>0.8476470588235292</v>
      </c>
      <c r="L600" s="6">
        <v>0.75228820365992788</v>
      </c>
      <c r="M600" s="4" t="s">
        <v>109</v>
      </c>
      <c r="N600" s="5">
        <v>0.2420304448783632</v>
      </c>
      <c r="O600" s="4">
        <v>1</v>
      </c>
    </row>
    <row r="601" spans="1:15" x14ac:dyDescent="0.3">
      <c r="A601" s="4">
        <v>200</v>
      </c>
      <c r="B601" s="4">
        <v>200000</v>
      </c>
      <c r="C601" s="4" t="s">
        <v>15</v>
      </c>
      <c r="D601" s="4" t="s">
        <v>162</v>
      </c>
      <c r="E601" s="4" t="s">
        <v>17</v>
      </c>
      <c r="F601" s="4" t="s">
        <v>18</v>
      </c>
      <c r="G601" s="5">
        <v>0.9</v>
      </c>
      <c r="H601" s="5">
        <v>0.8</v>
      </c>
      <c r="I601" s="5">
        <v>0.05</v>
      </c>
      <c r="J601" s="6">
        <v>0.45901639344262302</v>
      </c>
      <c r="K601" s="6">
        <v>0.85571428571428565</v>
      </c>
      <c r="L601" s="6">
        <v>0.69036025457490979</v>
      </c>
      <c r="M601" s="4" t="s">
        <v>109</v>
      </c>
      <c r="N601" s="5">
        <v>0.2420304448783632</v>
      </c>
      <c r="O601" s="4">
        <v>1</v>
      </c>
    </row>
    <row r="602" spans="1:15" x14ac:dyDescent="0.3">
      <c r="A602" s="4">
        <v>201</v>
      </c>
      <c r="B602" s="4">
        <v>201000</v>
      </c>
      <c r="C602" s="4" t="s">
        <v>15</v>
      </c>
      <c r="D602" s="4" t="s">
        <v>16</v>
      </c>
      <c r="E602" s="4" t="s">
        <v>17</v>
      </c>
      <c r="F602" s="4" t="s">
        <v>18</v>
      </c>
      <c r="G602" s="5">
        <v>0.1</v>
      </c>
      <c r="H602" s="5">
        <v>0.4</v>
      </c>
      <c r="I602" s="5">
        <v>0.05</v>
      </c>
      <c r="J602" s="6">
        <v>0.70491803278688525</v>
      </c>
      <c r="K602" s="6">
        <v>0.77441860465116275</v>
      </c>
      <c r="L602" s="6">
        <v>0.67442390053329382</v>
      </c>
      <c r="M602" s="4" t="s">
        <v>19</v>
      </c>
      <c r="N602" s="5">
        <v>1</v>
      </c>
      <c r="O602" s="4">
        <v>1</v>
      </c>
    </row>
    <row r="603" spans="1:15" x14ac:dyDescent="0.3">
      <c r="A603" s="4">
        <v>201</v>
      </c>
      <c r="B603" s="4">
        <v>201000</v>
      </c>
      <c r="C603" s="4" t="s">
        <v>15</v>
      </c>
      <c r="D603" s="4" t="s">
        <v>161</v>
      </c>
      <c r="E603" s="4" t="s">
        <v>17</v>
      </c>
      <c r="F603" s="4" t="s">
        <v>18</v>
      </c>
      <c r="G603" s="5">
        <v>0.1</v>
      </c>
      <c r="H603" s="5">
        <v>0.60000000000000009</v>
      </c>
      <c r="I603" s="5">
        <v>0.1166666666666667</v>
      </c>
      <c r="J603" s="6">
        <v>0.60655737704918034</v>
      </c>
      <c r="K603" s="6">
        <v>0.81486486486486487</v>
      </c>
      <c r="L603" s="6">
        <v>0.75841350266591978</v>
      </c>
      <c r="M603" s="4" t="s">
        <v>19</v>
      </c>
      <c r="N603" s="5">
        <v>1</v>
      </c>
      <c r="O603" s="4">
        <v>1</v>
      </c>
    </row>
    <row r="604" spans="1:15" x14ac:dyDescent="0.3">
      <c r="A604" s="4">
        <v>201</v>
      </c>
      <c r="B604" s="4">
        <v>201000</v>
      </c>
      <c r="C604" s="4" t="s">
        <v>15</v>
      </c>
      <c r="D604" s="4" t="s">
        <v>162</v>
      </c>
      <c r="E604" s="4" t="s">
        <v>17</v>
      </c>
      <c r="F604" s="4" t="s">
        <v>18</v>
      </c>
      <c r="G604" s="5">
        <v>0.81111111111111112</v>
      </c>
      <c r="H604" s="5">
        <v>0.60000000000000009</v>
      </c>
      <c r="I604" s="5">
        <v>0.05</v>
      </c>
      <c r="J604" s="6">
        <v>0.52459016393442626</v>
      </c>
      <c r="K604" s="6">
        <v>0.86437499999999989</v>
      </c>
      <c r="L604" s="6">
        <v>0.7296463859866883</v>
      </c>
      <c r="M604" s="4" t="s">
        <v>19</v>
      </c>
      <c r="N604" s="5">
        <v>1</v>
      </c>
      <c r="O604" s="4">
        <v>1</v>
      </c>
    </row>
    <row r="605" spans="1:15" x14ac:dyDescent="0.3">
      <c r="A605" s="4">
        <v>202</v>
      </c>
      <c r="B605" s="4">
        <v>202000</v>
      </c>
      <c r="C605" s="4" t="s">
        <v>15</v>
      </c>
      <c r="D605" s="4" t="s">
        <v>16</v>
      </c>
      <c r="E605" s="4" t="s">
        <v>17</v>
      </c>
      <c r="F605" s="4" t="s">
        <v>18</v>
      </c>
      <c r="G605" s="5">
        <v>0.1</v>
      </c>
      <c r="H605" s="5">
        <v>0.4</v>
      </c>
      <c r="I605" s="5">
        <v>0.05</v>
      </c>
      <c r="J605" s="6">
        <v>0.76271186440677963</v>
      </c>
      <c r="K605" s="6">
        <v>0.76111111111111096</v>
      </c>
      <c r="L605" s="6">
        <v>0.75446459380773456</v>
      </c>
      <c r="M605" s="4" t="s">
        <v>25</v>
      </c>
      <c r="N605" s="5">
        <v>0.1120578607286815</v>
      </c>
      <c r="O605" s="4">
        <v>0</v>
      </c>
    </row>
    <row r="606" spans="1:15" x14ac:dyDescent="0.3">
      <c r="A606" s="4">
        <v>202</v>
      </c>
      <c r="B606" s="4">
        <v>202000</v>
      </c>
      <c r="C606" s="4" t="s">
        <v>15</v>
      </c>
      <c r="D606" s="4" t="s">
        <v>161</v>
      </c>
      <c r="E606" s="4" t="s">
        <v>17</v>
      </c>
      <c r="F606" s="4" t="s">
        <v>18</v>
      </c>
      <c r="G606" s="5">
        <v>0.1</v>
      </c>
      <c r="H606" s="5">
        <v>0.60000000000000009</v>
      </c>
      <c r="I606" s="5">
        <v>0.1166666666666667</v>
      </c>
      <c r="J606" s="6">
        <v>0.66101694915254239</v>
      </c>
      <c r="K606" s="6">
        <v>0.78128205128205119</v>
      </c>
      <c r="L606" s="6">
        <v>0.68586686914589712</v>
      </c>
      <c r="M606" s="4" t="s">
        <v>25</v>
      </c>
      <c r="N606" s="5">
        <v>0.1120578607286815</v>
      </c>
      <c r="O606" s="4">
        <v>0</v>
      </c>
    </row>
    <row r="607" spans="1:15" x14ac:dyDescent="0.3">
      <c r="A607" s="4">
        <v>202</v>
      </c>
      <c r="B607" s="4">
        <v>202000</v>
      </c>
      <c r="C607" s="4" t="s">
        <v>15</v>
      </c>
      <c r="D607" s="4" t="s">
        <v>162</v>
      </c>
      <c r="E607" s="4" t="s">
        <v>17</v>
      </c>
      <c r="F607" s="4" t="s">
        <v>18</v>
      </c>
      <c r="G607" s="5">
        <v>0.81111111111111112</v>
      </c>
      <c r="H607" s="5">
        <v>0.60000000000000009</v>
      </c>
      <c r="I607" s="5">
        <v>0.05</v>
      </c>
      <c r="J607" s="6">
        <v>0.5423728813559322</v>
      </c>
      <c r="K607" s="6">
        <v>0.85781249999999987</v>
      </c>
      <c r="L607" s="6">
        <v>0.73946317456012944</v>
      </c>
      <c r="M607" s="4" t="s">
        <v>25</v>
      </c>
      <c r="N607" s="5">
        <v>0.1120578607286815</v>
      </c>
      <c r="O607" s="4">
        <v>0</v>
      </c>
    </row>
    <row r="608" spans="1:15" x14ac:dyDescent="0.3">
      <c r="A608" s="4">
        <v>203</v>
      </c>
      <c r="B608" s="4">
        <v>203000</v>
      </c>
      <c r="C608" s="4" t="s">
        <v>15</v>
      </c>
      <c r="D608" s="4" t="s">
        <v>16</v>
      </c>
      <c r="E608" s="4" t="s">
        <v>17</v>
      </c>
      <c r="F608" s="4" t="s">
        <v>18</v>
      </c>
      <c r="G608" s="5">
        <v>0.1</v>
      </c>
      <c r="H608" s="5">
        <v>0.4</v>
      </c>
      <c r="I608" s="5">
        <v>0.05</v>
      </c>
      <c r="J608" s="6">
        <v>0.71186440677966101</v>
      </c>
      <c r="K608" s="6">
        <v>0.76999999999999991</v>
      </c>
      <c r="L608" s="6">
        <v>0.61772863816084178</v>
      </c>
      <c r="M608" s="4" t="s">
        <v>33</v>
      </c>
      <c r="N608" s="5">
        <v>0.17086816434435231</v>
      </c>
      <c r="O608" s="4">
        <v>1</v>
      </c>
    </row>
    <row r="609" spans="1:15" x14ac:dyDescent="0.3">
      <c r="A609" s="4">
        <v>203</v>
      </c>
      <c r="B609" s="4">
        <v>203000</v>
      </c>
      <c r="C609" s="4" t="s">
        <v>15</v>
      </c>
      <c r="D609" s="4" t="s">
        <v>161</v>
      </c>
      <c r="E609" s="4" t="s">
        <v>17</v>
      </c>
      <c r="F609" s="4" t="s">
        <v>18</v>
      </c>
      <c r="G609" s="5">
        <v>0.81111111111111112</v>
      </c>
      <c r="H609" s="5">
        <v>0.60000000000000009</v>
      </c>
      <c r="I609" s="5">
        <v>0.05</v>
      </c>
      <c r="J609" s="6">
        <v>0.50847457627118642</v>
      </c>
      <c r="K609" s="6">
        <v>0.85899999999999999</v>
      </c>
      <c r="L609" s="6">
        <v>0.72146608730551665</v>
      </c>
      <c r="M609" s="4" t="s">
        <v>33</v>
      </c>
      <c r="N609" s="5">
        <v>0.17086816434435231</v>
      </c>
      <c r="O609" s="4">
        <v>1</v>
      </c>
    </row>
    <row r="610" spans="1:15" x14ac:dyDescent="0.3">
      <c r="A610" s="4">
        <v>203</v>
      </c>
      <c r="B610" s="4">
        <v>203000</v>
      </c>
      <c r="C610" s="4" t="s">
        <v>15</v>
      </c>
      <c r="D610" s="4" t="s">
        <v>162</v>
      </c>
      <c r="E610" s="4" t="s">
        <v>17</v>
      </c>
      <c r="F610" s="4" t="s">
        <v>18</v>
      </c>
      <c r="G610" s="5">
        <v>0.9</v>
      </c>
      <c r="H610" s="5">
        <v>0.60000000000000009</v>
      </c>
      <c r="I610" s="5">
        <v>0.05</v>
      </c>
      <c r="J610" s="6">
        <v>0.4576271186440678</v>
      </c>
      <c r="K610" s="6">
        <v>0.85925925925925928</v>
      </c>
      <c r="L610" s="6">
        <v>0.65692256337776966</v>
      </c>
      <c r="M610" s="4" t="s">
        <v>33</v>
      </c>
      <c r="N610" s="5">
        <v>0.17086816434435231</v>
      </c>
      <c r="O610" s="4">
        <v>1</v>
      </c>
    </row>
    <row r="611" spans="1:15" x14ac:dyDescent="0.3">
      <c r="A611" s="4">
        <v>204</v>
      </c>
      <c r="B611" s="4">
        <v>204000</v>
      </c>
      <c r="C611" s="4" t="s">
        <v>15</v>
      </c>
      <c r="D611" s="4" t="s">
        <v>16</v>
      </c>
      <c r="E611" s="4" t="s">
        <v>17</v>
      </c>
      <c r="F611" s="4" t="s">
        <v>18</v>
      </c>
      <c r="G611" s="5">
        <v>0.1</v>
      </c>
      <c r="H611" s="5">
        <v>0.4</v>
      </c>
      <c r="I611" s="5">
        <v>0.05</v>
      </c>
      <c r="J611" s="6">
        <v>0.703125</v>
      </c>
      <c r="K611" s="6">
        <v>0.76244444444444437</v>
      </c>
      <c r="L611" s="6">
        <v>0.56354236345964259</v>
      </c>
      <c r="M611" s="4" t="s">
        <v>110</v>
      </c>
      <c r="N611" s="5">
        <v>0.12757810241491779</v>
      </c>
      <c r="O611" s="4">
        <v>0</v>
      </c>
    </row>
    <row r="612" spans="1:15" x14ac:dyDescent="0.3">
      <c r="A612" s="4">
        <v>204</v>
      </c>
      <c r="B612" s="4">
        <v>204000</v>
      </c>
      <c r="C612" s="4" t="s">
        <v>15</v>
      </c>
      <c r="D612" s="4" t="s">
        <v>161</v>
      </c>
      <c r="E612" s="4" t="s">
        <v>17</v>
      </c>
      <c r="F612" s="4" t="s">
        <v>18</v>
      </c>
      <c r="G612" s="5">
        <v>0.81111111111111112</v>
      </c>
      <c r="H612" s="5">
        <v>0.60000000000000009</v>
      </c>
      <c r="I612" s="5">
        <v>0.05</v>
      </c>
      <c r="J612" s="6">
        <v>0.46875</v>
      </c>
      <c r="K612" s="6">
        <v>0.85633333333333317</v>
      </c>
      <c r="L612" s="6">
        <v>0.7219273337543769</v>
      </c>
      <c r="M612" s="4" t="s">
        <v>110</v>
      </c>
      <c r="N612" s="5">
        <v>0.12757810241491779</v>
      </c>
      <c r="O612" s="4">
        <v>0</v>
      </c>
    </row>
    <row r="613" spans="1:15" x14ac:dyDescent="0.3">
      <c r="A613" s="4">
        <v>204</v>
      </c>
      <c r="B613" s="4">
        <v>204000</v>
      </c>
      <c r="C613" s="4" t="s">
        <v>15</v>
      </c>
      <c r="D613" s="4" t="s">
        <v>162</v>
      </c>
      <c r="E613" s="4" t="s">
        <v>17</v>
      </c>
      <c r="F613" s="4" t="s">
        <v>18</v>
      </c>
      <c r="G613" s="5">
        <v>0.9</v>
      </c>
      <c r="H613" s="5">
        <v>0.60000000000000009</v>
      </c>
      <c r="I613" s="5">
        <v>0.05</v>
      </c>
      <c r="J613" s="6">
        <v>0.421875</v>
      </c>
      <c r="K613" s="6">
        <v>0.85444444444444434</v>
      </c>
      <c r="L613" s="6">
        <v>0.68716825047367402</v>
      </c>
      <c r="M613" s="4" t="s">
        <v>110</v>
      </c>
      <c r="N613" s="5">
        <v>0.12757810241491779</v>
      </c>
      <c r="O613" s="4">
        <v>0</v>
      </c>
    </row>
    <row r="614" spans="1:15" x14ac:dyDescent="0.3">
      <c r="A614" s="4">
        <v>205</v>
      </c>
      <c r="B614" s="4">
        <v>205000</v>
      </c>
      <c r="C614" s="4" t="s">
        <v>15</v>
      </c>
      <c r="D614" s="4" t="s">
        <v>16</v>
      </c>
      <c r="E614" s="4" t="s">
        <v>17</v>
      </c>
      <c r="F614" s="4" t="s">
        <v>18</v>
      </c>
      <c r="G614" s="5">
        <v>0.1</v>
      </c>
      <c r="H614" s="5">
        <v>0.4</v>
      </c>
      <c r="I614" s="5">
        <v>0.05</v>
      </c>
      <c r="J614" s="6">
        <v>0.68181818181818177</v>
      </c>
      <c r="K614" s="6">
        <v>0.74977777777777765</v>
      </c>
      <c r="L614" s="6">
        <v>0.55620615217664282</v>
      </c>
      <c r="M614" s="4" t="s">
        <v>87</v>
      </c>
      <c r="N614" s="5">
        <v>0.13446403293058681</v>
      </c>
      <c r="O614" s="4">
        <v>0</v>
      </c>
    </row>
    <row r="615" spans="1:15" x14ac:dyDescent="0.3">
      <c r="A615" s="4">
        <v>205</v>
      </c>
      <c r="B615" s="4">
        <v>205000</v>
      </c>
      <c r="C615" s="4" t="s">
        <v>15</v>
      </c>
      <c r="D615" s="4" t="s">
        <v>161</v>
      </c>
      <c r="E615" s="4" t="s">
        <v>17</v>
      </c>
      <c r="F615" s="4" t="s">
        <v>18</v>
      </c>
      <c r="G615" s="5">
        <v>0.81111111111111112</v>
      </c>
      <c r="H615" s="5">
        <v>0.60000000000000009</v>
      </c>
      <c r="I615" s="5">
        <v>0.05</v>
      </c>
      <c r="J615" s="6">
        <v>0.48484848484848492</v>
      </c>
      <c r="K615" s="6">
        <v>0.82843750000000005</v>
      </c>
      <c r="L615" s="6">
        <v>0.721605209283117</v>
      </c>
      <c r="M615" s="4" t="s">
        <v>87</v>
      </c>
      <c r="N615" s="5">
        <v>0.13446403293058681</v>
      </c>
      <c r="O615" s="4">
        <v>0</v>
      </c>
    </row>
    <row r="616" spans="1:15" x14ac:dyDescent="0.3">
      <c r="A616" s="4">
        <v>205</v>
      </c>
      <c r="B616" s="4">
        <v>205000</v>
      </c>
      <c r="C616" s="4" t="s">
        <v>15</v>
      </c>
      <c r="D616" s="4" t="s">
        <v>162</v>
      </c>
      <c r="E616" s="4" t="s">
        <v>17</v>
      </c>
      <c r="F616" s="4" t="s">
        <v>18</v>
      </c>
      <c r="G616" s="5">
        <v>0.9</v>
      </c>
      <c r="H616" s="5">
        <v>0.60000000000000009</v>
      </c>
      <c r="I616" s="5">
        <v>0.05</v>
      </c>
      <c r="J616" s="6">
        <v>0.40909090909090912</v>
      </c>
      <c r="K616" s="6">
        <v>0.82592592592592584</v>
      </c>
      <c r="L616" s="6">
        <v>0.67094590554329026</v>
      </c>
      <c r="M616" s="4" t="s">
        <v>87</v>
      </c>
      <c r="N616" s="5">
        <v>0.13446403293058681</v>
      </c>
      <c r="O616" s="4">
        <v>0</v>
      </c>
    </row>
    <row r="617" spans="1:15" x14ac:dyDescent="0.3">
      <c r="A617" s="4">
        <v>206</v>
      </c>
      <c r="B617" s="4">
        <v>206000</v>
      </c>
      <c r="C617" s="4" t="s">
        <v>15</v>
      </c>
      <c r="D617" s="4" t="s">
        <v>16</v>
      </c>
      <c r="E617" s="4" t="s">
        <v>17</v>
      </c>
      <c r="F617" s="4" t="s">
        <v>18</v>
      </c>
      <c r="G617" s="5">
        <v>0.1</v>
      </c>
      <c r="H617" s="5">
        <v>0.4</v>
      </c>
      <c r="I617" s="5">
        <v>0.05</v>
      </c>
      <c r="J617" s="6">
        <v>0.66666666666666663</v>
      </c>
      <c r="K617" s="6">
        <v>0.76261904761904753</v>
      </c>
      <c r="L617" s="6">
        <v>0.56212817155104289</v>
      </c>
      <c r="M617" s="4" t="s">
        <v>111</v>
      </c>
      <c r="N617" s="5">
        <v>0.17699958048757999</v>
      </c>
      <c r="O617" s="4">
        <v>1</v>
      </c>
    </row>
    <row r="618" spans="1:15" x14ac:dyDescent="0.3">
      <c r="A618" s="4">
        <v>206</v>
      </c>
      <c r="B618" s="4">
        <v>206000</v>
      </c>
      <c r="C618" s="4" t="s">
        <v>15</v>
      </c>
      <c r="D618" s="4" t="s">
        <v>161</v>
      </c>
      <c r="E618" s="4" t="s">
        <v>17</v>
      </c>
      <c r="F618" s="4" t="s">
        <v>18</v>
      </c>
      <c r="G618" s="5">
        <v>0.54444444444444451</v>
      </c>
      <c r="H618" s="5">
        <v>0.4</v>
      </c>
      <c r="I618" s="5">
        <v>0.05</v>
      </c>
      <c r="J618" s="6">
        <v>0.5714285714285714</v>
      </c>
      <c r="K618" s="6">
        <v>0.81305555555555542</v>
      </c>
      <c r="L618" s="6">
        <v>0.76771676944011569</v>
      </c>
      <c r="M618" s="4" t="s">
        <v>111</v>
      </c>
      <c r="N618" s="5">
        <v>0.17699958048757999</v>
      </c>
      <c r="O618" s="4">
        <v>1</v>
      </c>
    </row>
    <row r="619" spans="1:15" x14ac:dyDescent="0.3">
      <c r="A619" s="4">
        <v>206</v>
      </c>
      <c r="B619" s="4">
        <v>206000</v>
      </c>
      <c r="C619" s="4" t="s">
        <v>15</v>
      </c>
      <c r="D619" s="4" t="s">
        <v>162</v>
      </c>
      <c r="E619" s="4" t="s">
        <v>17</v>
      </c>
      <c r="F619" s="4" t="s">
        <v>18</v>
      </c>
      <c r="G619" s="5">
        <v>0.81111111111111112</v>
      </c>
      <c r="H619" s="5">
        <v>0.8</v>
      </c>
      <c r="I619" s="5">
        <v>0.05</v>
      </c>
      <c r="J619" s="6">
        <v>0.46031746031746029</v>
      </c>
      <c r="K619" s="6">
        <v>0.85482758620689625</v>
      </c>
      <c r="L619" s="6">
        <v>0.67118595480555587</v>
      </c>
      <c r="M619" s="4" t="s">
        <v>111</v>
      </c>
      <c r="N619" s="5">
        <v>0.17699958048757999</v>
      </c>
      <c r="O619" s="4">
        <v>1</v>
      </c>
    </row>
    <row r="620" spans="1:15" x14ac:dyDescent="0.3">
      <c r="A620" s="4">
        <v>207</v>
      </c>
      <c r="B620" s="4">
        <v>207000</v>
      </c>
      <c r="C620" s="4" t="s">
        <v>15</v>
      </c>
      <c r="D620" s="4" t="s">
        <v>16</v>
      </c>
      <c r="E620" s="4" t="s">
        <v>17</v>
      </c>
      <c r="F620" s="4" t="s">
        <v>18</v>
      </c>
      <c r="G620" s="5">
        <v>0.1</v>
      </c>
      <c r="H620" s="5">
        <v>0.4</v>
      </c>
      <c r="I620" s="5">
        <v>0.05</v>
      </c>
      <c r="J620" s="6">
        <v>0.68656716417910446</v>
      </c>
      <c r="K620" s="6">
        <v>0.74413043478260865</v>
      </c>
      <c r="L620" s="6">
        <v>0.55401641920412203</v>
      </c>
      <c r="M620" s="4" t="s">
        <v>19</v>
      </c>
      <c r="N620" s="5">
        <v>1</v>
      </c>
      <c r="O620" s="4">
        <v>1</v>
      </c>
    </row>
    <row r="621" spans="1:15" x14ac:dyDescent="0.3">
      <c r="A621" s="4">
        <v>207</v>
      </c>
      <c r="B621" s="4">
        <v>207000</v>
      </c>
      <c r="C621" s="4" t="s">
        <v>15</v>
      </c>
      <c r="D621" s="4" t="s">
        <v>161</v>
      </c>
      <c r="E621" s="4" t="s">
        <v>17</v>
      </c>
      <c r="F621" s="4" t="s">
        <v>18</v>
      </c>
      <c r="G621" s="5">
        <v>0.72222222222222221</v>
      </c>
      <c r="H621" s="5">
        <v>0.8</v>
      </c>
      <c r="I621" s="5">
        <v>0.05</v>
      </c>
      <c r="J621" s="6">
        <v>0.44776119402985082</v>
      </c>
      <c r="K621" s="6">
        <v>0.87633333333333319</v>
      </c>
      <c r="L621" s="6">
        <v>0.77670031302057851</v>
      </c>
      <c r="M621" s="4" t="s">
        <v>19</v>
      </c>
      <c r="N621" s="5">
        <v>1</v>
      </c>
      <c r="O621" s="4">
        <v>1</v>
      </c>
    </row>
    <row r="622" spans="1:15" x14ac:dyDescent="0.3">
      <c r="A622" s="4">
        <v>207</v>
      </c>
      <c r="B622" s="4">
        <v>207000</v>
      </c>
      <c r="C622" s="4" t="s">
        <v>15</v>
      </c>
      <c r="D622" s="4" t="s">
        <v>162</v>
      </c>
      <c r="E622" s="4" t="s">
        <v>17</v>
      </c>
      <c r="F622" s="4" t="s">
        <v>18</v>
      </c>
      <c r="G622" s="5">
        <v>0.9</v>
      </c>
      <c r="H622" s="5">
        <v>0.8</v>
      </c>
      <c r="I622" s="5">
        <v>0.05</v>
      </c>
      <c r="J622" s="6">
        <v>0.38805970149253732</v>
      </c>
      <c r="K622" s="6">
        <v>0.89076923076923054</v>
      </c>
      <c r="L622" s="6">
        <v>0.71950846333778273</v>
      </c>
      <c r="M622" s="4" t="s">
        <v>19</v>
      </c>
      <c r="N622" s="5">
        <v>1</v>
      </c>
      <c r="O622" s="4">
        <v>1</v>
      </c>
    </row>
    <row r="623" spans="1:15" x14ac:dyDescent="0.3">
      <c r="A623" s="4">
        <v>208</v>
      </c>
      <c r="B623" s="4">
        <v>208000</v>
      </c>
      <c r="C623" s="4" t="s">
        <v>15</v>
      </c>
      <c r="D623" s="4" t="s">
        <v>16</v>
      </c>
      <c r="E623" s="4" t="s">
        <v>17</v>
      </c>
      <c r="F623" s="4" t="s">
        <v>18</v>
      </c>
      <c r="G623" s="5">
        <v>0.1</v>
      </c>
      <c r="H623" s="5">
        <v>0.4</v>
      </c>
      <c r="I623" s="5">
        <v>0.05</v>
      </c>
      <c r="J623" s="6">
        <v>0.73770491803278693</v>
      </c>
      <c r="K623" s="6">
        <v>0.7248888888888888</v>
      </c>
      <c r="L623" s="6">
        <v>0.62004616550438407</v>
      </c>
      <c r="M623" s="4" t="s">
        <v>112</v>
      </c>
      <c r="N623" s="5">
        <v>0.1232029956076517</v>
      </c>
      <c r="O623" s="4">
        <v>0</v>
      </c>
    </row>
    <row r="624" spans="1:15" x14ac:dyDescent="0.3">
      <c r="A624" s="4">
        <v>208</v>
      </c>
      <c r="B624" s="4">
        <v>208000</v>
      </c>
      <c r="C624" s="4" t="s">
        <v>15</v>
      </c>
      <c r="D624" s="4" t="s">
        <v>161</v>
      </c>
      <c r="E624" s="4" t="s">
        <v>17</v>
      </c>
      <c r="F624" s="4" t="s">
        <v>18</v>
      </c>
      <c r="G624" s="5">
        <v>0.72222222222222221</v>
      </c>
      <c r="H624" s="5">
        <v>0.8</v>
      </c>
      <c r="I624" s="5">
        <v>0.05</v>
      </c>
      <c r="J624" s="6">
        <v>0.45901639344262302</v>
      </c>
      <c r="K624" s="6">
        <v>0.87857142857142845</v>
      </c>
      <c r="L624" s="6">
        <v>0.75430232508784256</v>
      </c>
      <c r="M624" s="4" t="s">
        <v>112</v>
      </c>
      <c r="N624" s="5">
        <v>0.1232029956076517</v>
      </c>
      <c r="O624" s="4">
        <v>0</v>
      </c>
    </row>
    <row r="625" spans="1:15" x14ac:dyDescent="0.3">
      <c r="A625" s="4">
        <v>208</v>
      </c>
      <c r="B625" s="4">
        <v>208000</v>
      </c>
      <c r="C625" s="4" t="s">
        <v>15</v>
      </c>
      <c r="D625" s="4" t="s">
        <v>162</v>
      </c>
      <c r="E625" s="4" t="s">
        <v>17</v>
      </c>
      <c r="F625" s="4" t="s">
        <v>18</v>
      </c>
      <c r="G625" s="5">
        <v>0.9</v>
      </c>
      <c r="H625" s="5">
        <v>0.8</v>
      </c>
      <c r="I625" s="5">
        <v>0.05</v>
      </c>
      <c r="J625" s="6">
        <v>0.37704918032786883</v>
      </c>
      <c r="K625" s="6">
        <v>0.88608695652173908</v>
      </c>
      <c r="L625" s="6">
        <v>0.63343486600517374</v>
      </c>
      <c r="M625" s="4" t="s">
        <v>112</v>
      </c>
      <c r="N625" s="5">
        <v>0.1232029956076517</v>
      </c>
      <c r="O625" s="4">
        <v>0</v>
      </c>
    </row>
    <row r="626" spans="1:15" x14ac:dyDescent="0.3">
      <c r="A626" s="4">
        <v>209</v>
      </c>
      <c r="B626" s="4">
        <v>209000</v>
      </c>
      <c r="C626" s="4" t="s">
        <v>15</v>
      </c>
      <c r="D626" s="4" t="s">
        <v>16</v>
      </c>
      <c r="E626" s="4" t="s">
        <v>17</v>
      </c>
      <c r="F626" s="4" t="s">
        <v>18</v>
      </c>
      <c r="G626" s="5">
        <v>0.1</v>
      </c>
      <c r="H626" s="5">
        <v>0.4</v>
      </c>
      <c r="I626" s="5">
        <v>0.05</v>
      </c>
      <c r="J626" s="6">
        <v>0.80769230769230771</v>
      </c>
      <c r="K626" s="6">
        <v>0.74428571428571422</v>
      </c>
      <c r="L626" s="6">
        <v>0.6820776360441223</v>
      </c>
      <c r="M626" s="4" t="s">
        <v>113</v>
      </c>
      <c r="N626" s="5">
        <v>0.20968270783100451</v>
      </c>
      <c r="O626" s="4">
        <v>1</v>
      </c>
    </row>
    <row r="627" spans="1:15" x14ac:dyDescent="0.3">
      <c r="A627" s="4">
        <v>209</v>
      </c>
      <c r="B627" s="4">
        <v>209000</v>
      </c>
      <c r="C627" s="4" t="s">
        <v>15</v>
      </c>
      <c r="D627" s="4" t="s">
        <v>161</v>
      </c>
      <c r="E627" s="4" t="s">
        <v>17</v>
      </c>
      <c r="F627" s="4" t="s">
        <v>18</v>
      </c>
      <c r="G627" s="5">
        <v>0.4555555555555556</v>
      </c>
      <c r="H627" s="5">
        <v>0.4</v>
      </c>
      <c r="I627" s="5">
        <v>0.05</v>
      </c>
      <c r="J627" s="6">
        <v>0.78846153846153844</v>
      </c>
      <c r="K627" s="6">
        <v>0.75170731707317073</v>
      </c>
      <c r="L627" s="6">
        <v>0.70392107038755669</v>
      </c>
      <c r="M627" s="4" t="s">
        <v>113</v>
      </c>
      <c r="N627" s="5">
        <v>0.20968270783100451</v>
      </c>
      <c r="O627" s="4">
        <v>1</v>
      </c>
    </row>
    <row r="628" spans="1:15" x14ac:dyDescent="0.3">
      <c r="A628" s="4">
        <v>209</v>
      </c>
      <c r="B628" s="4">
        <v>209000</v>
      </c>
      <c r="C628" s="4" t="s">
        <v>15</v>
      </c>
      <c r="D628" s="4" t="s">
        <v>162</v>
      </c>
      <c r="E628" s="4" t="s">
        <v>17</v>
      </c>
      <c r="F628" s="4" t="s">
        <v>18</v>
      </c>
      <c r="G628" s="5">
        <v>0.81111111111111112</v>
      </c>
      <c r="H628" s="5">
        <v>0.4</v>
      </c>
      <c r="I628" s="5">
        <v>0.05</v>
      </c>
      <c r="J628" s="6">
        <v>0.51923076923076927</v>
      </c>
      <c r="K628" s="6">
        <v>0.84481481481481491</v>
      </c>
      <c r="L628" s="6">
        <v>0.67759025346616053</v>
      </c>
      <c r="M628" s="4" t="s">
        <v>113</v>
      </c>
      <c r="N628" s="5">
        <v>0.20968270783100451</v>
      </c>
      <c r="O628" s="4">
        <v>1</v>
      </c>
    </row>
    <row r="629" spans="1:15" x14ac:dyDescent="0.3">
      <c r="A629" s="4">
        <v>210</v>
      </c>
      <c r="B629" s="4">
        <v>210000</v>
      </c>
      <c r="C629" s="4" t="s">
        <v>15</v>
      </c>
      <c r="D629" s="4" t="s">
        <v>16</v>
      </c>
      <c r="E629" s="4" t="s">
        <v>17</v>
      </c>
      <c r="F629" s="4" t="s">
        <v>18</v>
      </c>
      <c r="G629" s="5">
        <v>0.1</v>
      </c>
      <c r="H629" s="5">
        <v>0.4</v>
      </c>
      <c r="I629" s="5">
        <v>0.05</v>
      </c>
      <c r="J629" s="6">
        <v>0.77083333333333337</v>
      </c>
      <c r="K629" s="6">
        <v>0.76783783783783777</v>
      </c>
      <c r="L629" s="6">
        <v>0.56801206071121646</v>
      </c>
      <c r="M629" s="4" t="s">
        <v>65</v>
      </c>
      <c r="N629" s="5">
        <v>0.1364215336225664</v>
      </c>
      <c r="O629" s="4">
        <v>0</v>
      </c>
    </row>
    <row r="630" spans="1:15" x14ac:dyDescent="0.3">
      <c r="A630" s="4">
        <v>210</v>
      </c>
      <c r="B630" s="4">
        <v>210000</v>
      </c>
      <c r="C630" s="4" t="s">
        <v>15</v>
      </c>
      <c r="D630" s="4" t="s">
        <v>161</v>
      </c>
      <c r="E630" s="4" t="s">
        <v>17</v>
      </c>
      <c r="F630" s="4" t="s">
        <v>18</v>
      </c>
      <c r="G630" s="5">
        <v>0.4555555555555556</v>
      </c>
      <c r="H630" s="5">
        <v>0.4</v>
      </c>
      <c r="I630" s="5">
        <v>0.05</v>
      </c>
      <c r="J630" s="6">
        <v>0.77083333333333337</v>
      </c>
      <c r="K630" s="6">
        <v>0.76783783783783777</v>
      </c>
      <c r="L630" s="6">
        <v>0.56801206071121646</v>
      </c>
      <c r="M630" s="4" t="s">
        <v>65</v>
      </c>
      <c r="N630" s="5">
        <v>0.1364215336225664</v>
      </c>
      <c r="O630" s="4">
        <v>0</v>
      </c>
    </row>
    <row r="631" spans="1:15" x14ac:dyDescent="0.3">
      <c r="A631" s="4">
        <v>210</v>
      </c>
      <c r="B631" s="4">
        <v>210000</v>
      </c>
      <c r="C631" s="4" t="s">
        <v>15</v>
      </c>
      <c r="D631" s="4" t="s">
        <v>162</v>
      </c>
      <c r="E631" s="4" t="s">
        <v>17</v>
      </c>
      <c r="F631" s="4" t="s">
        <v>18</v>
      </c>
      <c r="G631" s="5">
        <v>0.81111111111111112</v>
      </c>
      <c r="H631" s="5">
        <v>0.4</v>
      </c>
      <c r="I631" s="5">
        <v>0.05</v>
      </c>
      <c r="J631" s="6">
        <v>0.58333333333333337</v>
      </c>
      <c r="K631" s="6">
        <v>0.83535714285714258</v>
      </c>
      <c r="L631" s="6">
        <v>0.58744407805727816</v>
      </c>
      <c r="M631" s="4" t="s">
        <v>65</v>
      </c>
      <c r="N631" s="5">
        <v>0.1364215336225664</v>
      </c>
      <c r="O631" s="4">
        <v>0</v>
      </c>
    </row>
    <row r="632" spans="1:15" x14ac:dyDescent="0.3">
      <c r="A632" s="4">
        <v>211</v>
      </c>
      <c r="B632" s="4">
        <v>211000</v>
      </c>
      <c r="C632" s="4" t="s">
        <v>15</v>
      </c>
      <c r="D632" s="4" t="s">
        <v>16</v>
      </c>
      <c r="E632" s="4" t="s">
        <v>17</v>
      </c>
      <c r="F632" s="4" t="s">
        <v>18</v>
      </c>
      <c r="G632" s="5">
        <v>0.1</v>
      </c>
      <c r="H632" s="5">
        <v>0.4</v>
      </c>
      <c r="I632" s="5">
        <v>0.05</v>
      </c>
      <c r="J632" s="6">
        <v>0.76470588235294112</v>
      </c>
      <c r="K632" s="6">
        <v>0.74743589743589756</v>
      </c>
      <c r="L632" s="6">
        <v>0.66837434296036424</v>
      </c>
      <c r="M632" s="4" t="s">
        <v>114</v>
      </c>
      <c r="N632" s="5">
        <v>0.24325206973419811</v>
      </c>
      <c r="O632" s="4">
        <v>1</v>
      </c>
    </row>
    <row r="633" spans="1:15" x14ac:dyDescent="0.3">
      <c r="A633" s="4">
        <v>211</v>
      </c>
      <c r="B633" s="4">
        <v>211000</v>
      </c>
      <c r="C633" s="4" t="s">
        <v>15</v>
      </c>
      <c r="D633" s="4" t="s">
        <v>162</v>
      </c>
      <c r="E633" s="4" t="s">
        <v>17</v>
      </c>
      <c r="F633" s="4" t="s">
        <v>18</v>
      </c>
      <c r="G633" s="5">
        <v>0.81111111111111112</v>
      </c>
      <c r="H633" s="5">
        <v>0.4</v>
      </c>
      <c r="I633" s="5">
        <v>0.05</v>
      </c>
      <c r="J633" s="6">
        <v>0.52941176470588236</v>
      </c>
      <c r="K633" s="6">
        <v>0.8407407407407409</v>
      </c>
      <c r="L633" s="6">
        <v>0.63561844442554238</v>
      </c>
      <c r="M633" s="4" t="s">
        <v>114</v>
      </c>
      <c r="N633" s="5">
        <v>0.24325206973419811</v>
      </c>
      <c r="O633" s="4">
        <v>1</v>
      </c>
    </row>
    <row r="634" spans="1:15" x14ac:dyDescent="0.3">
      <c r="A634" s="4">
        <v>211</v>
      </c>
      <c r="B634" s="4">
        <v>211000</v>
      </c>
      <c r="C634" s="4" t="s">
        <v>15</v>
      </c>
      <c r="D634" s="4" t="s">
        <v>161</v>
      </c>
      <c r="E634" s="4" t="s">
        <v>17</v>
      </c>
      <c r="F634" s="4" t="s">
        <v>18</v>
      </c>
      <c r="G634" s="5">
        <v>0.9</v>
      </c>
      <c r="H634" s="5">
        <v>0.4</v>
      </c>
      <c r="I634" s="5">
        <v>0.05</v>
      </c>
      <c r="J634" s="6">
        <v>0.49019607843137247</v>
      </c>
      <c r="K634" s="6">
        <v>0.83920000000000017</v>
      </c>
      <c r="L634" s="6">
        <v>0.6701262804012279</v>
      </c>
      <c r="M634" s="4" t="s">
        <v>114</v>
      </c>
      <c r="N634" s="5">
        <v>0.24325206973419811</v>
      </c>
      <c r="O634" s="4">
        <v>1</v>
      </c>
    </row>
    <row r="635" spans="1:15" x14ac:dyDescent="0.3">
      <c r="A635" s="4">
        <v>212</v>
      </c>
      <c r="B635" s="4">
        <v>212000</v>
      </c>
      <c r="C635" s="4" t="s">
        <v>15</v>
      </c>
      <c r="D635" s="4" t="s">
        <v>16</v>
      </c>
      <c r="E635" s="4" t="s">
        <v>17</v>
      </c>
      <c r="F635" s="4" t="s">
        <v>18</v>
      </c>
      <c r="G635" s="5">
        <v>0.1</v>
      </c>
      <c r="H635" s="5">
        <v>0.4</v>
      </c>
      <c r="I635" s="5">
        <v>0.05</v>
      </c>
      <c r="J635" s="6">
        <v>0.70909090909090911</v>
      </c>
      <c r="K635" s="6">
        <v>0.76743589743589735</v>
      </c>
      <c r="L635" s="6">
        <v>0.49169821335088149</v>
      </c>
      <c r="M635" s="4" t="s">
        <v>115</v>
      </c>
      <c r="N635" s="5">
        <v>0.1237791971523865</v>
      </c>
      <c r="O635" s="4">
        <v>0</v>
      </c>
    </row>
    <row r="636" spans="1:15" x14ac:dyDescent="0.3">
      <c r="A636" s="4">
        <v>212</v>
      </c>
      <c r="B636" s="4">
        <v>212000</v>
      </c>
      <c r="C636" s="4" t="s">
        <v>15</v>
      </c>
      <c r="D636" s="4" t="s">
        <v>162</v>
      </c>
      <c r="E636" s="4" t="s">
        <v>17</v>
      </c>
      <c r="F636" s="4" t="s">
        <v>18</v>
      </c>
      <c r="G636" s="5">
        <v>0.81111111111111112</v>
      </c>
      <c r="H636" s="5">
        <v>0.4</v>
      </c>
      <c r="I636" s="5">
        <v>0.05</v>
      </c>
      <c r="J636" s="6">
        <v>0.52727272727272723</v>
      </c>
      <c r="K636" s="6">
        <v>0.84896551724137925</v>
      </c>
      <c r="L636" s="6">
        <v>0.67718897984814164</v>
      </c>
      <c r="M636" s="4" t="s">
        <v>115</v>
      </c>
      <c r="N636" s="5">
        <v>0.1237791971523865</v>
      </c>
      <c r="O636" s="4">
        <v>0</v>
      </c>
    </row>
    <row r="637" spans="1:15" x14ac:dyDescent="0.3">
      <c r="A637" s="4">
        <v>212</v>
      </c>
      <c r="B637" s="4">
        <v>212000</v>
      </c>
      <c r="C637" s="4" t="s">
        <v>15</v>
      </c>
      <c r="D637" s="4" t="s">
        <v>161</v>
      </c>
      <c r="E637" s="4" t="s">
        <v>17</v>
      </c>
      <c r="F637" s="4" t="s">
        <v>18</v>
      </c>
      <c r="G637" s="5">
        <v>0.9</v>
      </c>
      <c r="H637" s="5">
        <v>0.4</v>
      </c>
      <c r="I637" s="5">
        <v>0.05</v>
      </c>
      <c r="J637" s="6">
        <v>0.45454545454545447</v>
      </c>
      <c r="K637" s="6">
        <v>0.84559999999999991</v>
      </c>
      <c r="L637" s="6">
        <v>0.60991642363925025</v>
      </c>
      <c r="M637" s="4" t="s">
        <v>115</v>
      </c>
      <c r="N637" s="5">
        <v>0.1237791971523865</v>
      </c>
      <c r="O637" s="4">
        <v>0</v>
      </c>
    </row>
    <row r="638" spans="1:15" x14ac:dyDescent="0.3">
      <c r="A638" s="4">
        <v>213</v>
      </c>
      <c r="B638" s="4">
        <v>213000</v>
      </c>
      <c r="C638" s="4" t="s">
        <v>15</v>
      </c>
      <c r="D638" s="4" t="s">
        <v>16</v>
      </c>
      <c r="E638" s="4" t="s">
        <v>17</v>
      </c>
      <c r="F638" s="4" t="s">
        <v>18</v>
      </c>
      <c r="G638" s="5">
        <v>0.1</v>
      </c>
      <c r="H638" s="5">
        <v>0.4</v>
      </c>
      <c r="I638" s="5">
        <v>0.05</v>
      </c>
      <c r="J638" s="6">
        <v>0.70175438596491224</v>
      </c>
      <c r="K638" s="6">
        <v>0.79474999999999985</v>
      </c>
      <c r="L638" s="6">
        <v>0.65034618130793886</v>
      </c>
      <c r="M638" s="4" t="s">
        <v>19</v>
      </c>
      <c r="N638" s="5">
        <v>1</v>
      </c>
      <c r="O638" s="4">
        <v>1</v>
      </c>
    </row>
    <row r="639" spans="1:15" x14ac:dyDescent="0.3">
      <c r="A639" s="4">
        <v>213</v>
      </c>
      <c r="B639" s="4">
        <v>213000</v>
      </c>
      <c r="C639" s="4" t="s">
        <v>15</v>
      </c>
      <c r="D639" s="4" t="s">
        <v>161</v>
      </c>
      <c r="E639" s="4" t="s">
        <v>17</v>
      </c>
      <c r="F639" s="4" t="s">
        <v>18</v>
      </c>
      <c r="G639" s="5">
        <v>0.81111111111111112</v>
      </c>
      <c r="H639" s="5">
        <v>0.4</v>
      </c>
      <c r="I639" s="5">
        <v>0.05</v>
      </c>
      <c r="J639" s="6">
        <v>0.52631578947368418</v>
      </c>
      <c r="K639" s="6">
        <v>0.85466666666666635</v>
      </c>
      <c r="L639" s="6">
        <v>0.71744661552381261</v>
      </c>
      <c r="M639" s="4" t="s">
        <v>19</v>
      </c>
      <c r="N639" s="5">
        <v>1</v>
      </c>
      <c r="O639" s="4">
        <v>1</v>
      </c>
    </row>
    <row r="640" spans="1:15" x14ac:dyDescent="0.3">
      <c r="A640" s="4">
        <v>213</v>
      </c>
      <c r="B640" s="4">
        <v>213000</v>
      </c>
      <c r="C640" s="4" t="s">
        <v>15</v>
      </c>
      <c r="D640" s="4" t="s">
        <v>162</v>
      </c>
      <c r="E640" s="4" t="s">
        <v>17</v>
      </c>
      <c r="F640" s="4" t="s">
        <v>18</v>
      </c>
      <c r="G640" s="5">
        <v>0.9</v>
      </c>
      <c r="H640" s="5">
        <v>0.4</v>
      </c>
      <c r="I640" s="5">
        <v>0.05</v>
      </c>
      <c r="J640" s="6">
        <v>0.47368421052631582</v>
      </c>
      <c r="K640" s="6">
        <v>0.85518518518518494</v>
      </c>
      <c r="L640" s="6">
        <v>0.65454870373935248</v>
      </c>
      <c r="M640" s="4" t="s">
        <v>19</v>
      </c>
      <c r="N640" s="5">
        <v>1</v>
      </c>
      <c r="O640" s="4">
        <v>1</v>
      </c>
    </row>
    <row r="641" spans="1:15" x14ac:dyDescent="0.3">
      <c r="A641" s="4">
        <v>214</v>
      </c>
      <c r="B641" s="4">
        <v>214000</v>
      </c>
      <c r="C641" s="4" t="s">
        <v>15</v>
      </c>
      <c r="D641" s="4" t="s">
        <v>16</v>
      </c>
      <c r="E641" s="4" t="s">
        <v>17</v>
      </c>
      <c r="F641" s="4" t="s">
        <v>18</v>
      </c>
      <c r="G641" s="5">
        <v>0.1</v>
      </c>
      <c r="H641" s="5">
        <v>0.4</v>
      </c>
      <c r="I641" s="5">
        <v>0.05</v>
      </c>
      <c r="J641" s="6">
        <v>0.65671641791044777</v>
      </c>
      <c r="K641" s="6">
        <v>0.78159090909090922</v>
      </c>
      <c r="L641" s="6">
        <v>0.59182647798887034</v>
      </c>
      <c r="M641" s="4" t="s">
        <v>100</v>
      </c>
      <c r="N641" s="5">
        <v>0.13083959548674789</v>
      </c>
      <c r="O641" s="4">
        <v>0</v>
      </c>
    </row>
    <row r="642" spans="1:15" x14ac:dyDescent="0.3">
      <c r="A642" s="4">
        <v>214</v>
      </c>
      <c r="B642" s="4">
        <v>214000</v>
      </c>
      <c r="C642" s="4" t="s">
        <v>15</v>
      </c>
      <c r="D642" s="4" t="s">
        <v>161</v>
      </c>
      <c r="E642" s="4" t="s">
        <v>17</v>
      </c>
      <c r="F642" s="4" t="s">
        <v>18</v>
      </c>
      <c r="G642" s="5">
        <v>0.81111111111111112</v>
      </c>
      <c r="H642" s="5">
        <v>0.4</v>
      </c>
      <c r="I642" s="5">
        <v>0.05</v>
      </c>
      <c r="J642" s="6">
        <v>0.46268656716417911</v>
      </c>
      <c r="K642" s="6">
        <v>0.85322580645161283</v>
      </c>
      <c r="L642" s="6">
        <v>0.57995824923799033</v>
      </c>
      <c r="M642" s="4" t="s">
        <v>100</v>
      </c>
      <c r="N642" s="5">
        <v>0.13083959548674789</v>
      </c>
      <c r="O642" s="4">
        <v>0</v>
      </c>
    </row>
    <row r="643" spans="1:15" x14ac:dyDescent="0.3">
      <c r="A643" s="4">
        <v>214</v>
      </c>
      <c r="B643" s="4">
        <v>214000</v>
      </c>
      <c r="C643" s="4" t="s">
        <v>15</v>
      </c>
      <c r="D643" s="4" t="s">
        <v>162</v>
      </c>
      <c r="E643" s="4" t="s">
        <v>17</v>
      </c>
      <c r="F643" s="4" t="s">
        <v>18</v>
      </c>
      <c r="G643" s="5">
        <v>0.9</v>
      </c>
      <c r="H643" s="5">
        <v>0.4</v>
      </c>
      <c r="I643" s="5">
        <v>0.05</v>
      </c>
      <c r="J643" s="6">
        <v>0.38805970149253732</v>
      </c>
      <c r="K643" s="6">
        <v>0.8538461538461537</v>
      </c>
      <c r="L643" s="6">
        <v>0.63637290374589184</v>
      </c>
      <c r="M643" s="4" t="s">
        <v>100</v>
      </c>
      <c r="N643" s="5">
        <v>0.13083959548674789</v>
      </c>
      <c r="O643" s="4">
        <v>0</v>
      </c>
    </row>
    <row r="644" spans="1:15" x14ac:dyDescent="0.3">
      <c r="A644" s="4">
        <v>215</v>
      </c>
      <c r="B644" s="4">
        <v>215000</v>
      </c>
      <c r="C644" s="4" t="s">
        <v>15</v>
      </c>
      <c r="D644" s="4" t="s">
        <v>16</v>
      </c>
      <c r="E644" s="4" t="s">
        <v>17</v>
      </c>
      <c r="F644" s="4" t="s">
        <v>18</v>
      </c>
      <c r="G644" s="5">
        <v>0.1</v>
      </c>
      <c r="H644" s="5">
        <v>0.4</v>
      </c>
      <c r="I644" s="5">
        <v>0.05</v>
      </c>
      <c r="J644" s="6">
        <v>0.65714285714285714</v>
      </c>
      <c r="K644" s="6">
        <v>0.77478260869565219</v>
      </c>
      <c r="L644" s="6">
        <v>0.68672637351966137</v>
      </c>
      <c r="M644" s="4" t="s">
        <v>116</v>
      </c>
      <c r="N644" s="5">
        <v>0.2155104203311706</v>
      </c>
      <c r="O644" s="4">
        <v>1</v>
      </c>
    </row>
    <row r="645" spans="1:15" x14ac:dyDescent="0.3">
      <c r="A645" s="4">
        <v>215</v>
      </c>
      <c r="B645" s="4">
        <v>215000</v>
      </c>
      <c r="C645" s="4" t="s">
        <v>15</v>
      </c>
      <c r="D645" s="4" t="s">
        <v>161</v>
      </c>
      <c r="E645" s="4" t="s">
        <v>17</v>
      </c>
      <c r="F645" s="4" t="s">
        <v>18</v>
      </c>
      <c r="G645" s="5">
        <v>0.4555555555555556</v>
      </c>
      <c r="H645" s="5">
        <v>0.4</v>
      </c>
      <c r="I645" s="5">
        <v>0.05</v>
      </c>
      <c r="J645" s="6">
        <v>0.62857142857142856</v>
      </c>
      <c r="K645" s="6">
        <v>0.79522727272727256</v>
      </c>
      <c r="L645" s="6">
        <v>0.70111129415458195</v>
      </c>
      <c r="M645" s="4" t="s">
        <v>116</v>
      </c>
      <c r="N645" s="5">
        <v>0.2155104203311706</v>
      </c>
      <c r="O645" s="4">
        <v>1</v>
      </c>
    </row>
    <row r="646" spans="1:15" x14ac:dyDescent="0.3">
      <c r="A646" s="4">
        <v>215</v>
      </c>
      <c r="B646" s="4">
        <v>215000</v>
      </c>
      <c r="C646" s="4" t="s">
        <v>15</v>
      </c>
      <c r="D646" s="4" t="s">
        <v>162</v>
      </c>
      <c r="E646" s="4" t="s">
        <v>17</v>
      </c>
      <c r="F646" s="4" t="s">
        <v>18</v>
      </c>
      <c r="G646" s="5">
        <v>0.9</v>
      </c>
      <c r="H646" s="5">
        <v>0.4</v>
      </c>
      <c r="I646" s="5">
        <v>0.05</v>
      </c>
      <c r="J646" s="6">
        <v>0.42857142857142849</v>
      </c>
      <c r="K646" s="6">
        <v>0.86299999999999977</v>
      </c>
      <c r="L646" s="6">
        <v>0.61244612142071941</v>
      </c>
      <c r="M646" s="4" t="s">
        <v>116</v>
      </c>
      <c r="N646" s="5">
        <v>0.2155104203311706</v>
      </c>
      <c r="O646" s="4">
        <v>1</v>
      </c>
    </row>
    <row r="647" spans="1:15" x14ac:dyDescent="0.3">
      <c r="A647" s="4">
        <v>216</v>
      </c>
      <c r="B647" s="4">
        <v>216000</v>
      </c>
      <c r="C647" s="4" t="s">
        <v>15</v>
      </c>
      <c r="D647" s="4" t="s">
        <v>16</v>
      </c>
      <c r="E647" s="4" t="s">
        <v>17</v>
      </c>
      <c r="F647" s="4" t="s">
        <v>18</v>
      </c>
      <c r="G647" s="5">
        <v>0.1</v>
      </c>
      <c r="H647" s="5">
        <v>0.4</v>
      </c>
      <c r="I647" s="5">
        <v>0.05</v>
      </c>
      <c r="J647" s="6">
        <v>0.70149253731343286</v>
      </c>
      <c r="K647" s="6">
        <v>0.80127659574468091</v>
      </c>
      <c r="L647" s="6">
        <v>0.58776044428830299</v>
      </c>
      <c r="M647" s="4" t="s">
        <v>36</v>
      </c>
      <c r="N647" s="5">
        <v>0.11615720781454671</v>
      </c>
      <c r="O647" s="4">
        <v>0</v>
      </c>
    </row>
    <row r="648" spans="1:15" x14ac:dyDescent="0.3">
      <c r="A648" s="4">
        <v>216</v>
      </c>
      <c r="B648" s="4">
        <v>216000</v>
      </c>
      <c r="C648" s="4" t="s">
        <v>15</v>
      </c>
      <c r="D648" s="4" t="s">
        <v>161</v>
      </c>
      <c r="E648" s="4" t="s">
        <v>17</v>
      </c>
      <c r="F648" s="4" t="s">
        <v>18</v>
      </c>
      <c r="G648" s="5">
        <v>0.4555555555555556</v>
      </c>
      <c r="H648" s="5">
        <v>0.4</v>
      </c>
      <c r="I648" s="5">
        <v>0.05</v>
      </c>
      <c r="J648" s="6">
        <v>0.67164179104477617</v>
      </c>
      <c r="K648" s="6">
        <v>0.82666666666666677</v>
      </c>
      <c r="L648" s="6">
        <v>0.60560590002371895</v>
      </c>
      <c r="M648" s="4" t="s">
        <v>36</v>
      </c>
      <c r="N648" s="5">
        <v>0.11615720781454671</v>
      </c>
      <c r="O648" s="4">
        <v>0</v>
      </c>
    </row>
    <row r="649" spans="1:15" x14ac:dyDescent="0.3">
      <c r="A649" s="4">
        <v>216</v>
      </c>
      <c r="B649" s="4">
        <v>216000</v>
      </c>
      <c r="C649" s="4" t="s">
        <v>15</v>
      </c>
      <c r="D649" s="4" t="s">
        <v>162</v>
      </c>
      <c r="E649" s="4" t="s">
        <v>17</v>
      </c>
      <c r="F649" s="4" t="s">
        <v>18</v>
      </c>
      <c r="G649" s="5">
        <v>0.9</v>
      </c>
      <c r="H649" s="5">
        <v>0.4</v>
      </c>
      <c r="I649" s="5">
        <v>0.05</v>
      </c>
      <c r="J649" s="6">
        <v>0.46268656716417911</v>
      </c>
      <c r="K649" s="6">
        <v>0.86709677419354825</v>
      </c>
      <c r="L649" s="6">
        <v>0.66599648669150613</v>
      </c>
      <c r="M649" s="4" t="s">
        <v>36</v>
      </c>
      <c r="N649" s="5">
        <v>0.11615720781454671</v>
      </c>
      <c r="O649" s="4">
        <v>0</v>
      </c>
    </row>
    <row r="650" spans="1:15" x14ac:dyDescent="0.3">
      <c r="A650" s="4">
        <v>217</v>
      </c>
      <c r="B650" s="4">
        <v>217000</v>
      </c>
      <c r="C650" s="4" t="s">
        <v>15</v>
      </c>
      <c r="D650" s="4" t="s">
        <v>16</v>
      </c>
      <c r="E650" s="4" t="s">
        <v>17</v>
      </c>
      <c r="F650" s="4" t="s">
        <v>18</v>
      </c>
      <c r="G650" s="5">
        <v>0.1</v>
      </c>
      <c r="H650" s="5">
        <v>0.4</v>
      </c>
      <c r="I650" s="5">
        <v>0.05</v>
      </c>
      <c r="J650" s="6">
        <v>0.69117647058823528</v>
      </c>
      <c r="K650" s="6">
        <v>0.80936170212765957</v>
      </c>
      <c r="L650" s="6">
        <v>0.65647602737282873</v>
      </c>
      <c r="M650" s="4" t="s">
        <v>96</v>
      </c>
      <c r="N650" s="5">
        <v>0.1504899595832192</v>
      </c>
      <c r="O650" s="4">
        <v>1</v>
      </c>
    </row>
    <row r="651" spans="1:15" x14ac:dyDescent="0.3">
      <c r="A651" s="4">
        <v>217</v>
      </c>
      <c r="B651" s="4">
        <v>217000</v>
      </c>
      <c r="C651" s="4" t="s">
        <v>15</v>
      </c>
      <c r="D651" s="4" t="s">
        <v>161</v>
      </c>
      <c r="E651" s="4" t="s">
        <v>17</v>
      </c>
      <c r="F651" s="4" t="s">
        <v>18</v>
      </c>
      <c r="G651" s="5">
        <v>0.54444444444444451</v>
      </c>
      <c r="H651" s="5">
        <v>0.4</v>
      </c>
      <c r="I651" s="5">
        <v>0.05</v>
      </c>
      <c r="J651" s="6">
        <v>0.61764705882352944</v>
      </c>
      <c r="K651" s="6">
        <v>0.85166666666666657</v>
      </c>
      <c r="L651" s="6">
        <v>0.76420975674043135</v>
      </c>
      <c r="M651" s="4" t="s">
        <v>96</v>
      </c>
      <c r="N651" s="5">
        <v>0.1504899595832192</v>
      </c>
      <c r="O651" s="4">
        <v>1</v>
      </c>
    </row>
    <row r="652" spans="1:15" x14ac:dyDescent="0.3">
      <c r="A652" s="4">
        <v>217</v>
      </c>
      <c r="B652" s="4">
        <v>217000</v>
      </c>
      <c r="C652" s="4" t="s">
        <v>15</v>
      </c>
      <c r="D652" s="4" t="s">
        <v>162</v>
      </c>
      <c r="E652" s="4" t="s">
        <v>17</v>
      </c>
      <c r="F652" s="4" t="s">
        <v>18</v>
      </c>
      <c r="G652" s="5">
        <v>0.9</v>
      </c>
      <c r="H652" s="5">
        <v>0.4</v>
      </c>
      <c r="I652" s="5">
        <v>0.05</v>
      </c>
      <c r="J652" s="6">
        <v>0.47058823529411759</v>
      </c>
      <c r="K652" s="6">
        <v>0.87187499999999973</v>
      </c>
      <c r="L652" s="6">
        <v>0.68670567945407923</v>
      </c>
      <c r="M652" s="4" t="s">
        <v>96</v>
      </c>
      <c r="N652" s="5">
        <v>0.1504899595832192</v>
      </c>
      <c r="O652" s="4">
        <v>1</v>
      </c>
    </row>
    <row r="653" spans="1:15" x14ac:dyDescent="0.3">
      <c r="A653" s="4">
        <v>218</v>
      </c>
      <c r="B653" s="4">
        <v>218000</v>
      </c>
      <c r="C653" s="4" t="s">
        <v>15</v>
      </c>
      <c r="D653" s="4" t="s">
        <v>16</v>
      </c>
      <c r="E653" s="4" t="s">
        <v>17</v>
      </c>
      <c r="F653" s="4" t="s">
        <v>18</v>
      </c>
      <c r="G653" s="5">
        <v>0.1</v>
      </c>
      <c r="H653" s="5">
        <v>0.4</v>
      </c>
      <c r="I653" s="5">
        <v>0.05</v>
      </c>
      <c r="J653" s="6">
        <v>0.68571428571428572</v>
      </c>
      <c r="K653" s="6">
        <v>0.80395833333333344</v>
      </c>
      <c r="L653" s="6">
        <v>0.67205382752849974</v>
      </c>
      <c r="M653" s="4" t="s">
        <v>79</v>
      </c>
      <c r="N653" s="5">
        <v>0.10417256126016609</v>
      </c>
      <c r="O653" s="4">
        <v>0</v>
      </c>
    </row>
    <row r="654" spans="1:15" x14ac:dyDescent="0.3">
      <c r="A654" s="4">
        <v>218</v>
      </c>
      <c r="B654" s="4">
        <v>218000</v>
      </c>
      <c r="C654" s="4" t="s">
        <v>15</v>
      </c>
      <c r="D654" s="4" t="s">
        <v>161</v>
      </c>
      <c r="E654" s="4" t="s">
        <v>17</v>
      </c>
      <c r="F654" s="4" t="s">
        <v>18</v>
      </c>
      <c r="G654" s="5">
        <v>0.54444444444444451</v>
      </c>
      <c r="H654" s="5">
        <v>0.4</v>
      </c>
      <c r="I654" s="5">
        <v>0.05</v>
      </c>
      <c r="J654" s="6">
        <v>0.6</v>
      </c>
      <c r="K654" s="6">
        <v>0.85238095238095246</v>
      </c>
      <c r="L654" s="6">
        <v>0.75805409458650019</v>
      </c>
      <c r="M654" s="4" t="s">
        <v>79</v>
      </c>
      <c r="N654" s="5">
        <v>0.10417256126016609</v>
      </c>
      <c r="O654" s="4">
        <v>0</v>
      </c>
    </row>
    <row r="655" spans="1:15" x14ac:dyDescent="0.3">
      <c r="A655" s="4">
        <v>218</v>
      </c>
      <c r="B655" s="4">
        <v>218000</v>
      </c>
      <c r="C655" s="4" t="s">
        <v>15</v>
      </c>
      <c r="D655" s="4" t="s">
        <v>162</v>
      </c>
      <c r="E655" s="4" t="s">
        <v>17</v>
      </c>
      <c r="F655" s="4" t="s">
        <v>18</v>
      </c>
      <c r="G655" s="5">
        <v>0.9</v>
      </c>
      <c r="H655" s="5">
        <v>0.4</v>
      </c>
      <c r="I655" s="5">
        <v>0.05</v>
      </c>
      <c r="J655" s="6">
        <v>0.45714285714285707</v>
      </c>
      <c r="K655" s="6">
        <v>0.87312499999999982</v>
      </c>
      <c r="L655" s="6">
        <v>0.74669427488856754</v>
      </c>
      <c r="M655" s="4" t="s">
        <v>79</v>
      </c>
      <c r="N655" s="5">
        <v>0.10417256126016609</v>
      </c>
      <c r="O655" s="4">
        <v>0</v>
      </c>
    </row>
    <row r="656" spans="1:15" x14ac:dyDescent="0.3">
      <c r="A656" s="4">
        <v>219</v>
      </c>
      <c r="B656" s="4">
        <v>219000</v>
      </c>
      <c r="C656" s="4" t="s">
        <v>15</v>
      </c>
      <c r="D656" s="4" t="s">
        <v>16</v>
      </c>
      <c r="E656" s="4" t="s">
        <v>17</v>
      </c>
      <c r="F656" s="4" t="s">
        <v>18</v>
      </c>
      <c r="G656" s="5">
        <v>0.1</v>
      </c>
      <c r="H656" s="5">
        <v>0.4</v>
      </c>
      <c r="I656" s="5">
        <v>0.05</v>
      </c>
      <c r="J656" s="6">
        <v>0.70588235294117652</v>
      </c>
      <c r="K656" s="6">
        <v>0.78791666666666693</v>
      </c>
      <c r="L656" s="6">
        <v>0.69136899653695238</v>
      </c>
      <c r="M656" s="4" t="s">
        <v>28</v>
      </c>
      <c r="N656" s="5">
        <v>0.1009511272630704</v>
      </c>
      <c r="O656" s="4">
        <v>0</v>
      </c>
    </row>
    <row r="657" spans="1:15" x14ac:dyDescent="0.3">
      <c r="A657" s="4">
        <v>219</v>
      </c>
      <c r="B657" s="4">
        <v>219000</v>
      </c>
      <c r="C657" s="4" t="s">
        <v>15</v>
      </c>
      <c r="D657" s="4" t="s">
        <v>161</v>
      </c>
      <c r="E657" s="4" t="s">
        <v>17</v>
      </c>
      <c r="F657" s="4" t="s">
        <v>18</v>
      </c>
      <c r="G657" s="5">
        <v>0.54444444444444451</v>
      </c>
      <c r="H657" s="5">
        <v>0.4</v>
      </c>
      <c r="I657" s="5">
        <v>0.05</v>
      </c>
      <c r="J657" s="6">
        <v>0.6470588235294118</v>
      </c>
      <c r="K657" s="6">
        <v>0.81909090909090942</v>
      </c>
      <c r="L657" s="6">
        <v>0.76689426299125918</v>
      </c>
      <c r="M657" s="4" t="s">
        <v>28</v>
      </c>
      <c r="N657" s="5">
        <v>0.1009511272630704</v>
      </c>
      <c r="O657" s="4">
        <v>0</v>
      </c>
    </row>
    <row r="658" spans="1:15" x14ac:dyDescent="0.3">
      <c r="A658" s="4">
        <v>219</v>
      </c>
      <c r="B658" s="4">
        <v>219000</v>
      </c>
      <c r="C658" s="4" t="s">
        <v>15</v>
      </c>
      <c r="D658" s="4" t="s">
        <v>162</v>
      </c>
      <c r="E658" s="4" t="s">
        <v>17</v>
      </c>
      <c r="F658" s="4" t="s">
        <v>18</v>
      </c>
      <c r="G658" s="5">
        <v>0.9</v>
      </c>
      <c r="H658" s="5">
        <v>0.4</v>
      </c>
      <c r="I658" s="5">
        <v>0.05</v>
      </c>
      <c r="J658" s="6">
        <v>0.4264705882352941</v>
      </c>
      <c r="K658" s="6">
        <v>0.83551724137931027</v>
      </c>
      <c r="L658" s="6">
        <v>0.73581320282714935</v>
      </c>
      <c r="M658" s="4" t="s">
        <v>28</v>
      </c>
      <c r="N658" s="5">
        <v>0.1009511272630704</v>
      </c>
      <c r="O658" s="4">
        <v>0</v>
      </c>
    </row>
    <row r="659" spans="1:15" x14ac:dyDescent="0.3">
      <c r="A659" s="4">
        <v>220</v>
      </c>
      <c r="B659" s="4">
        <v>220000</v>
      </c>
      <c r="C659" s="4" t="s">
        <v>15</v>
      </c>
      <c r="D659" s="4" t="s">
        <v>16</v>
      </c>
      <c r="E659" s="4" t="s">
        <v>17</v>
      </c>
      <c r="F659" s="4" t="s">
        <v>18</v>
      </c>
      <c r="G659" s="5">
        <v>0.1</v>
      </c>
      <c r="H659" s="5">
        <v>0.4</v>
      </c>
      <c r="I659" s="5">
        <v>0.05</v>
      </c>
      <c r="J659" s="6">
        <v>0.73015873015873012</v>
      </c>
      <c r="K659" s="6">
        <v>0.763695652173913</v>
      </c>
      <c r="L659" s="6">
        <v>0.63014748516693186</v>
      </c>
      <c r="M659" s="4" t="s">
        <v>117</v>
      </c>
      <c r="N659" s="5">
        <v>0.19029278971658359</v>
      </c>
      <c r="O659" s="4">
        <v>1</v>
      </c>
    </row>
    <row r="660" spans="1:15" x14ac:dyDescent="0.3">
      <c r="A660" s="4">
        <v>220</v>
      </c>
      <c r="B660" s="4">
        <v>220000</v>
      </c>
      <c r="C660" s="4" t="s">
        <v>15</v>
      </c>
      <c r="D660" s="4" t="s">
        <v>161</v>
      </c>
      <c r="E660" s="4" t="s">
        <v>17</v>
      </c>
      <c r="F660" s="4" t="s">
        <v>18</v>
      </c>
      <c r="G660" s="5">
        <v>0.81111111111111112</v>
      </c>
      <c r="H660" s="5">
        <v>0.60000000000000009</v>
      </c>
      <c r="I660" s="5">
        <v>0.05</v>
      </c>
      <c r="J660" s="6">
        <v>0.50793650793650791</v>
      </c>
      <c r="K660" s="6">
        <v>0.85843749999999974</v>
      </c>
      <c r="L660" s="6">
        <v>0.70514569581817654</v>
      </c>
      <c r="M660" s="4" t="s">
        <v>117</v>
      </c>
      <c r="N660" s="5">
        <v>0.19029278971658359</v>
      </c>
      <c r="O660" s="4">
        <v>1</v>
      </c>
    </row>
    <row r="661" spans="1:15" x14ac:dyDescent="0.3">
      <c r="A661" s="4">
        <v>220</v>
      </c>
      <c r="B661" s="4">
        <v>220000</v>
      </c>
      <c r="C661" s="4" t="s">
        <v>15</v>
      </c>
      <c r="D661" s="4" t="s">
        <v>162</v>
      </c>
      <c r="E661" s="4" t="s">
        <v>17</v>
      </c>
      <c r="F661" s="4" t="s">
        <v>18</v>
      </c>
      <c r="G661" s="5">
        <v>0.81111111111111112</v>
      </c>
      <c r="H661" s="5">
        <v>0.60000000000000009</v>
      </c>
      <c r="I661" s="5">
        <v>0.05</v>
      </c>
      <c r="J661" s="6">
        <v>0.50793650793650791</v>
      </c>
      <c r="K661" s="6">
        <v>0.85843749999999974</v>
      </c>
      <c r="L661" s="6">
        <v>0.70514569581817654</v>
      </c>
      <c r="M661" s="4" t="s">
        <v>117</v>
      </c>
      <c r="N661" s="5">
        <v>0.19029278971658359</v>
      </c>
      <c r="O661" s="4">
        <v>1</v>
      </c>
    </row>
    <row r="662" spans="1:15" x14ac:dyDescent="0.3">
      <c r="A662" s="4">
        <v>221</v>
      </c>
      <c r="B662" s="4">
        <v>221000</v>
      </c>
      <c r="C662" s="4" t="s">
        <v>15</v>
      </c>
      <c r="D662" s="4" t="s">
        <v>16</v>
      </c>
      <c r="E662" s="4" t="s">
        <v>17</v>
      </c>
      <c r="F662" s="4" t="s">
        <v>18</v>
      </c>
      <c r="G662" s="5">
        <v>0.1</v>
      </c>
      <c r="H662" s="5">
        <v>0.4</v>
      </c>
      <c r="I662" s="5">
        <v>0.05</v>
      </c>
      <c r="J662" s="6">
        <v>0.73015873015873012</v>
      </c>
      <c r="K662" s="6">
        <v>0.74913043478260877</v>
      </c>
      <c r="L662" s="6">
        <v>0.75083029957424552</v>
      </c>
      <c r="M662" s="4" t="s">
        <v>19</v>
      </c>
      <c r="N662" s="5">
        <v>1</v>
      </c>
      <c r="O662" s="4">
        <v>1</v>
      </c>
    </row>
    <row r="663" spans="1:15" x14ac:dyDescent="0.3">
      <c r="A663" s="4">
        <v>221</v>
      </c>
      <c r="B663" s="4">
        <v>221000</v>
      </c>
      <c r="C663" s="4" t="s">
        <v>15</v>
      </c>
      <c r="D663" s="4" t="s">
        <v>161</v>
      </c>
      <c r="E663" s="4" t="s">
        <v>17</v>
      </c>
      <c r="F663" s="4" t="s">
        <v>18</v>
      </c>
      <c r="G663" s="5">
        <v>0.18888888888888891</v>
      </c>
      <c r="H663" s="5">
        <v>0.8</v>
      </c>
      <c r="I663" s="5">
        <v>0.05</v>
      </c>
      <c r="J663" s="6">
        <v>0.66666666666666663</v>
      </c>
      <c r="K663" s="6">
        <v>0.81476190476190469</v>
      </c>
      <c r="L663" s="6">
        <v>0.79320675124039941</v>
      </c>
      <c r="M663" s="4" t="s">
        <v>19</v>
      </c>
      <c r="N663" s="5">
        <v>1</v>
      </c>
      <c r="O663" s="4">
        <v>1</v>
      </c>
    </row>
    <row r="664" spans="1:15" x14ac:dyDescent="0.3">
      <c r="A664" s="4">
        <v>221</v>
      </c>
      <c r="B664" s="4">
        <v>221000</v>
      </c>
      <c r="C664" s="4" t="s">
        <v>15</v>
      </c>
      <c r="D664" s="4" t="s">
        <v>162</v>
      </c>
      <c r="E664" s="4" t="s">
        <v>17</v>
      </c>
      <c r="F664" s="4" t="s">
        <v>18</v>
      </c>
      <c r="G664" s="5">
        <v>0.9</v>
      </c>
      <c r="H664" s="5">
        <v>0.8</v>
      </c>
      <c r="I664" s="5">
        <v>0.05</v>
      </c>
      <c r="J664" s="6">
        <v>0.3968253968253968</v>
      </c>
      <c r="K664" s="6">
        <v>0.8899999999999999</v>
      </c>
      <c r="L664" s="6">
        <v>0.66034295334908255</v>
      </c>
      <c r="M664" s="4" t="s">
        <v>19</v>
      </c>
      <c r="N664" s="5">
        <v>1</v>
      </c>
      <c r="O664" s="4">
        <v>1</v>
      </c>
    </row>
    <row r="665" spans="1:15" x14ac:dyDescent="0.3">
      <c r="A665" s="4">
        <v>222</v>
      </c>
      <c r="B665" s="4">
        <v>222000</v>
      </c>
      <c r="C665" s="4" t="s">
        <v>15</v>
      </c>
      <c r="D665" s="4" t="s">
        <v>16</v>
      </c>
      <c r="E665" s="4" t="s">
        <v>17</v>
      </c>
      <c r="F665" s="4" t="s">
        <v>18</v>
      </c>
      <c r="G665" s="5">
        <v>0.1</v>
      </c>
      <c r="H665" s="5">
        <v>0.4</v>
      </c>
      <c r="I665" s="5">
        <v>0.05</v>
      </c>
      <c r="J665" s="6">
        <v>0.70149253731343286</v>
      </c>
      <c r="K665" s="6">
        <v>0.74829787234042555</v>
      </c>
      <c r="L665" s="6">
        <v>0.56966212529378968</v>
      </c>
      <c r="M665" s="4" t="s">
        <v>19</v>
      </c>
      <c r="N665" s="5">
        <v>1</v>
      </c>
      <c r="O665" s="4">
        <v>1</v>
      </c>
    </row>
    <row r="666" spans="1:15" x14ac:dyDescent="0.3">
      <c r="A666" s="4">
        <v>222</v>
      </c>
      <c r="B666" s="4">
        <v>222000</v>
      </c>
      <c r="C666" s="4" t="s">
        <v>15</v>
      </c>
      <c r="D666" s="4" t="s">
        <v>161</v>
      </c>
      <c r="E666" s="4" t="s">
        <v>17</v>
      </c>
      <c r="F666" s="4" t="s">
        <v>18</v>
      </c>
      <c r="G666" s="5">
        <v>0.72222222222222221</v>
      </c>
      <c r="H666" s="5">
        <v>0.8</v>
      </c>
      <c r="I666" s="5">
        <v>0.1166666666666667</v>
      </c>
      <c r="J666" s="6">
        <v>0.46268656716417911</v>
      </c>
      <c r="K666" s="6">
        <v>0.86354838709677395</v>
      </c>
      <c r="L666" s="6">
        <v>0.72032875783196559</v>
      </c>
      <c r="M666" s="4" t="s">
        <v>19</v>
      </c>
      <c r="N666" s="5">
        <v>1</v>
      </c>
      <c r="O666" s="4">
        <v>1</v>
      </c>
    </row>
    <row r="667" spans="1:15" x14ac:dyDescent="0.3">
      <c r="A667" s="4">
        <v>222</v>
      </c>
      <c r="B667" s="4">
        <v>222000</v>
      </c>
      <c r="C667" s="4" t="s">
        <v>15</v>
      </c>
      <c r="D667" s="4" t="s">
        <v>162</v>
      </c>
      <c r="E667" s="4" t="s">
        <v>17</v>
      </c>
      <c r="F667" s="4" t="s">
        <v>18</v>
      </c>
      <c r="G667" s="5">
        <v>0.9</v>
      </c>
      <c r="H667" s="5">
        <v>0.8</v>
      </c>
      <c r="I667" s="5">
        <v>0.05</v>
      </c>
      <c r="J667" s="6">
        <v>0.34328358208955218</v>
      </c>
      <c r="K667" s="6">
        <v>0.88260869565217381</v>
      </c>
      <c r="L667" s="6">
        <v>0.66858269727718145</v>
      </c>
      <c r="M667" s="4" t="s">
        <v>19</v>
      </c>
      <c r="N667" s="5">
        <v>1</v>
      </c>
      <c r="O667" s="4">
        <v>1</v>
      </c>
    </row>
    <row r="668" spans="1:15" x14ac:dyDescent="0.3">
      <c r="A668" s="4">
        <v>223</v>
      </c>
      <c r="B668" s="4">
        <v>223000</v>
      </c>
      <c r="C668" s="4" t="s">
        <v>15</v>
      </c>
      <c r="D668" s="4" t="s">
        <v>16</v>
      </c>
      <c r="E668" s="4" t="s">
        <v>17</v>
      </c>
      <c r="F668" s="4" t="s">
        <v>18</v>
      </c>
      <c r="G668" s="5">
        <v>0.1</v>
      </c>
      <c r="H668" s="5">
        <v>0.4</v>
      </c>
      <c r="I668" s="5">
        <v>0.05</v>
      </c>
      <c r="J668" s="6">
        <v>0.69230769230769229</v>
      </c>
      <c r="K668" s="6">
        <v>0.75800000000000001</v>
      </c>
      <c r="L668" s="6">
        <v>0.56629888488923263</v>
      </c>
      <c r="M668" s="4" t="s">
        <v>118</v>
      </c>
      <c r="N668" s="5">
        <v>8.6691381429329001E-2</v>
      </c>
      <c r="O668" s="4">
        <v>0</v>
      </c>
    </row>
    <row r="669" spans="1:15" x14ac:dyDescent="0.3">
      <c r="A669" s="4">
        <v>223</v>
      </c>
      <c r="B669" s="4">
        <v>223000</v>
      </c>
      <c r="C669" s="4" t="s">
        <v>15</v>
      </c>
      <c r="D669" s="4" t="s">
        <v>161</v>
      </c>
      <c r="E669" s="4" t="s">
        <v>17</v>
      </c>
      <c r="F669" s="4" t="s">
        <v>18</v>
      </c>
      <c r="G669" s="5">
        <v>0.72222222222222221</v>
      </c>
      <c r="H669" s="5">
        <v>0.8</v>
      </c>
      <c r="I669" s="5">
        <v>0.1166666666666667</v>
      </c>
      <c r="J669" s="6">
        <v>0.49230769230769228</v>
      </c>
      <c r="K669" s="6">
        <v>0.85187499999999983</v>
      </c>
      <c r="L669" s="6">
        <v>0.64020240934013295</v>
      </c>
      <c r="M669" s="4" t="s">
        <v>118</v>
      </c>
      <c r="N669" s="5">
        <v>8.6691381429329001E-2</v>
      </c>
      <c r="O669" s="4">
        <v>0</v>
      </c>
    </row>
    <row r="670" spans="1:15" x14ac:dyDescent="0.3">
      <c r="A670" s="4">
        <v>223</v>
      </c>
      <c r="B670" s="4">
        <v>223000</v>
      </c>
      <c r="C670" s="4" t="s">
        <v>15</v>
      </c>
      <c r="D670" s="4" t="s">
        <v>162</v>
      </c>
      <c r="E670" s="4" t="s">
        <v>17</v>
      </c>
      <c r="F670" s="4" t="s">
        <v>18</v>
      </c>
      <c r="G670" s="5">
        <v>0.9</v>
      </c>
      <c r="H670" s="5">
        <v>0.8</v>
      </c>
      <c r="I670" s="5">
        <v>0.05</v>
      </c>
      <c r="J670" s="6">
        <v>0.4</v>
      </c>
      <c r="K670" s="6">
        <v>0.85153846153846124</v>
      </c>
      <c r="L670" s="6">
        <v>0.66086849989004559</v>
      </c>
      <c r="M670" s="4" t="s">
        <v>118</v>
      </c>
      <c r="N670" s="5">
        <v>8.6691381429329001E-2</v>
      </c>
      <c r="O670" s="4">
        <v>0</v>
      </c>
    </row>
    <row r="671" spans="1:15" x14ac:dyDescent="0.3">
      <c r="A671" s="4">
        <v>224</v>
      </c>
      <c r="B671" s="4">
        <v>224000</v>
      </c>
      <c r="C671" s="4" t="s">
        <v>15</v>
      </c>
      <c r="D671" s="4" t="s">
        <v>16</v>
      </c>
      <c r="E671" s="4" t="s">
        <v>17</v>
      </c>
      <c r="F671" s="4" t="s">
        <v>18</v>
      </c>
      <c r="G671" s="5">
        <v>0.1</v>
      </c>
      <c r="H671" s="5">
        <v>0.4</v>
      </c>
      <c r="I671" s="5">
        <v>0.05</v>
      </c>
      <c r="J671" s="6">
        <v>0.69696969696969702</v>
      </c>
      <c r="K671" s="6">
        <v>0.77521739130434808</v>
      </c>
      <c r="L671" s="6">
        <v>0.60324412849390274</v>
      </c>
      <c r="M671" s="4" t="s">
        <v>98</v>
      </c>
      <c r="N671" s="5">
        <v>0.12954879343457809</v>
      </c>
      <c r="O671" s="4">
        <v>0</v>
      </c>
    </row>
    <row r="672" spans="1:15" x14ac:dyDescent="0.3">
      <c r="A672" s="4">
        <v>224</v>
      </c>
      <c r="B672" s="4">
        <v>224000</v>
      </c>
      <c r="C672" s="4" t="s">
        <v>15</v>
      </c>
      <c r="D672" s="4" t="s">
        <v>161</v>
      </c>
      <c r="E672" s="4" t="s">
        <v>17</v>
      </c>
      <c r="F672" s="4" t="s">
        <v>18</v>
      </c>
      <c r="G672" s="5">
        <v>0.72222222222222221</v>
      </c>
      <c r="H672" s="5">
        <v>0.8</v>
      </c>
      <c r="I672" s="5">
        <v>0.1166666666666667</v>
      </c>
      <c r="J672" s="6">
        <v>0.5</v>
      </c>
      <c r="K672" s="6">
        <v>0.8518181818181817</v>
      </c>
      <c r="L672" s="6">
        <v>0.73495370182643815</v>
      </c>
      <c r="M672" s="4" t="s">
        <v>98</v>
      </c>
      <c r="N672" s="5">
        <v>0.12954879343457809</v>
      </c>
      <c r="O672" s="4">
        <v>0</v>
      </c>
    </row>
    <row r="673" spans="1:15" x14ac:dyDescent="0.3">
      <c r="A673" s="4">
        <v>224</v>
      </c>
      <c r="B673" s="4">
        <v>224000</v>
      </c>
      <c r="C673" s="4" t="s">
        <v>15</v>
      </c>
      <c r="D673" s="4" t="s">
        <v>162</v>
      </c>
      <c r="E673" s="4" t="s">
        <v>17</v>
      </c>
      <c r="F673" s="4" t="s">
        <v>18</v>
      </c>
      <c r="G673" s="5">
        <v>0.9</v>
      </c>
      <c r="H673" s="5">
        <v>0.8</v>
      </c>
      <c r="I673" s="5">
        <v>0.05</v>
      </c>
      <c r="J673" s="6">
        <v>0.43939393939393939</v>
      </c>
      <c r="K673" s="6">
        <v>0.85827586206896533</v>
      </c>
      <c r="L673" s="6">
        <v>0.73057120584001611</v>
      </c>
      <c r="M673" s="4" t="s">
        <v>98</v>
      </c>
      <c r="N673" s="5">
        <v>0.12954879343457809</v>
      </c>
      <c r="O673" s="4">
        <v>0</v>
      </c>
    </row>
    <row r="674" spans="1:15" x14ac:dyDescent="0.3">
      <c r="A674" s="4">
        <v>225</v>
      </c>
      <c r="B674" s="4">
        <v>225000</v>
      </c>
      <c r="C674" s="4" t="s">
        <v>15</v>
      </c>
      <c r="D674" s="4" t="s">
        <v>16</v>
      </c>
      <c r="E674" s="4" t="s">
        <v>17</v>
      </c>
      <c r="F674" s="4" t="s">
        <v>18</v>
      </c>
      <c r="G674" s="5">
        <v>0.1</v>
      </c>
      <c r="H674" s="5">
        <v>0.4</v>
      </c>
      <c r="I674" s="5">
        <v>0.05</v>
      </c>
      <c r="J674" s="6">
        <v>0.76271186440677963</v>
      </c>
      <c r="K674" s="6">
        <v>0.78933333333333344</v>
      </c>
      <c r="L674" s="6">
        <v>0.551183384287392</v>
      </c>
      <c r="M674" s="4" t="s">
        <v>119</v>
      </c>
      <c r="N674" s="5">
        <v>0.14544689983953199</v>
      </c>
      <c r="O674" s="4">
        <v>0</v>
      </c>
    </row>
    <row r="675" spans="1:15" x14ac:dyDescent="0.3">
      <c r="A675" s="4">
        <v>225</v>
      </c>
      <c r="B675" s="4">
        <v>225000</v>
      </c>
      <c r="C675" s="4" t="s">
        <v>15</v>
      </c>
      <c r="D675" s="4" t="s">
        <v>161</v>
      </c>
      <c r="E675" s="4" t="s">
        <v>17</v>
      </c>
      <c r="F675" s="4" t="s">
        <v>18</v>
      </c>
      <c r="G675" s="5">
        <v>0.72222222222222221</v>
      </c>
      <c r="H675" s="5">
        <v>0.8</v>
      </c>
      <c r="I675" s="5">
        <v>0.1166666666666667</v>
      </c>
      <c r="J675" s="6">
        <v>0.5423728813559322</v>
      </c>
      <c r="K675" s="6">
        <v>0.85124999999999984</v>
      </c>
      <c r="L675" s="6">
        <v>0.71932624771806053</v>
      </c>
      <c r="M675" s="4" t="s">
        <v>119</v>
      </c>
      <c r="N675" s="5">
        <v>0.14544689983953199</v>
      </c>
      <c r="O675" s="4">
        <v>0</v>
      </c>
    </row>
    <row r="676" spans="1:15" x14ac:dyDescent="0.3">
      <c r="A676" s="4">
        <v>225</v>
      </c>
      <c r="B676" s="4">
        <v>225000</v>
      </c>
      <c r="C676" s="4" t="s">
        <v>15</v>
      </c>
      <c r="D676" s="4" t="s">
        <v>162</v>
      </c>
      <c r="E676" s="4" t="s">
        <v>17</v>
      </c>
      <c r="F676" s="4" t="s">
        <v>18</v>
      </c>
      <c r="G676" s="5">
        <v>0.9</v>
      </c>
      <c r="H676" s="5">
        <v>0.8</v>
      </c>
      <c r="I676" s="5">
        <v>0.05</v>
      </c>
      <c r="J676" s="6">
        <v>0.49152542372881358</v>
      </c>
      <c r="K676" s="6">
        <v>0.8613793103448274</v>
      </c>
      <c r="L676" s="6">
        <v>0.68531947108065616</v>
      </c>
      <c r="M676" s="4" t="s">
        <v>119</v>
      </c>
      <c r="N676" s="5">
        <v>0.14544689983953199</v>
      </c>
      <c r="O676" s="4">
        <v>0</v>
      </c>
    </row>
    <row r="677" spans="1:15" x14ac:dyDescent="0.3">
      <c r="A677" s="4">
        <v>226</v>
      </c>
      <c r="B677" s="4">
        <v>226000</v>
      </c>
      <c r="C677" s="4" t="s">
        <v>15</v>
      </c>
      <c r="D677" s="4" t="s">
        <v>16</v>
      </c>
      <c r="E677" s="4" t="s">
        <v>17</v>
      </c>
      <c r="F677" s="4" t="s">
        <v>18</v>
      </c>
      <c r="G677" s="5">
        <v>0.1</v>
      </c>
      <c r="H677" s="5">
        <v>0.4</v>
      </c>
      <c r="I677" s="5">
        <v>0.05</v>
      </c>
      <c r="J677" s="6">
        <v>0.7142857142857143</v>
      </c>
      <c r="K677" s="6">
        <v>0.78355555555555567</v>
      </c>
      <c r="L677" s="6">
        <v>0.60867182381273632</v>
      </c>
      <c r="M677" s="4" t="s">
        <v>31</v>
      </c>
      <c r="N677" s="5">
        <v>0.18333248806875019</v>
      </c>
      <c r="O677" s="4">
        <v>1</v>
      </c>
    </row>
    <row r="678" spans="1:15" x14ac:dyDescent="0.3">
      <c r="A678" s="4">
        <v>226</v>
      </c>
      <c r="B678" s="4">
        <v>226000</v>
      </c>
      <c r="C678" s="4" t="s">
        <v>15</v>
      </c>
      <c r="D678" s="4" t="s">
        <v>161</v>
      </c>
      <c r="E678" s="4" t="s">
        <v>17</v>
      </c>
      <c r="F678" s="4" t="s">
        <v>18</v>
      </c>
      <c r="G678" s="5">
        <v>0.81111111111111112</v>
      </c>
      <c r="H678" s="5">
        <v>0.4</v>
      </c>
      <c r="I678" s="5">
        <v>0.05</v>
      </c>
      <c r="J678" s="6">
        <v>0.52380952380952384</v>
      </c>
      <c r="K678" s="6">
        <v>0.83818181818181803</v>
      </c>
      <c r="L678" s="6">
        <v>0.70992881946096509</v>
      </c>
      <c r="M678" s="4" t="s">
        <v>31</v>
      </c>
      <c r="N678" s="5">
        <v>0.18333248806875019</v>
      </c>
      <c r="O678" s="4">
        <v>1</v>
      </c>
    </row>
    <row r="679" spans="1:15" x14ac:dyDescent="0.3">
      <c r="A679" s="4">
        <v>226</v>
      </c>
      <c r="B679" s="4">
        <v>226000</v>
      </c>
      <c r="C679" s="4" t="s">
        <v>15</v>
      </c>
      <c r="D679" s="4" t="s">
        <v>162</v>
      </c>
      <c r="E679" s="4" t="s">
        <v>17</v>
      </c>
      <c r="F679" s="4" t="s">
        <v>18</v>
      </c>
      <c r="G679" s="5">
        <v>0.9</v>
      </c>
      <c r="H679" s="5">
        <v>0.60000000000000009</v>
      </c>
      <c r="I679" s="5">
        <v>0.05</v>
      </c>
      <c r="J679" s="6">
        <v>0.46031746031746029</v>
      </c>
      <c r="K679" s="6">
        <v>0.86448275862068968</v>
      </c>
      <c r="L679" s="6">
        <v>0.70700325522691909</v>
      </c>
      <c r="M679" s="4" t="s">
        <v>31</v>
      </c>
      <c r="N679" s="5">
        <v>0.18333248806875019</v>
      </c>
      <c r="O679" s="4">
        <v>1</v>
      </c>
    </row>
    <row r="680" spans="1:15" x14ac:dyDescent="0.3">
      <c r="A680" s="4">
        <v>227</v>
      </c>
      <c r="B680" s="4">
        <v>227000</v>
      </c>
      <c r="C680" s="4" t="s">
        <v>15</v>
      </c>
      <c r="D680" s="4" t="s">
        <v>16</v>
      </c>
      <c r="E680" s="4" t="s">
        <v>17</v>
      </c>
      <c r="F680" s="4" t="s">
        <v>18</v>
      </c>
      <c r="G680" s="5">
        <v>0.1</v>
      </c>
      <c r="H680" s="5">
        <v>0.4</v>
      </c>
      <c r="I680" s="5">
        <v>0.05</v>
      </c>
      <c r="J680" s="6">
        <v>0.67164179104477617</v>
      </c>
      <c r="K680" s="6">
        <v>0.74800000000000011</v>
      </c>
      <c r="L680" s="6">
        <v>0.56441289397380567</v>
      </c>
      <c r="M680" s="4" t="s">
        <v>73</v>
      </c>
      <c r="N680" s="5">
        <v>9.1653847235392397E-2</v>
      </c>
      <c r="O680" s="4">
        <v>0</v>
      </c>
    </row>
    <row r="681" spans="1:15" x14ac:dyDescent="0.3">
      <c r="A681" s="4">
        <v>227</v>
      </c>
      <c r="B681" s="4">
        <v>227000</v>
      </c>
      <c r="C681" s="4" t="s">
        <v>15</v>
      </c>
      <c r="D681" s="4" t="s">
        <v>161</v>
      </c>
      <c r="E681" s="4" t="s">
        <v>17</v>
      </c>
      <c r="F681" s="4" t="s">
        <v>18</v>
      </c>
      <c r="G681" s="5">
        <v>0.81111111111111112</v>
      </c>
      <c r="H681" s="5">
        <v>0.4</v>
      </c>
      <c r="I681" s="5">
        <v>0.05</v>
      </c>
      <c r="J681" s="6">
        <v>0.47761194029850751</v>
      </c>
      <c r="K681" s="6">
        <v>0.83281249999999973</v>
      </c>
      <c r="L681" s="6">
        <v>0.68344400884010936</v>
      </c>
      <c r="M681" s="4" t="s">
        <v>73</v>
      </c>
      <c r="N681" s="5">
        <v>9.1653847235392397E-2</v>
      </c>
      <c r="O681" s="4">
        <v>0</v>
      </c>
    </row>
    <row r="682" spans="1:15" x14ac:dyDescent="0.3">
      <c r="A682" s="4">
        <v>227</v>
      </c>
      <c r="B682" s="4">
        <v>227000</v>
      </c>
      <c r="C682" s="4" t="s">
        <v>15</v>
      </c>
      <c r="D682" s="4" t="s">
        <v>162</v>
      </c>
      <c r="E682" s="4" t="s">
        <v>17</v>
      </c>
      <c r="F682" s="4" t="s">
        <v>18</v>
      </c>
      <c r="G682" s="5">
        <v>0.9</v>
      </c>
      <c r="H682" s="5">
        <v>0.60000000000000009</v>
      </c>
      <c r="I682" s="5">
        <v>0.05</v>
      </c>
      <c r="J682" s="6">
        <v>0.37313432835820898</v>
      </c>
      <c r="K682" s="6">
        <v>0.85679999999999978</v>
      </c>
      <c r="L682" s="6">
        <v>0.60118115907363412</v>
      </c>
      <c r="M682" s="4" t="s">
        <v>73</v>
      </c>
      <c r="N682" s="5">
        <v>9.1653847235392397E-2</v>
      </c>
      <c r="O682" s="4">
        <v>0</v>
      </c>
    </row>
    <row r="683" spans="1:15" x14ac:dyDescent="0.3">
      <c r="A683" s="4">
        <v>228</v>
      </c>
      <c r="B683" s="4">
        <v>228000</v>
      </c>
      <c r="C683" s="4" t="s">
        <v>15</v>
      </c>
      <c r="D683" s="4" t="s">
        <v>16</v>
      </c>
      <c r="E683" s="4" t="s">
        <v>17</v>
      </c>
      <c r="F683" s="4" t="s">
        <v>18</v>
      </c>
      <c r="G683" s="5">
        <v>0.1</v>
      </c>
      <c r="H683" s="5">
        <v>0.4</v>
      </c>
      <c r="I683" s="5">
        <v>0.05</v>
      </c>
      <c r="J683" s="6">
        <v>0.67123287671232879</v>
      </c>
      <c r="K683" s="6">
        <v>0.76428571428571435</v>
      </c>
      <c r="L683" s="6">
        <v>0.57160831528357536</v>
      </c>
      <c r="M683" s="4" t="s">
        <v>100</v>
      </c>
      <c r="N683" s="5">
        <v>0.13119909092342891</v>
      </c>
      <c r="O683" s="4">
        <v>0</v>
      </c>
    </row>
    <row r="684" spans="1:15" x14ac:dyDescent="0.3">
      <c r="A684" s="4">
        <v>228</v>
      </c>
      <c r="B684" s="4">
        <v>228000</v>
      </c>
      <c r="C684" s="4" t="s">
        <v>15</v>
      </c>
      <c r="D684" s="4" t="s">
        <v>161</v>
      </c>
      <c r="E684" s="4" t="s">
        <v>17</v>
      </c>
      <c r="F684" s="4" t="s">
        <v>18</v>
      </c>
      <c r="G684" s="5">
        <v>0.81111111111111112</v>
      </c>
      <c r="H684" s="5">
        <v>0.4</v>
      </c>
      <c r="I684" s="5">
        <v>0.05</v>
      </c>
      <c r="J684" s="6">
        <v>0.49315068493150682</v>
      </c>
      <c r="K684" s="6">
        <v>0.84138888888888874</v>
      </c>
      <c r="L684" s="6">
        <v>0.7444203359319469</v>
      </c>
      <c r="M684" s="4" t="s">
        <v>100</v>
      </c>
      <c r="N684" s="5">
        <v>0.13119909092342891</v>
      </c>
      <c r="O684" s="4">
        <v>0</v>
      </c>
    </row>
    <row r="685" spans="1:15" x14ac:dyDescent="0.3">
      <c r="A685" s="4">
        <v>228</v>
      </c>
      <c r="B685" s="4">
        <v>228000</v>
      </c>
      <c r="C685" s="4" t="s">
        <v>15</v>
      </c>
      <c r="D685" s="4" t="s">
        <v>162</v>
      </c>
      <c r="E685" s="4" t="s">
        <v>17</v>
      </c>
      <c r="F685" s="4" t="s">
        <v>18</v>
      </c>
      <c r="G685" s="5">
        <v>0.9</v>
      </c>
      <c r="H685" s="5">
        <v>0.60000000000000009</v>
      </c>
      <c r="I685" s="5">
        <v>0.05</v>
      </c>
      <c r="J685" s="6">
        <v>0.41095890410958902</v>
      </c>
      <c r="K685" s="6">
        <v>0.86833333333333329</v>
      </c>
      <c r="L685" s="6">
        <v>0.71380936450854016</v>
      </c>
      <c r="M685" s="4" t="s">
        <v>100</v>
      </c>
      <c r="N685" s="5">
        <v>0.13119909092342891</v>
      </c>
      <c r="O685" s="4">
        <v>0</v>
      </c>
    </row>
    <row r="686" spans="1:15" x14ac:dyDescent="0.3">
      <c r="A686" s="4">
        <v>229</v>
      </c>
      <c r="B686" s="4">
        <v>229000</v>
      </c>
      <c r="C686" s="4" t="s">
        <v>15</v>
      </c>
      <c r="D686" s="4" t="s">
        <v>16</v>
      </c>
      <c r="E686" s="4" t="s">
        <v>17</v>
      </c>
      <c r="F686" s="4" t="s">
        <v>18</v>
      </c>
      <c r="G686" s="5">
        <v>0.1</v>
      </c>
      <c r="H686" s="5">
        <v>0.4</v>
      </c>
      <c r="I686" s="5">
        <v>0.05</v>
      </c>
      <c r="J686" s="6">
        <v>0.73239436619718312</v>
      </c>
      <c r="K686" s="6">
        <v>0.76942307692307721</v>
      </c>
      <c r="L686" s="6">
        <v>0.57923697716373823</v>
      </c>
      <c r="M686" s="4" t="s">
        <v>76</v>
      </c>
      <c r="N686" s="5">
        <v>0.14881457829023051</v>
      </c>
      <c r="O686" s="4">
        <v>0</v>
      </c>
    </row>
    <row r="687" spans="1:15" x14ac:dyDescent="0.3">
      <c r="A687" s="4">
        <v>229</v>
      </c>
      <c r="B687" s="4">
        <v>229000</v>
      </c>
      <c r="C687" s="4" t="s">
        <v>15</v>
      </c>
      <c r="D687" s="4" t="s">
        <v>161</v>
      </c>
      <c r="E687" s="4" t="s">
        <v>17</v>
      </c>
      <c r="F687" s="4" t="s">
        <v>18</v>
      </c>
      <c r="G687" s="5">
        <v>0.81111111111111112</v>
      </c>
      <c r="H687" s="5">
        <v>0.4</v>
      </c>
      <c r="I687" s="5">
        <v>0.05</v>
      </c>
      <c r="J687" s="6">
        <v>0.49295774647887319</v>
      </c>
      <c r="K687" s="6">
        <v>0.84285714285714264</v>
      </c>
      <c r="L687" s="6">
        <v>0.76232085891941792</v>
      </c>
      <c r="M687" s="4" t="s">
        <v>76</v>
      </c>
      <c r="N687" s="5">
        <v>0.14881457829023051</v>
      </c>
      <c r="O687" s="4">
        <v>0</v>
      </c>
    </row>
    <row r="688" spans="1:15" x14ac:dyDescent="0.3">
      <c r="A688" s="4">
        <v>229</v>
      </c>
      <c r="B688" s="4">
        <v>229000</v>
      </c>
      <c r="C688" s="4" t="s">
        <v>15</v>
      </c>
      <c r="D688" s="4" t="s">
        <v>162</v>
      </c>
      <c r="E688" s="4" t="s">
        <v>17</v>
      </c>
      <c r="F688" s="4" t="s">
        <v>18</v>
      </c>
      <c r="G688" s="5">
        <v>0.9</v>
      </c>
      <c r="H688" s="5">
        <v>0.60000000000000009</v>
      </c>
      <c r="I688" s="5">
        <v>0.05</v>
      </c>
      <c r="J688" s="6">
        <v>0.42253521126760563</v>
      </c>
      <c r="K688" s="6">
        <v>0.86733333333333318</v>
      </c>
      <c r="L688" s="6">
        <v>0.75178508133903588</v>
      </c>
      <c r="M688" s="4" t="s">
        <v>76</v>
      </c>
      <c r="N688" s="5">
        <v>0.14881457829023051</v>
      </c>
      <c r="O688" s="4">
        <v>0</v>
      </c>
    </row>
    <row r="689" spans="1:15" x14ac:dyDescent="0.3">
      <c r="A689" s="4">
        <v>230</v>
      </c>
      <c r="B689" s="4">
        <v>230000</v>
      </c>
      <c r="C689" s="4" t="s">
        <v>15</v>
      </c>
      <c r="D689" s="4" t="s">
        <v>16</v>
      </c>
      <c r="E689" s="4" t="s">
        <v>17</v>
      </c>
      <c r="F689" s="4" t="s">
        <v>18</v>
      </c>
      <c r="G689" s="5">
        <v>0.1</v>
      </c>
      <c r="H689" s="5">
        <v>0.4</v>
      </c>
      <c r="I689" s="5">
        <v>0.05</v>
      </c>
      <c r="J689" s="6">
        <v>0.74626865671641796</v>
      </c>
      <c r="K689" s="6">
        <v>0.79920000000000013</v>
      </c>
      <c r="L689" s="6">
        <v>0.62845675140079982</v>
      </c>
      <c r="M689" s="4" t="s">
        <v>120</v>
      </c>
      <c r="N689" s="5">
        <v>0.16199008948326421</v>
      </c>
      <c r="O689" s="4">
        <v>1</v>
      </c>
    </row>
    <row r="690" spans="1:15" x14ac:dyDescent="0.3">
      <c r="A690" s="4">
        <v>230</v>
      </c>
      <c r="B690" s="4">
        <v>230000</v>
      </c>
      <c r="C690" s="4" t="s">
        <v>15</v>
      </c>
      <c r="D690" s="4" t="s">
        <v>161</v>
      </c>
      <c r="E690" s="4" t="s">
        <v>17</v>
      </c>
      <c r="F690" s="4" t="s">
        <v>18</v>
      </c>
      <c r="G690" s="5">
        <v>0.9</v>
      </c>
      <c r="H690" s="5">
        <v>0.4</v>
      </c>
      <c r="I690" s="5">
        <v>0.05</v>
      </c>
      <c r="J690" s="6">
        <v>0.44776119402985082</v>
      </c>
      <c r="K690" s="6">
        <v>0.86866666666666648</v>
      </c>
      <c r="L690" s="6">
        <v>0.74285022391133593</v>
      </c>
      <c r="M690" s="4" t="s">
        <v>120</v>
      </c>
      <c r="N690" s="5">
        <v>0.16199008948326421</v>
      </c>
      <c r="O690" s="4">
        <v>1</v>
      </c>
    </row>
    <row r="691" spans="1:15" x14ac:dyDescent="0.3">
      <c r="A691" s="4">
        <v>230</v>
      </c>
      <c r="B691" s="4">
        <v>230000</v>
      </c>
      <c r="C691" s="4" t="s">
        <v>15</v>
      </c>
      <c r="D691" s="4" t="s">
        <v>162</v>
      </c>
      <c r="E691" s="4" t="s">
        <v>17</v>
      </c>
      <c r="F691" s="4" t="s">
        <v>18</v>
      </c>
      <c r="G691" s="5">
        <v>0.9</v>
      </c>
      <c r="H691" s="5">
        <v>0.4</v>
      </c>
      <c r="I691" s="5">
        <v>0.05</v>
      </c>
      <c r="J691" s="6">
        <v>0.44776119402985082</v>
      </c>
      <c r="K691" s="6">
        <v>0.86866666666666648</v>
      </c>
      <c r="L691" s="6">
        <v>0.74285022391133593</v>
      </c>
      <c r="M691" s="4" t="s">
        <v>120</v>
      </c>
      <c r="N691" s="5">
        <v>0.16199008948326421</v>
      </c>
      <c r="O691" s="4">
        <v>1</v>
      </c>
    </row>
    <row r="692" spans="1:15" x14ac:dyDescent="0.3">
      <c r="A692" s="4">
        <v>231</v>
      </c>
      <c r="B692" s="4">
        <v>231000</v>
      </c>
      <c r="C692" s="4" t="s">
        <v>15</v>
      </c>
      <c r="D692" s="4" t="s">
        <v>16</v>
      </c>
      <c r="E692" s="4" t="s">
        <v>17</v>
      </c>
      <c r="F692" s="4" t="s">
        <v>18</v>
      </c>
      <c r="G692" s="5">
        <v>0.1</v>
      </c>
      <c r="H692" s="5">
        <v>0.4</v>
      </c>
      <c r="I692" s="5">
        <v>0.05</v>
      </c>
      <c r="J692" s="6">
        <v>0.74603174603174605</v>
      </c>
      <c r="K692" s="6">
        <v>0.81085106382978733</v>
      </c>
      <c r="L692" s="6">
        <v>0.68584134195757707</v>
      </c>
      <c r="M692" s="4" t="s">
        <v>82</v>
      </c>
      <c r="N692" s="5">
        <v>0.1015452537075463</v>
      </c>
      <c r="O692" s="4">
        <v>0</v>
      </c>
    </row>
    <row r="693" spans="1:15" x14ac:dyDescent="0.3">
      <c r="A693" s="4">
        <v>231</v>
      </c>
      <c r="B693" s="4">
        <v>231000</v>
      </c>
      <c r="C693" s="4" t="s">
        <v>15</v>
      </c>
      <c r="D693" s="4" t="s">
        <v>161</v>
      </c>
      <c r="E693" s="4" t="s">
        <v>17</v>
      </c>
      <c r="F693" s="4" t="s">
        <v>18</v>
      </c>
      <c r="G693" s="5">
        <v>0.9</v>
      </c>
      <c r="H693" s="5">
        <v>0.4</v>
      </c>
      <c r="I693" s="5">
        <v>0.05</v>
      </c>
      <c r="J693" s="6">
        <v>0.46031746031746029</v>
      </c>
      <c r="K693" s="6">
        <v>0.86172413793103442</v>
      </c>
      <c r="L693" s="6">
        <v>0.72075129864220999</v>
      </c>
      <c r="M693" s="4" t="s">
        <v>82</v>
      </c>
      <c r="N693" s="5">
        <v>0.1015452537075463</v>
      </c>
      <c r="O693" s="4">
        <v>0</v>
      </c>
    </row>
    <row r="694" spans="1:15" x14ac:dyDescent="0.3">
      <c r="A694" s="4">
        <v>231</v>
      </c>
      <c r="B694" s="4">
        <v>231000</v>
      </c>
      <c r="C694" s="4" t="s">
        <v>15</v>
      </c>
      <c r="D694" s="4" t="s">
        <v>162</v>
      </c>
      <c r="E694" s="4" t="s">
        <v>17</v>
      </c>
      <c r="F694" s="4" t="s">
        <v>18</v>
      </c>
      <c r="G694" s="5">
        <v>0.9</v>
      </c>
      <c r="H694" s="5">
        <v>0.4</v>
      </c>
      <c r="I694" s="5">
        <v>0.05</v>
      </c>
      <c r="J694" s="6">
        <v>0.46031746031746029</v>
      </c>
      <c r="K694" s="6">
        <v>0.86172413793103442</v>
      </c>
      <c r="L694" s="6">
        <v>0.72075129864220999</v>
      </c>
      <c r="M694" s="4" t="s">
        <v>82</v>
      </c>
      <c r="N694" s="5">
        <v>0.1015452537075463</v>
      </c>
      <c r="O694" s="4">
        <v>0</v>
      </c>
    </row>
    <row r="695" spans="1:15" x14ac:dyDescent="0.3">
      <c r="A695" s="4">
        <v>232</v>
      </c>
      <c r="B695" s="4">
        <v>232000</v>
      </c>
      <c r="C695" s="4" t="s">
        <v>15</v>
      </c>
      <c r="D695" s="4" t="s">
        <v>16</v>
      </c>
      <c r="E695" s="4" t="s">
        <v>17</v>
      </c>
      <c r="F695" s="4" t="s">
        <v>18</v>
      </c>
      <c r="G695" s="5">
        <v>0.1</v>
      </c>
      <c r="H695" s="5">
        <v>0.4</v>
      </c>
      <c r="I695" s="5">
        <v>0.05</v>
      </c>
      <c r="J695" s="6">
        <v>0.76271186440677963</v>
      </c>
      <c r="K695" s="6">
        <v>0.78066666666666673</v>
      </c>
      <c r="L695" s="6">
        <v>0.55631517655822005</v>
      </c>
      <c r="M695" s="4" t="s">
        <v>48</v>
      </c>
      <c r="N695" s="5">
        <v>0.17325996249056599</v>
      </c>
      <c r="O695" s="4">
        <v>1</v>
      </c>
    </row>
    <row r="696" spans="1:15" x14ac:dyDescent="0.3">
      <c r="A696" s="4">
        <v>232</v>
      </c>
      <c r="B696" s="4">
        <v>232000</v>
      </c>
      <c r="C696" s="4" t="s">
        <v>15</v>
      </c>
      <c r="D696" s="4" t="s">
        <v>161</v>
      </c>
      <c r="E696" s="4" t="s">
        <v>17</v>
      </c>
      <c r="F696" s="4" t="s">
        <v>18</v>
      </c>
      <c r="G696" s="5">
        <v>0.81111111111111112</v>
      </c>
      <c r="H696" s="5">
        <v>0.4</v>
      </c>
      <c r="I696" s="5">
        <v>0.05</v>
      </c>
      <c r="J696" s="6">
        <v>0.50847457627118642</v>
      </c>
      <c r="K696" s="6">
        <v>0.85633333333333328</v>
      </c>
      <c r="L696" s="6">
        <v>0.73265285119945567</v>
      </c>
      <c r="M696" s="4" t="s">
        <v>48</v>
      </c>
      <c r="N696" s="5">
        <v>0.17325996249056599</v>
      </c>
      <c r="O696" s="4">
        <v>1</v>
      </c>
    </row>
    <row r="697" spans="1:15" x14ac:dyDescent="0.3">
      <c r="A697" s="4">
        <v>232</v>
      </c>
      <c r="B697" s="4">
        <v>232000</v>
      </c>
      <c r="C697" s="4" t="s">
        <v>15</v>
      </c>
      <c r="D697" s="4" t="s">
        <v>162</v>
      </c>
      <c r="E697" s="4" t="s">
        <v>17</v>
      </c>
      <c r="F697" s="4" t="s">
        <v>18</v>
      </c>
      <c r="G697" s="5">
        <v>0.81111111111111112</v>
      </c>
      <c r="H697" s="5">
        <v>0.60000000000000009</v>
      </c>
      <c r="I697" s="5">
        <v>0.05</v>
      </c>
      <c r="J697" s="6">
        <v>0.49152542372881358</v>
      </c>
      <c r="K697" s="6">
        <v>0.88586206896551711</v>
      </c>
      <c r="L697" s="6">
        <v>0.73265285119945567</v>
      </c>
      <c r="M697" s="4" t="s">
        <v>48</v>
      </c>
      <c r="N697" s="5">
        <v>0.17325996249056599</v>
      </c>
      <c r="O697" s="4">
        <v>1</v>
      </c>
    </row>
    <row r="698" spans="1:15" x14ac:dyDescent="0.3">
      <c r="A698" s="4">
        <v>233</v>
      </c>
      <c r="B698" s="4">
        <v>233000</v>
      </c>
      <c r="C698" s="4" t="s">
        <v>15</v>
      </c>
      <c r="D698" s="4" t="s">
        <v>16</v>
      </c>
      <c r="E698" s="4" t="s">
        <v>17</v>
      </c>
      <c r="F698" s="4" t="s">
        <v>18</v>
      </c>
      <c r="G698" s="5">
        <v>0.1</v>
      </c>
      <c r="H698" s="5">
        <v>0.4</v>
      </c>
      <c r="I698" s="5">
        <v>0.05</v>
      </c>
      <c r="J698" s="6">
        <v>0.83333333333333337</v>
      </c>
      <c r="K698" s="6">
        <v>0.78977777777777791</v>
      </c>
      <c r="L698" s="6">
        <v>0.61528822329167099</v>
      </c>
      <c r="M698" s="4" t="s">
        <v>74</v>
      </c>
      <c r="N698" s="5">
        <v>8.8755050806073793E-2</v>
      </c>
      <c r="O698" s="4">
        <v>0</v>
      </c>
    </row>
    <row r="699" spans="1:15" x14ac:dyDescent="0.3">
      <c r="A699" s="4">
        <v>233</v>
      </c>
      <c r="B699" s="4">
        <v>233000</v>
      </c>
      <c r="C699" s="4" t="s">
        <v>15</v>
      </c>
      <c r="D699" s="4" t="s">
        <v>161</v>
      </c>
      <c r="E699" s="4" t="s">
        <v>17</v>
      </c>
      <c r="F699" s="4" t="s">
        <v>18</v>
      </c>
      <c r="G699" s="5">
        <v>0.81111111111111112</v>
      </c>
      <c r="H699" s="5">
        <v>0.4</v>
      </c>
      <c r="I699" s="5">
        <v>0.05</v>
      </c>
      <c r="J699" s="6">
        <v>0.51851851851851849</v>
      </c>
      <c r="K699" s="6">
        <v>0.84821428571428559</v>
      </c>
      <c r="L699" s="6">
        <v>0.68366396666432616</v>
      </c>
      <c r="M699" s="4" t="s">
        <v>74</v>
      </c>
      <c r="N699" s="5">
        <v>8.8755050806073793E-2</v>
      </c>
      <c r="O699" s="4">
        <v>0</v>
      </c>
    </row>
    <row r="700" spans="1:15" x14ac:dyDescent="0.3">
      <c r="A700" s="4">
        <v>233</v>
      </c>
      <c r="B700" s="4">
        <v>233000</v>
      </c>
      <c r="C700" s="4" t="s">
        <v>15</v>
      </c>
      <c r="D700" s="4" t="s">
        <v>162</v>
      </c>
      <c r="E700" s="4" t="s">
        <v>17</v>
      </c>
      <c r="F700" s="4" t="s">
        <v>18</v>
      </c>
      <c r="G700" s="5">
        <v>0.81111111111111112</v>
      </c>
      <c r="H700" s="5">
        <v>0.60000000000000009</v>
      </c>
      <c r="I700" s="5">
        <v>0.05</v>
      </c>
      <c r="J700" s="6">
        <v>0.51851851851851849</v>
      </c>
      <c r="K700" s="6">
        <v>0.84821428571428559</v>
      </c>
      <c r="L700" s="6">
        <v>0.68366396666432616</v>
      </c>
      <c r="M700" s="4" t="s">
        <v>74</v>
      </c>
      <c r="N700" s="5">
        <v>8.8755050806073793E-2</v>
      </c>
      <c r="O700" s="4">
        <v>0</v>
      </c>
    </row>
    <row r="701" spans="1:15" x14ac:dyDescent="0.3">
      <c r="A701" s="4">
        <v>234</v>
      </c>
      <c r="B701" s="4">
        <v>234000</v>
      </c>
      <c r="C701" s="4" t="s">
        <v>15</v>
      </c>
      <c r="D701" s="4" t="s">
        <v>16</v>
      </c>
      <c r="E701" s="4" t="s">
        <v>17</v>
      </c>
      <c r="F701" s="4" t="s">
        <v>18</v>
      </c>
      <c r="G701" s="5">
        <v>0.1</v>
      </c>
      <c r="H701" s="5">
        <v>0.4</v>
      </c>
      <c r="I701" s="5">
        <v>0.05</v>
      </c>
      <c r="J701" s="6">
        <v>0.76363636363636367</v>
      </c>
      <c r="K701" s="6">
        <v>0.77261904761904754</v>
      </c>
      <c r="L701" s="6">
        <v>0.56946187470014131</v>
      </c>
      <c r="M701" s="4" t="s">
        <v>19</v>
      </c>
      <c r="N701" s="5">
        <v>1</v>
      </c>
      <c r="O701" s="4">
        <v>1</v>
      </c>
    </row>
    <row r="702" spans="1:15" x14ac:dyDescent="0.3">
      <c r="A702" s="4">
        <v>234</v>
      </c>
      <c r="B702" s="4">
        <v>234000</v>
      </c>
      <c r="C702" s="4" t="s">
        <v>15</v>
      </c>
      <c r="D702" s="4" t="s">
        <v>161</v>
      </c>
      <c r="E702" s="4" t="s">
        <v>17</v>
      </c>
      <c r="F702" s="4" t="s">
        <v>18</v>
      </c>
      <c r="G702" s="5">
        <v>0.72222222222222221</v>
      </c>
      <c r="H702" s="5">
        <v>0.8</v>
      </c>
      <c r="I702" s="5">
        <v>0.05</v>
      </c>
      <c r="J702" s="6">
        <v>0.5636363636363636</v>
      </c>
      <c r="K702" s="6">
        <v>0.85999999999999965</v>
      </c>
      <c r="L702" s="6">
        <v>0.74858201285459691</v>
      </c>
      <c r="M702" s="4" t="s">
        <v>19</v>
      </c>
      <c r="N702" s="5">
        <v>1</v>
      </c>
      <c r="O702" s="4">
        <v>1</v>
      </c>
    </row>
    <row r="703" spans="1:15" x14ac:dyDescent="0.3">
      <c r="A703" s="4">
        <v>234</v>
      </c>
      <c r="B703" s="4">
        <v>234000</v>
      </c>
      <c r="C703" s="4" t="s">
        <v>15</v>
      </c>
      <c r="D703" s="4" t="s">
        <v>162</v>
      </c>
      <c r="E703" s="4" t="s">
        <v>17</v>
      </c>
      <c r="F703" s="4" t="s">
        <v>18</v>
      </c>
      <c r="G703" s="5">
        <v>0.9</v>
      </c>
      <c r="H703" s="5">
        <v>0.8</v>
      </c>
      <c r="I703" s="5">
        <v>0.05</v>
      </c>
      <c r="J703" s="6">
        <v>0.34545454545454551</v>
      </c>
      <c r="K703" s="6">
        <v>0.87526315789473697</v>
      </c>
      <c r="L703" s="6">
        <v>0.59595993700510508</v>
      </c>
      <c r="M703" s="4" t="s">
        <v>19</v>
      </c>
      <c r="N703" s="5">
        <v>1</v>
      </c>
      <c r="O703" s="4">
        <v>1</v>
      </c>
    </row>
    <row r="704" spans="1:15" x14ac:dyDescent="0.3">
      <c r="A704" s="4">
        <v>235</v>
      </c>
      <c r="B704" s="4">
        <v>235000</v>
      </c>
      <c r="C704" s="4" t="s">
        <v>15</v>
      </c>
      <c r="D704" s="4" t="s">
        <v>16</v>
      </c>
      <c r="E704" s="4" t="s">
        <v>17</v>
      </c>
      <c r="F704" s="4" t="s">
        <v>18</v>
      </c>
      <c r="G704" s="5">
        <v>0.1</v>
      </c>
      <c r="H704" s="5">
        <v>0.4</v>
      </c>
      <c r="I704" s="5">
        <v>0.05</v>
      </c>
      <c r="J704" s="6">
        <v>0.79032258064516125</v>
      </c>
      <c r="K704" s="6">
        <v>0.75469387755102046</v>
      </c>
      <c r="L704" s="6">
        <v>0.68782618800347028</v>
      </c>
      <c r="M704" s="4" t="s">
        <v>19</v>
      </c>
      <c r="N704" s="5">
        <v>1</v>
      </c>
      <c r="O704" s="4">
        <v>1</v>
      </c>
    </row>
    <row r="705" spans="1:15" x14ac:dyDescent="0.3">
      <c r="A705" s="4">
        <v>235</v>
      </c>
      <c r="B705" s="4">
        <v>235000</v>
      </c>
      <c r="C705" s="4" t="s">
        <v>15</v>
      </c>
      <c r="D705" s="4" t="s">
        <v>161</v>
      </c>
      <c r="E705" s="4" t="s">
        <v>17</v>
      </c>
      <c r="F705" s="4" t="s">
        <v>18</v>
      </c>
      <c r="G705" s="5">
        <v>0.6333333333333333</v>
      </c>
      <c r="H705" s="5">
        <v>0.60000000000000009</v>
      </c>
      <c r="I705" s="5">
        <v>0.05</v>
      </c>
      <c r="J705" s="6">
        <v>0.64516129032258063</v>
      </c>
      <c r="K705" s="6">
        <v>0.83149999999999991</v>
      </c>
      <c r="L705" s="6">
        <v>0.74657278391891524</v>
      </c>
      <c r="M705" s="4" t="s">
        <v>19</v>
      </c>
      <c r="N705" s="5">
        <v>1</v>
      </c>
      <c r="O705" s="4">
        <v>1</v>
      </c>
    </row>
    <row r="706" spans="1:15" x14ac:dyDescent="0.3">
      <c r="A706" s="4">
        <v>235</v>
      </c>
      <c r="B706" s="4">
        <v>235000</v>
      </c>
      <c r="C706" s="4" t="s">
        <v>15</v>
      </c>
      <c r="D706" s="4" t="s">
        <v>162</v>
      </c>
      <c r="E706" s="4" t="s">
        <v>17</v>
      </c>
      <c r="F706" s="4" t="s">
        <v>18</v>
      </c>
      <c r="G706" s="5">
        <v>0.81111111111111112</v>
      </c>
      <c r="H706" s="5">
        <v>0.60000000000000009</v>
      </c>
      <c r="I706" s="5">
        <v>0.05</v>
      </c>
      <c r="J706" s="6">
        <v>0.5161290322580645</v>
      </c>
      <c r="K706" s="6">
        <v>0.85468749999999982</v>
      </c>
      <c r="L706" s="6">
        <v>0.6958446690705995</v>
      </c>
      <c r="M706" s="4" t="s">
        <v>19</v>
      </c>
      <c r="N706" s="5">
        <v>1</v>
      </c>
      <c r="O706" s="4">
        <v>1</v>
      </c>
    </row>
    <row r="707" spans="1:15" x14ac:dyDescent="0.3">
      <c r="A707" s="4">
        <v>236</v>
      </c>
      <c r="B707" s="4">
        <v>236000</v>
      </c>
      <c r="C707" s="4" t="s">
        <v>15</v>
      </c>
      <c r="D707" s="4" t="s">
        <v>16</v>
      </c>
      <c r="E707" s="4" t="s">
        <v>17</v>
      </c>
      <c r="F707" s="4" t="s">
        <v>18</v>
      </c>
      <c r="G707" s="5">
        <v>0.1</v>
      </c>
      <c r="H707" s="5">
        <v>0.4</v>
      </c>
      <c r="I707" s="5">
        <v>0.05</v>
      </c>
      <c r="J707" s="6">
        <v>0.72307692307692306</v>
      </c>
      <c r="K707" s="6">
        <v>0.78382978723404229</v>
      </c>
      <c r="L707" s="6">
        <v>0.69927757591438477</v>
      </c>
      <c r="M707" s="4" t="s">
        <v>79</v>
      </c>
      <c r="N707" s="5">
        <v>0.1035930561575472</v>
      </c>
      <c r="O707" s="4">
        <v>0</v>
      </c>
    </row>
    <row r="708" spans="1:15" x14ac:dyDescent="0.3">
      <c r="A708" s="4">
        <v>236</v>
      </c>
      <c r="B708" s="4">
        <v>236000</v>
      </c>
      <c r="C708" s="4" t="s">
        <v>15</v>
      </c>
      <c r="D708" s="4" t="s">
        <v>161</v>
      </c>
      <c r="E708" s="4" t="s">
        <v>17</v>
      </c>
      <c r="F708" s="4" t="s">
        <v>18</v>
      </c>
      <c r="G708" s="5">
        <v>0.6333333333333333</v>
      </c>
      <c r="H708" s="5">
        <v>0.60000000000000009</v>
      </c>
      <c r="I708" s="5">
        <v>0.05</v>
      </c>
      <c r="J708" s="6">
        <v>0.63076923076923075</v>
      </c>
      <c r="K708" s="6">
        <v>0.84048780487804842</v>
      </c>
      <c r="L708" s="6">
        <v>0.74739069373338485</v>
      </c>
      <c r="M708" s="4" t="s">
        <v>79</v>
      </c>
      <c r="N708" s="5">
        <v>0.1035930561575472</v>
      </c>
      <c r="O708" s="4">
        <v>0</v>
      </c>
    </row>
    <row r="709" spans="1:15" x14ac:dyDescent="0.3">
      <c r="A709" s="4">
        <v>236</v>
      </c>
      <c r="B709" s="4">
        <v>236000</v>
      </c>
      <c r="C709" s="4" t="s">
        <v>15</v>
      </c>
      <c r="D709" s="4" t="s">
        <v>162</v>
      </c>
      <c r="E709" s="4" t="s">
        <v>17</v>
      </c>
      <c r="F709" s="4" t="s">
        <v>18</v>
      </c>
      <c r="G709" s="5">
        <v>0.81111111111111112</v>
      </c>
      <c r="H709" s="5">
        <v>0.60000000000000009</v>
      </c>
      <c r="I709" s="5">
        <v>0.05</v>
      </c>
      <c r="J709" s="6">
        <v>0.52307692307692311</v>
      </c>
      <c r="K709" s="6">
        <v>0.85558823529411732</v>
      </c>
      <c r="L709" s="6">
        <v>0.70017543997976217</v>
      </c>
      <c r="M709" s="4" t="s">
        <v>79</v>
      </c>
      <c r="N709" s="5">
        <v>0.1035930561575472</v>
      </c>
      <c r="O709" s="4">
        <v>0</v>
      </c>
    </row>
    <row r="710" spans="1:15" x14ac:dyDescent="0.3">
      <c r="A710" s="4">
        <v>237</v>
      </c>
      <c r="B710" s="4">
        <v>237000</v>
      </c>
      <c r="C710" s="4" t="s">
        <v>15</v>
      </c>
      <c r="D710" s="4" t="s">
        <v>16</v>
      </c>
      <c r="E710" s="4" t="s">
        <v>17</v>
      </c>
      <c r="F710" s="4" t="s">
        <v>18</v>
      </c>
      <c r="G710" s="5">
        <v>0.1</v>
      </c>
      <c r="H710" s="5">
        <v>0.4</v>
      </c>
      <c r="I710" s="5">
        <v>0.05</v>
      </c>
      <c r="J710" s="6">
        <v>0.734375</v>
      </c>
      <c r="K710" s="6">
        <v>0.78744680851063842</v>
      </c>
      <c r="L710" s="6">
        <v>0.69032610673020156</v>
      </c>
      <c r="M710" s="4" t="s">
        <v>40</v>
      </c>
      <c r="N710" s="5">
        <v>0.112827668116632</v>
      </c>
      <c r="O710" s="4">
        <v>0</v>
      </c>
    </row>
    <row r="711" spans="1:15" x14ac:dyDescent="0.3">
      <c r="A711" s="4">
        <v>237</v>
      </c>
      <c r="B711" s="4">
        <v>237000</v>
      </c>
      <c r="C711" s="4" t="s">
        <v>15</v>
      </c>
      <c r="D711" s="4" t="s">
        <v>161</v>
      </c>
      <c r="E711" s="4" t="s">
        <v>17</v>
      </c>
      <c r="F711" s="4" t="s">
        <v>18</v>
      </c>
      <c r="G711" s="5">
        <v>0.6333333333333333</v>
      </c>
      <c r="H711" s="5">
        <v>0.60000000000000009</v>
      </c>
      <c r="I711" s="5">
        <v>0.05</v>
      </c>
      <c r="J711" s="6">
        <v>0.640625</v>
      </c>
      <c r="K711" s="6">
        <v>0.84463414634146328</v>
      </c>
      <c r="L711" s="6">
        <v>0.74459131529481226</v>
      </c>
      <c r="M711" s="4" t="s">
        <v>40</v>
      </c>
      <c r="N711" s="5">
        <v>0.112827668116632</v>
      </c>
      <c r="O711" s="4">
        <v>0</v>
      </c>
    </row>
    <row r="712" spans="1:15" x14ac:dyDescent="0.3">
      <c r="A712" s="4">
        <v>237</v>
      </c>
      <c r="B712" s="4">
        <v>237000</v>
      </c>
      <c r="C712" s="4" t="s">
        <v>15</v>
      </c>
      <c r="D712" s="4" t="s">
        <v>162</v>
      </c>
      <c r="E712" s="4" t="s">
        <v>17</v>
      </c>
      <c r="F712" s="4" t="s">
        <v>18</v>
      </c>
      <c r="G712" s="5">
        <v>0.81111111111111112</v>
      </c>
      <c r="H712" s="5">
        <v>0.60000000000000009</v>
      </c>
      <c r="I712" s="5">
        <v>0.05</v>
      </c>
      <c r="J712" s="6">
        <v>0.546875</v>
      </c>
      <c r="K712" s="6">
        <v>0.86114285714285699</v>
      </c>
      <c r="L712" s="6">
        <v>0.74969823298953164</v>
      </c>
      <c r="M712" s="4" t="s">
        <v>40</v>
      </c>
      <c r="N712" s="5">
        <v>0.112827668116632</v>
      </c>
      <c r="O712" s="4">
        <v>0</v>
      </c>
    </row>
    <row r="713" spans="1:15" x14ac:dyDescent="0.3">
      <c r="A713" s="4">
        <v>238</v>
      </c>
      <c r="B713" s="4">
        <v>238000</v>
      </c>
      <c r="C713" s="4" t="s">
        <v>15</v>
      </c>
      <c r="D713" s="4" t="s">
        <v>16</v>
      </c>
      <c r="E713" s="4" t="s">
        <v>17</v>
      </c>
      <c r="F713" s="4" t="s">
        <v>18</v>
      </c>
      <c r="G713" s="5">
        <v>0.1</v>
      </c>
      <c r="H713" s="5">
        <v>0.4</v>
      </c>
      <c r="I713" s="5">
        <v>0.05</v>
      </c>
      <c r="J713" s="6">
        <v>0.73134328358208955</v>
      </c>
      <c r="K713" s="6">
        <v>0.79040816326530605</v>
      </c>
      <c r="L713" s="6">
        <v>0.64564018775738041</v>
      </c>
      <c r="M713" s="4" t="s">
        <v>71</v>
      </c>
      <c r="N713" s="5">
        <v>0.14014210847343361</v>
      </c>
      <c r="O713" s="4">
        <v>0</v>
      </c>
    </row>
    <row r="714" spans="1:15" x14ac:dyDescent="0.3">
      <c r="A714" s="4">
        <v>238</v>
      </c>
      <c r="B714" s="4">
        <v>238000</v>
      </c>
      <c r="C714" s="4" t="s">
        <v>15</v>
      </c>
      <c r="D714" s="4" t="s">
        <v>161</v>
      </c>
      <c r="E714" s="4" t="s">
        <v>17</v>
      </c>
      <c r="F714" s="4" t="s">
        <v>18</v>
      </c>
      <c r="G714" s="5">
        <v>0.6333333333333333</v>
      </c>
      <c r="H714" s="5">
        <v>0.60000000000000009</v>
      </c>
      <c r="I714" s="5">
        <v>0.05</v>
      </c>
      <c r="J714" s="6">
        <v>0.65671641791044777</v>
      </c>
      <c r="K714" s="6">
        <v>0.83090909090909093</v>
      </c>
      <c r="L714" s="6">
        <v>0.64733850653262226</v>
      </c>
      <c r="M714" s="4" t="s">
        <v>71</v>
      </c>
      <c r="N714" s="5">
        <v>0.14014210847343361</v>
      </c>
      <c r="O714" s="4">
        <v>0</v>
      </c>
    </row>
    <row r="715" spans="1:15" x14ac:dyDescent="0.3">
      <c r="A715" s="4">
        <v>238</v>
      </c>
      <c r="B715" s="4">
        <v>238000</v>
      </c>
      <c r="C715" s="4" t="s">
        <v>15</v>
      </c>
      <c r="D715" s="4" t="s">
        <v>162</v>
      </c>
      <c r="E715" s="4" t="s">
        <v>17</v>
      </c>
      <c r="F715" s="4" t="s">
        <v>18</v>
      </c>
      <c r="G715" s="5">
        <v>0.81111111111111112</v>
      </c>
      <c r="H715" s="5">
        <v>0.60000000000000009</v>
      </c>
      <c r="I715" s="5">
        <v>0.05</v>
      </c>
      <c r="J715" s="6">
        <v>0.5074626865671642</v>
      </c>
      <c r="K715" s="6">
        <v>0.85882352941176443</v>
      </c>
      <c r="L715" s="6">
        <v>0.77108671177635035</v>
      </c>
      <c r="M715" s="4" t="s">
        <v>71</v>
      </c>
      <c r="N715" s="5">
        <v>0.14014210847343361</v>
      </c>
      <c r="O715" s="4">
        <v>0</v>
      </c>
    </row>
    <row r="716" spans="1:15" x14ac:dyDescent="0.3">
      <c r="A716" s="4">
        <v>239</v>
      </c>
      <c r="B716" s="4">
        <v>239000</v>
      </c>
      <c r="C716" s="4" t="s">
        <v>15</v>
      </c>
      <c r="D716" s="4" t="s">
        <v>16</v>
      </c>
      <c r="E716" s="4" t="s">
        <v>17</v>
      </c>
      <c r="F716" s="4" t="s">
        <v>18</v>
      </c>
      <c r="G716" s="5">
        <v>0.1</v>
      </c>
      <c r="H716" s="5">
        <v>0.4</v>
      </c>
      <c r="I716" s="5">
        <v>0.05</v>
      </c>
      <c r="J716" s="6">
        <v>0.70588235294117652</v>
      </c>
      <c r="K716" s="6">
        <v>0.81333333333333335</v>
      </c>
      <c r="L716" s="6">
        <v>0.63517567167788869</v>
      </c>
      <c r="M716" s="4" t="s">
        <v>117</v>
      </c>
      <c r="N716" s="5">
        <v>0.19047014851669969</v>
      </c>
      <c r="O716" s="4">
        <v>1</v>
      </c>
    </row>
    <row r="717" spans="1:15" x14ac:dyDescent="0.3">
      <c r="A717" s="4">
        <v>239</v>
      </c>
      <c r="B717" s="4">
        <v>239000</v>
      </c>
      <c r="C717" s="4" t="s">
        <v>15</v>
      </c>
      <c r="D717" s="4" t="s">
        <v>161</v>
      </c>
      <c r="E717" s="4" t="s">
        <v>17</v>
      </c>
      <c r="F717" s="4" t="s">
        <v>18</v>
      </c>
      <c r="G717" s="5">
        <v>0.81111111111111112</v>
      </c>
      <c r="H717" s="5">
        <v>0.8</v>
      </c>
      <c r="I717" s="5">
        <v>0.05</v>
      </c>
      <c r="J717" s="6">
        <v>0.51470588235294112</v>
      </c>
      <c r="K717" s="6">
        <v>0.88142857142857134</v>
      </c>
      <c r="L717" s="6">
        <v>0.77384302375030001</v>
      </c>
      <c r="M717" s="4" t="s">
        <v>117</v>
      </c>
      <c r="N717" s="5">
        <v>0.19047014851669969</v>
      </c>
      <c r="O717" s="4">
        <v>1</v>
      </c>
    </row>
    <row r="718" spans="1:15" x14ac:dyDescent="0.3">
      <c r="A718" s="4">
        <v>239</v>
      </c>
      <c r="B718" s="4">
        <v>239000</v>
      </c>
      <c r="C718" s="4" t="s">
        <v>15</v>
      </c>
      <c r="D718" s="4" t="s">
        <v>162</v>
      </c>
      <c r="E718" s="4" t="s">
        <v>17</v>
      </c>
      <c r="F718" s="4" t="s">
        <v>18</v>
      </c>
      <c r="G718" s="5">
        <v>0.9</v>
      </c>
      <c r="H718" s="5">
        <v>0.8</v>
      </c>
      <c r="I718" s="5">
        <v>0.05</v>
      </c>
      <c r="J718" s="6">
        <v>0.38235294117647062</v>
      </c>
      <c r="K718" s="6">
        <v>0.89</v>
      </c>
      <c r="L718" s="6">
        <v>0.75061877586544912</v>
      </c>
      <c r="M718" s="4" t="s">
        <v>117</v>
      </c>
      <c r="N718" s="5">
        <v>0.19047014851669969</v>
      </c>
      <c r="O718" s="4">
        <v>1</v>
      </c>
    </row>
    <row r="719" spans="1:15" x14ac:dyDescent="0.3">
      <c r="A719" s="4">
        <v>240</v>
      </c>
      <c r="B719" s="4">
        <v>240000</v>
      </c>
      <c r="C719" s="4" t="s">
        <v>15</v>
      </c>
      <c r="D719" s="4" t="s">
        <v>16</v>
      </c>
      <c r="E719" s="4" t="s">
        <v>17</v>
      </c>
      <c r="F719" s="4" t="s">
        <v>18</v>
      </c>
      <c r="G719" s="5">
        <v>0.1</v>
      </c>
      <c r="H719" s="5">
        <v>0.4</v>
      </c>
      <c r="I719" s="5">
        <v>0.05</v>
      </c>
      <c r="J719" s="6">
        <v>0.68571428571428572</v>
      </c>
      <c r="K719" s="6">
        <v>0.79187500000000011</v>
      </c>
      <c r="L719" s="6">
        <v>0.62638087629705674</v>
      </c>
      <c r="M719" s="4" t="s">
        <v>121</v>
      </c>
      <c r="N719" s="5">
        <v>0.2292199733144793</v>
      </c>
      <c r="O719" s="4">
        <v>1</v>
      </c>
    </row>
    <row r="720" spans="1:15" x14ac:dyDescent="0.3">
      <c r="A720" s="4">
        <v>240</v>
      </c>
      <c r="B720" s="4">
        <v>240000</v>
      </c>
      <c r="C720" s="4" t="s">
        <v>15</v>
      </c>
      <c r="D720" s="4" t="s">
        <v>161</v>
      </c>
      <c r="E720" s="4" t="s">
        <v>17</v>
      </c>
      <c r="F720" s="4" t="s">
        <v>18</v>
      </c>
      <c r="G720" s="5">
        <v>0.72222222222222221</v>
      </c>
      <c r="H720" s="5">
        <v>0.8</v>
      </c>
      <c r="I720" s="5">
        <v>0.05</v>
      </c>
      <c r="J720" s="6">
        <v>0.52857142857142858</v>
      </c>
      <c r="K720" s="6">
        <v>0.87432432432432416</v>
      </c>
      <c r="L720" s="6">
        <v>0.81499452103181946</v>
      </c>
      <c r="M720" s="4" t="s">
        <v>121</v>
      </c>
      <c r="N720" s="5">
        <v>0.2292199733144793</v>
      </c>
      <c r="O720" s="4">
        <v>1</v>
      </c>
    </row>
    <row r="721" spans="1:15" x14ac:dyDescent="0.3">
      <c r="A721" s="4">
        <v>240</v>
      </c>
      <c r="B721" s="4">
        <v>240000</v>
      </c>
      <c r="C721" s="4" t="s">
        <v>15</v>
      </c>
      <c r="D721" s="4" t="s">
        <v>162</v>
      </c>
      <c r="E721" s="4" t="s">
        <v>17</v>
      </c>
      <c r="F721" s="4" t="s">
        <v>18</v>
      </c>
      <c r="G721" s="5">
        <v>0.9</v>
      </c>
      <c r="H721" s="5">
        <v>0.8</v>
      </c>
      <c r="I721" s="5">
        <v>0.05</v>
      </c>
      <c r="J721" s="6">
        <v>0.38571428571428568</v>
      </c>
      <c r="K721" s="6">
        <v>0.89481481481481484</v>
      </c>
      <c r="L721" s="6">
        <v>0.78480409386004146</v>
      </c>
      <c r="M721" s="4" t="s">
        <v>121</v>
      </c>
      <c r="N721" s="5">
        <v>0.2292199733144793</v>
      </c>
      <c r="O721" s="4">
        <v>1</v>
      </c>
    </row>
    <row r="722" spans="1:15" x14ac:dyDescent="0.3">
      <c r="A722" s="4">
        <v>241</v>
      </c>
      <c r="B722" s="4">
        <v>241000</v>
      </c>
      <c r="C722" s="4" t="s">
        <v>15</v>
      </c>
      <c r="D722" s="4" t="s">
        <v>16</v>
      </c>
      <c r="E722" s="4" t="s">
        <v>17</v>
      </c>
      <c r="F722" s="4" t="s">
        <v>18</v>
      </c>
      <c r="G722" s="5">
        <v>0.1</v>
      </c>
      <c r="H722" s="5">
        <v>0.4</v>
      </c>
      <c r="I722" s="5">
        <v>0.05</v>
      </c>
      <c r="J722" s="6">
        <v>0.69696969696969702</v>
      </c>
      <c r="K722" s="6">
        <v>0.78413043478260891</v>
      </c>
      <c r="L722" s="6">
        <v>0.73420666522313105</v>
      </c>
      <c r="M722" s="4" t="s">
        <v>122</v>
      </c>
      <c r="N722" s="5">
        <v>0.1464425273993106</v>
      </c>
      <c r="O722" s="4">
        <v>0</v>
      </c>
    </row>
    <row r="723" spans="1:15" x14ac:dyDescent="0.3">
      <c r="A723" s="4">
        <v>241</v>
      </c>
      <c r="B723" s="4">
        <v>241000</v>
      </c>
      <c r="C723" s="4" t="s">
        <v>15</v>
      </c>
      <c r="D723" s="4" t="s">
        <v>161</v>
      </c>
      <c r="E723" s="4" t="s">
        <v>17</v>
      </c>
      <c r="F723" s="4" t="s">
        <v>18</v>
      </c>
      <c r="G723" s="5">
        <v>0.72222222222222221</v>
      </c>
      <c r="H723" s="5">
        <v>0.8</v>
      </c>
      <c r="I723" s="5">
        <v>0.05</v>
      </c>
      <c r="J723" s="6">
        <v>0.54545454545454541</v>
      </c>
      <c r="K723" s="6">
        <v>0.8619444444444444</v>
      </c>
      <c r="L723" s="6">
        <v>0.72649578184772035</v>
      </c>
      <c r="M723" s="4" t="s">
        <v>122</v>
      </c>
      <c r="N723" s="5">
        <v>0.1464425273993106</v>
      </c>
      <c r="O723" s="4">
        <v>0</v>
      </c>
    </row>
    <row r="724" spans="1:15" x14ac:dyDescent="0.3">
      <c r="A724" s="4">
        <v>241</v>
      </c>
      <c r="B724" s="4">
        <v>241000</v>
      </c>
      <c r="C724" s="4" t="s">
        <v>15</v>
      </c>
      <c r="D724" s="4" t="s">
        <v>162</v>
      </c>
      <c r="E724" s="4" t="s">
        <v>17</v>
      </c>
      <c r="F724" s="4" t="s">
        <v>18</v>
      </c>
      <c r="G724" s="5">
        <v>0.9</v>
      </c>
      <c r="H724" s="5">
        <v>0.8</v>
      </c>
      <c r="I724" s="5">
        <v>0.05</v>
      </c>
      <c r="J724" s="6">
        <v>0.43939393939393939</v>
      </c>
      <c r="K724" s="6">
        <v>0.8655172413793103</v>
      </c>
      <c r="L724" s="6">
        <v>0.73294358757183731</v>
      </c>
      <c r="M724" s="4" t="s">
        <v>122</v>
      </c>
      <c r="N724" s="5">
        <v>0.1464425273993106</v>
      </c>
      <c r="O724" s="4">
        <v>0</v>
      </c>
    </row>
    <row r="725" spans="1:15" x14ac:dyDescent="0.3">
      <c r="A725" s="4">
        <v>242</v>
      </c>
      <c r="B725" s="4">
        <v>242000</v>
      </c>
      <c r="C725" s="4" t="s">
        <v>15</v>
      </c>
      <c r="D725" s="4" t="s">
        <v>16</v>
      </c>
      <c r="E725" s="4" t="s">
        <v>17</v>
      </c>
      <c r="F725" s="4" t="s">
        <v>18</v>
      </c>
      <c r="G725" s="5">
        <v>0.1</v>
      </c>
      <c r="H725" s="5">
        <v>0.4</v>
      </c>
      <c r="I725" s="5">
        <v>0.05</v>
      </c>
      <c r="J725" s="6">
        <v>0.63492063492063489</v>
      </c>
      <c r="K725" s="6">
        <v>0.76700000000000013</v>
      </c>
      <c r="L725" s="6">
        <v>0.66250791884565763</v>
      </c>
      <c r="M725" s="4" t="s">
        <v>37</v>
      </c>
      <c r="N725" s="5">
        <v>0.20500599707533479</v>
      </c>
      <c r="O725" s="4">
        <v>1</v>
      </c>
    </row>
    <row r="726" spans="1:15" x14ac:dyDescent="0.3">
      <c r="A726" s="4">
        <v>242</v>
      </c>
      <c r="B726" s="4">
        <v>242000</v>
      </c>
      <c r="C726" s="4" t="s">
        <v>15</v>
      </c>
      <c r="D726" s="4" t="s">
        <v>161</v>
      </c>
      <c r="E726" s="4" t="s">
        <v>17</v>
      </c>
      <c r="F726" s="4" t="s">
        <v>18</v>
      </c>
      <c r="G726" s="5">
        <v>0.54444444444444451</v>
      </c>
      <c r="H726" s="5">
        <v>0.60000000000000009</v>
      </c>
      <c r="I726" s="5">
        <v>0.05</v>
      </c>
      <c r="J726" s="6">
        <v>0.53968253968253965</v>
      </c>
      <c r="K726" s="6">
        <v>0.84441176470588253</v>
      </c>
      <c r="L726" s="6">
        <v>0.7675607166878351</v>
      </c>
      <c r="M726" s="4" t="s">
        <v>37</v>
      </c>
      <c r="N726" s="5">
        <v>0.20500599707533479</v>
      </c>
      <c r="O726" s="4">
        <v>1</v>
      </c>
    </row>
    <row r="727" spans="1:15" x14ac:dyDescent="0.3">
      <c r="A727" s="4">
        <v>242</v>
      </c>
      <c r="B727" s="4">
        <v>242000</v>
      </c>
      <c r="C727" s="4" t="s">
        <v>15</v>
      </c>
      <c r="D727" s="4" t="s">
        <v>162</v>
      </c>
      <c r="E727" s="4" t="s">
        <v>17</v>
      </c>
      <c r="F727" s="4" t="s">
        <v>18</v>
      </c>
      <c r="G727" s="5">
        <v>0.81111111111111112</v>
      </c>
      <c r="H727" s="5">
        <v>0.60000000000000009</v>
      </c>
      <c r="I727" s="5">
        <v>0.05</v>
      </c>
      <c r="J727" s="6">
        <v>0.49206349206349198</v>
      </c>
      <c r="K727" s="6">
        <v>0.85774193548387112</v>
      </c>
      <c r="L727" s="6">
        <v>0.7675607166878351</v>
      </c>
      <c r="M727" s="4" t="s">
        <v>37</v>
      </c>
      <c r="N727" s="5">
        <v>0.20500599707533479</v>
      </c>
      <c r="O727" s="4">
        <v>1</v>
      </c>
    </row>
    <row r="728" spans="1:15" x14ac:dyDescent="0.3">
      <c r="A728" s="4">
        <v>243</v>
      </c>
      <c r="B728" s="4">
        <v>243000</v>
      </c>
      <c r="C728" s="4" t="s">
        <v>15</v>
      </c>
      <c r="D728" s="4" t="s">
        <v>16</v>
      </c>
      <c r="E728" s="4" t="s">
        <v>17</v>
      </c>
      <c r="F728" s="4" t="s">
        <v>18</v>
      </c>
      <c r="G728" s="5">
        <v>0.1</v>
      </c>
      <c r="H728" s="5">
        <v>0.4</v>
      </c>
      <c r="I728" s="5">
        <v>0.05</v>
      </c>
      <c r="J728" s="6">
        <v>0.6428571428571429</v>
      </c>
      <c r="K728" s="6">
        <v>0.75288888888888894</v>
      </c>
      <c r="L728" s="6">
        <v>0.63453648097091808</v>
      </c>
      <c r="M728" s="4" t="s">
        <v>123</v>
      </c>
      <c r="N728" s="5">
        <v>0.2115859301168671</v>
      </c>
      <c r="O728" s="4">
        <v>1</v>
      </c>
    </row>
    <row r="729" spans="1:15" x14ac:dyDescent="0.3">
      <c r="A729" s="4">
        <v>243</v>
      </c>
      <c r="B729" s="4">
        <v>243000</v>
      </c>
      <c r="C729" s="4" t="s">
        <v>15</v>
      </c>
      <c r="D729" s="4" t="s">
        <v>161</v>
      </c>
      <c r="E729" s="4" t="s">
        <v>17</v>
      </c>
      <c r="F729" s="4" t="s">
        <v>18</v>
      </c>
      <c r="G729" s="5">
        <v>0.54444444444444451</v>
      </c>
      <c r="H729" s="5">
        <v>0.60000000000000009</v>
      </c>
      <c r="I729" s="5">
        <v>0.05</v>
      </c>
      <c r="J729" s="6">
        <v>0.51428571428571423</v>
      </c>
      <c r="K729" s="6">
        <v>0.84833333333333316</v>
      </c>
      <c r="L729" s="6">
        <v>0.80076210112090995</v>
      </c>
      <c r="M729" s="4" t="s">
        <v>123</v>
      </c>
      <c r="N729" s="5">
        <v>0.2115859301168671</v>
      </c>
      <c r="O729" s="4">
        <v>1</v>
      </c>
    </row>
    <row r="730" spans="1:15" x14ac:dyDescent="0.3">
      <c r="A730" s="4">
        <v>243</v>
      </c>
      <c r="B730" s="4">
        <v>243000</v>
      </c>
      <c r="C730" s="4" t="s">
        <v>15</v>
      </c>
      <c r="D730" s="4" t="s">
        <v>162</v>
      </c>
      <c r="E730" s="4" t="s">
        <v>17</v>
      </c>
      <c r="F730" s="4" t="s">
        <v>18</v>
      </c>
      <c r="G730" s="5">
        <v>0.81111111111111112</v>
      </c>
      <c r="H730" s="5">
        <v>0.60000000000000009</v>
      </c>
      <c r="I730" s="5">
        <v>0.05</v>
      </c>
      <c r="J730" s="6">
        <v>0.45714285714285707</v>
      </c>
      <c r="K730" s="6">
        <v>0.86562499999999976</v>
      </c>
      <c r="L730" s="6">
        <v>0.76153587453925986</v>
      </c>
      <c r="M730" s="4" t="s">
        <v>123</v>
      </c>
      <c r="N730" s="5">
        <v>0.2115859301168671</v>
      </c>
      <c r="O730" s="4">
        <v>1</v>
      </c>
    </row>
    <row r="731" spans="1:15" x14ac:dyDescent="0.3">
      <c r="A731" s="4">
        <v>244</v>
      </c>
      <c r="B731" s="4">
        <v>244000</v>
      </c>
      <c r="C731" s="4" t="s">
        <v>15</v>
      </c>
      <c r="D731" s="4" t="s">
        <v>16</v>
      </c>
      <c r="E731" s="4" t="s">
        <v>17</v>
      </c>
      <c r="F731" s="4" t="s">
        <v>18</v>
      </c>
      <c r="G731" s="5">
        <v>0.1</v>
      </c>
      <c r="H731" s="5">
        <v>0.4</v>
      </c>
      <c r="I731" s="5">
        <v>0.05</v>
      </c>
      <c r="J731" s="6">
        <v>0.69565217391304346</v>
      </c>
      <c r="K731" s="6">
        <v>0.72750000000000004</v>
      </c>
      <c r="L731" s="6">
        <v>0.6222846531418319</v>
      </c>
      <c r="M731" s="4" t="s">
        <v>41</v>
      </c>
      <c r="N731" s="5">
        <v>0.1557368963924112</v>
      </c>
      <c r="O731" s="4">
        <v>1</v>
      </c>
    </row>
    <row r="732" spans="1:15" x14ac:dyDescent="0.3">
      <c r="A732" s="4">
        <v>244</v>
      </c>
      <c r="B732" s="4">
        <v>244000</v>
      </c>
      <c r="C732" s="4" t="s">
        <v>15</v>
      </c>
      <c r="D732" s="4" t="s">
        <v>161</v>
      </c>
      <c r="E732" s="4" t="s">
        <v>17</v>
      </c>
      <c r="F732" s="4" t="s">
        <v>18</v>
      </c>
      <c r="G732" s="5">
        <v>0.81111111111111112</v>
      </c>
      <c r="H732" s="5">
        <v>0.60000000000000009</v>
      </c>
      <c r="I732" s="5">
        <v>0.05</v>
      </c>
      <c r="J732" s="6">
        <v>0.43478260869565222</v>
      </c>
      <c r="K732" s="6">
        <v>0.8546666666666668</v>
      </c>
      <c r="L732" s="6">
        <v>0.76841370199286485</v>
      </c>
      <c r="M732" s="4" t="s">
        <v>41</v>
      </c>
      <c r="N732" s="5">
        <v>0.1557368963924112</v>
      </c>
      <c r="O732" s="4">
        <v>1</v>
      </c>
    </row>
    <row r="733" spans="1:15" x14ac:dyDescent="0.3">
      <c r="A733" s="4">
        <v>244</v>
      </c>
      <c r="B733" s="4">
        <v>244000</v>
      </c>
      <c r="C733" s="4" t="s">
        <v>15</v>
      </c>
      <c r="D733" s="4" t="s">
        <v>162</v>
      </c>
      <c r="E733" s="4" t="s">
        <v>17</v>
      </c>
      <c r="F733" s="4" t="s">
        <v>18</v>
      </c>
      <c r="G733" s="5">
        <v>0.9</v>
      </c>
      <c r="H733" s="5">
        <v>0.60000000000000009</v>
      </c>
      <c r="I733" s="5">
        <v>0.05</v>
      </c>
      <c r="J733" s="6">
        <v>0.37681159420289861</v>
      </c>
      <c r="K733" s="6">
        <v>0.85499999999999998</v>
      </c>
      <c r="L733" s="6">
        <v>0.70817610854485269</v>
      </c>
      <c r="M733" s="4" t="s">
        <v>41</v>
      </c>
      <c r="N733" s="5">
        <v>0.1557368963924112</v>
      </c>
      <c r="O733" s="4">
        <v>1</v>
      </c>
    </row>
    <row r="734" spans="1:15" x14ac:dyDescent="0.3">
      <c r="A734" s="4">
        <v>245</v>
      </c>
      <c r="B734" s="4">
        <v>245000</v>
      </c>
      <c r="C734" s="4" t="s">
        <v>15</v>
      </c>
      <c r="D734" s="4" t="s">
        <v>16</v>
      </c>
      <c r="E734" s="4" t="s">
        <v>17</v>
      </c>
      <c r="F734" s="4" t="s">
        <v>18</v>
      </c>
      <c r="G734" s="5">
        <v>0.1</v>
      </c>
      <c r="H734" s="5">
        <v>0.4</v>
      </c>
      <c r="I734" s="5">
        <v>0.05</v>
      </c>
      <c r="J734" s="6">
        <v>0.73770491803278693</v>
      </c>
      <c r="K734" s="6">
        <v>0.7673333333333332</v>
      </c>
      <c r="L734" s="6">
        <v>0.61323142253700624</v>
      </c>
      <c r="M734" s="4" t="s">
        <v>40</v>
      </c>
      <c r="N734" s="5">
        <v>0.11296430715484609</v>
      </c>
      <c r="O734" s="4">
        <v>0</v>
      </c>
    </row>
    <row r="735" spans="1:15" x14ac:dyDescent="0.3">
      <c r="A735" s="4">
        <v>245</v>
      </c>
      <c r="B735" s="4">
        <v>245000</v>
      </c>
      <c r="C735" s="4" t="s">
        <v>15</v>
      </c>
      <c r="D735" s="4" t="s">
        <v>161</v>
      </c>
      <c r="E735" s="4" t="s">
        <v>17</v>
      </c>
      <c r="F735" s="4" t="s">
        <v>18</v>
      </c>
      <c r="G735" s="5">
        <v>0.81111111111111112</v>
      </c>
      <c r="H735" s="5">
        <v>0.60000000000000009</v>
      </c>
      <c r="I735" s="5">
        <v>0.05</v>
      </c>
      <c r="J735" s="6">
        <v>0.52459016393442626</v>
      </c>
      <c r="K735" s="6">
        <v>0.86374999999999991</v>
      </c>
      <c r="L735" s="6">
        <v>0.76153747911596137</v>
      </c>
      <c r="M735" s="4" t="s">
        <v>40</v>
      </c>
      <c r="N735" s="5">
        <v>0.11296430715484609</v>
      </c>
      <c r="O735" s="4">
        <v>0</v>
      </c>
    </row>
    <row r="736" spans="1:15" x14ac:dyDescent="0.3">
      <c r="A736" s="4">
        <v>245</v>
      </c>
      <c r="B736" s="4">
        <v>245000</v>
      </c>
      <c r="C736" s="4" t="s">
        <v>15</v>
      </c>
      <c r="D736" s="4" t="s">
        <v>162</v>
      </c>
      <c r="E736" s="4" t="s">
        <v>17</v>
      </c>
      <c r="F736" s="4" t="s">
        <v>18</v>
      </c>
      <c r="G736" s="5">
        <v>0.9</v>
      </c>
      <c r="H736" s="5">
        <v>0.60000000000000009</v>
      </c>
      <c r="I736" s="5">
        <v>0.05</v>
      </c>
      <c r="J736" s="6">
        <v>0.42622950819672129</v>
      </c>
      <c r="K736" s="6">
        <v>0.8603846153846153</v>
      </c>
      <c r="L736" s="6">
        <v>0.75268004642059905</v>
      </c>
      <c r="M736" s="4" t="s">
        <v>40</v>
      </c>
      <c r="N736" s="5">
        <v>0.11296430715484609</v>
      </c>
      <c r="O736" s="4">
        <v>0</v>
      </c>
    </row>
    <row r="737" spans="1:15" x14ac:dyDescent="0.3">
      <c r="A737" s="4">
        <v>246</v>
      </c>
      <c r="B737" s="4">
        <v>246000</v>
      </c>
      <c r="C737" s="4" t="s">
        <v>15</v>
      </c>
      <c r="D737" s="4" t="s">
        <v>16</v>
      </c>
      <c r="E737" s="4" t="s">
        <v>17</v>
      </c>
      <c r="F737" s="4" t="s">
        <v>18</v>
      </c>
      <c r="G737" s="5">
        <v>0.1</v>
      </c>
      <c r="H737" s="5">
        <v>0.4</v>
      </c>
      <c r="I737" s="5">
        <v>0.05</v>
      </c>
      <c r="J737" s="6">
        <v>0.78333333333333333</v>
      </c>
      <c r="K737" s="6">
        <v>0.78638297872340412</v>
      </c>
      <c r="L737" s="6">
        <v>0.64207008566193735</v>
      </c>
      <c r="M737" s="4" t="s">
        <v>124</v>
      </c>
      <c r="N737" s="5">
        <v>0.16801475747831501</v>
      </c>
      <c r="O737" s="4">
        <v>1</v>
      </c>
    </row>
    <row r="738" spans="1:15" x14ac:dyDescent="0.3">
      <c r="A738" s="4">
        <v>246</v>
      </c>
      <c r="B738" s="4">
        <v>246000</v>
      </c>
      <c r="C738" s="4" t="s">
        <v>15</v>
      </c>
      <c r="D738" s="4" t="s">
        <v>161</v>
      </c>
      <c r="E738" s="4" t="s">
        <v>17</v>
      </c>
      <c r="F738" s="4" t="s">
        <v>18</v>
      </c>
      <c r="G738" s="5">
        <v>0.72222222222222221</v>
      </c>
      <c r="H738" s="5">
        <v>0.4</v>
      </c>
      <c r="I738" s="5">
        <v>0.05</v>
      </c>
      <c r="J738" s="6">
        <v>0.65</v>
      </c>
      <c r="K738" s="6">
        <v>0.84538461538461496</v>
      </c>
      <c r="L738" s="6">
        <v>0.79564688802512018</v>
      </c>
      <c r="M738" s="4" t="s">
        <v>124</v>
      </c>
      <c r="N738" s="5">
        <v>0.16801475747831501</v>
      </c>
      <c r="O738" s="4">
        <v>1</v>
      </c>
    </row>
    <row r="739" spans="1:15" x14ac:dyDescent="0.3">
      <c r="A739" s="4">
        <v>246</v>
      </c>
      <c r="B739" s="4">
        <v>246000</v>
      </c>
      <c r="C739" s="4" t="s">
        <v>15</v>
      </c>
      <c r="D739" s="4" t="s">
        <v>162</v>
      </c>
      <c r="E739" s="4" t="s">
        <v>17</v>
      </c>
      <c r="F739" s="4" t="s">
        <v>18</v>
      </c>
      <c r="G739" s="5">
        <v>0.81111111111111112</v>
      </c>
      <c r="H739" s="5">
        <v>0.4</v>
      </c>
      <c r="I739" s="5">
        <v>0.05</v>
      </c>
      <c r="J739" s="6">
        <v>0.51666666666666672</v>
      </c>
      <c r="K739" s="6">
        <v>0.86677419354838681</v>
      </c>
      <c r="L739" s="6">
        <v>0.77318113770120689</v>
      </c>
      <c r="M739" s="4" t="s">
        <v>124</v>
      </c>
      <c r="N739" s="5">
        <v>0.16801475747831501</v>
      </c>
      <c r="O739" s="4">
        <v>1</v>
      </c>
    </row>
    <row r="740" spans="1:15" x14ac:dyDescent="0.3">
      <c r="A740" s="4">
        <v>247</v>
      </c>
      <c r="B740" s="4">
        <v>247000</v>
      </c>
      <c r="C740" s="4" t="s">
        <v>15</v>
      </c>
      <c r="D740" s="4" t="s">
        <v>16</v>
      </c>
      <c r="E740" s="4" t="s">
        <v>17</v>
      </c>
      <c r="F740" s="4" t="s">
        <v>18</v>
      </c>
      <c r="G740" s="5">
        <v>0.1</v>
      </c>
      <c r="H740" s="5">
        <v>0.4</v>
      </c>
      <c r="I740" s="5">
        <v>0.05</v>
      </c>
      <c r="J740" s="6">
        <v>0.79365079365079361</v>
      </c>
      <c r="K740" s="6">
        <v>0.77740000000000009</v>
      </c>
      <c r="L740" s="6">
        <v>0.69590006034813556</v>
      </c>
      <c r="M740" s="4" t="s">
        <v>39</v>
      </c>
      <c r="N740" s="5">
        <v>9.2864244099292503E-2</v>
      </c>
      <c r="O740" s="4">
        <v>0</v>
      </c>
    </row>
    <row r="741" spans="1:15" x14ac:dyDescent="0.3">
      <c r="A741" s="4">
        <v>247</v>
      </c>
      <c r="B741" s="4">
        <v>247000</v>
      </c>
      <c r="C741" s="4" t="s">
        <v>15</v>
      </c>
      <c r="D741" s="4" t="s">
        <v>161</v>
      </c>
      <c r="E741" s="4" t="s">
        <v>17</v>
      </c>
      <c r="F741" s="4" t="s">
        <v>18</v>
      </c>
      <c r="G741" s="5">
        <v>0.72222222222222221</v>
      </c>
      <c r="H741" s="5">
        <v>0.4</v>
      </c>
      <c r="I741" s="5">
        <v>0.05</v>
      </c>
      <c r="J741" s="6">
        <v>0.60317460317460314</v>
      </c>
      <c r="K741" s="6">
        <v>0.85131578947368403</v>
      </c>
      <c r="L741" s="6">
        <v>0.81477477475561699</v>
      </c>
      <c r="M741" s="4" t="s">
        <v>39</v>
      </c>
      <c r="N741" s="5">
        <v>9.2864244099292503E-2</v>
      </c>
      <c r="O741" s="4">
        <v>0</v>
      </c>
    </row>
    <row r="742" spans="1:15" x14ac:dyDescent="0.3">
      <c r="A742" s="4">
        <v>247</v>
      </c>
      <c r="B742" s="4">
        <v>247000</v>
      </c>
      <c r="C742" s="4" t="s">
        <v>15</v>
      </c>
      <c r="D742" s="4" t="s">
        <v>162</v>
      </c>
      <c r="E742" s="4" t="s">
        <v>17</v>
      </c>
      <c r="F742" s="4" t="s">
        <v>18</v>
      </c>
      <c r="G742" s="5">
        <v>0.81111111111111112</v>
      </c>
      <c r="H742" s="5">
        <v>0.4</v>
      </c>
      <c r="I742" s="5">
        <v>0.05</v>
      </c>
      <c r="J742" s="6">
        <v>0.50793650793650791</v>
      </c>
      <c r="K742" s="6">
        <v>0.86562499999999976</v>
      </c>
      <c r="L742" s="6">
        <v>0.80118095365753861</v>
      </c>
      <c r="M742" s="4" t="s">
        <v>39</v>
      </c>
      <c r="N742" s="5">
        <v>9.2864244099292503E-2</v>
      </c>
      <c r="O742" s="4">
        <v>0</v>
      </c>
    </row>
    <row r="743" spans="1:15" x14ac:dyDescent="0.3">
      <c r="A743" s="4">
        <v>248</v>
      </c>
      <c r="B743" s="4">
        <v>248000</v>
      </c>
      <c r="C743" s="4" t="s">
        <v>15</v>
      </c>
      <c r="D743" s="4" t="s">
        <v>16</v>
      </c>
      <c r="E743" s="4" t="s">
        <v>17</v>
      </c>
      <c r="F743" s="4" t="s">
        <v>18</v>
      </c>
      <c r="G743" s="5">
        <v>0.1</v>
      </c>
      <c r="H743" s="5">
        <v>0.4</v>
      </c>
      <c r="I743" s="5">
        <v>0.05</v>
      </c>
      <c r="J743" s="6">
        <v>0.72307692307692306</v>
      </c>
      <c r="K743" s="6">
        <v>0.76127659574468087</v>
      </c>
      <c r="L743" s="6">
        <v>0.66707320517318403</v>
      </c>
      <c r="M743" s="4" t="s">
        <v>25</v>
      </c>
      <c r="N743" s="5">
        <v>0.11157905734773541</v>
      </c>
      <c r="O743" s="4">
        <v>0</v>
      </c>
    </row>
    <row r="744" spans="1:15" x14ac:dyDescent="0.3">
      <c r="A744" s="4">
        <v>248</v>
      </c>
      <c r="B744" s="4">
        <v>248000</v>
      </c>
      <c r="C744" s="4" t="s">
        <v>15</v>
      </c>
      <c r="D744" s="4" t="s">
        <v>161</v>
      </c>
      <c r="E744" s="4" t="s">
        <v>17</v>
      </c>
      <c r="F744" s="4" t="s">
        <v>18</v>
      </c>
      <c r="G744" s="5">
        <v>0.72222222222222221</v>
      </c>
      <c r="H744" s="5">
        <v>0.4</v>
      </c>
      <c r="I744" s="5">
        <v>0.05</v>
      </c>
      <c r="J744" s="6">
        <v>0.50769230769230766</v>
      </c>
      <c r="K744" s="6">
        <v>0.85242424242424242</v>
      </c>
      <c r="L744" s="6">
        <v>0.80249905068961347</v>
      </c>
      <c r="M744" s="4" t="s">
        <v>25</v>
      </c>
      <c r="N744" s="5">
        <v>0.11157905734773541</v>
      </c>
      <c r="O744" s="4">
        <v>0</v>
      </c>
    </row>
    <row r="745" spans="1:15" x14ac:dyDescent="0.3">
      <c r="A745" s="4">
        <v>248</v>
      </c>
      <c r="B745" s="4">
        <v>248000</v>
      </c>
      <c r="C745" s="4" t="s">
        <v>15</v>
      </c>
      <c r="D745" s="4" t="s">
        <v>162</v>
      </c>
      <c r="E745" s="4" t="s">
        <v>17</v>
      </c>
      <c r="F745" s="4" t="s">
        <v>18</v>
      </c>
      <c r="G745" s="5">
        <v>0.81111111111111112</v>
      </c>
      <c r="H745" s="5">
        <v>0.4</v>
      </c>
      <c r="I745" s="5">
        <v>0.05</v>
      </c>
      <c r="J745" s="6">
        <v>0.46153846153846162</v>
      </c>
      <c r="K745" s="6">
        <v>0.86099999999999999</v>
      </c>
      <c r="L745" s="6">
        <v>0.75731156901237306</v>
      </c>
      <c r="M745" s="4" t="s">
        <v>25</v>
      </c>
      <c r="N745" s="5">
        <v>0.11157905734773541</v>
      </c>
      <c r="O745" s="4">
        <v>0</v>
      </c>
    </row>
    <row r="746" spans="1:15" x14ac:dyDescent="0.3">
      <c r="A746" s="4">
        <v>249</v>
      </c>
      <c r="B746" s="4">
        <v>249000</v>
      </c>
      <c r="C746" s="4" t="s">
        <v>15</v>
      </c>
      <c r="D746" s="4" t="s">
        <v>16</v>
      </c>
      <c r="E746" s="4" t="s">
        <v>17</v>
      </c>
      <c r="F746" s="4" t="s">
        <v>18</v>
      </c>
      <c r="G746" s="5">
        <v>0.1</v>
      </c>
      <c r="H746" s="5">
        <v>0.4</v>
      </c>
      <c r="I746" s="5">
        <v>0.05</v>
      </c>
      <c r="J746" s="6">
        <v>0.6875</v>
      </c>
      <c r="K746" s="6">
        <v>0.77090909090909066</v>
      </c>
      <c r="L746" s="6">
        <v>0.72104357807985975</v>
      </c>
      <c r="M746" s="4" t="s">
        <v>96</v>
      </c>
      <c r="N746" s="5">
        <v>0.15039731114401811</v>
      </c>
      <c r="O746" s="4">
        <v>1</v>
      </c>
    </row>
    <row r="747" spans="1:15" x14ac:dyDescent="0.3">
      <c r="A747" s="4">
        <v>249</v>
      </c>
      <c r="B747" s="4">
        <v>249000</v>
      </c>
      <c r="C747" s="4" t="s">
        <v>15</v>
      </c>
      <c r="D747" s="4" t="s">
        <v>161</v>
      </c>
      <c r="E747" s="4" t="s">
        <v>17</v>
      </c>
      <c r="F747" s="4" t="s">
        <v>18</v>
      </c>
      <c r="G747" s="5">
        <v>0.72222222222222221</v>
      </c>
      <c r="H747" s="5">
        <v>0.4</v>
      </c>
      <c r="I747" s="5">
        <v>0.05</v>
      </c>
      <c r="J747" s="6">
        <v>0.53125</v>
      </c>
      <c r="K747" s="6">
        <v>0.84382352941176464</v>
      </c>
      <c r="L747" s="6">
        <v>0.80180867382364041</v>
      </c>
      <c r="M747" s="4" t="s">
        <v>96</v>
      </c>
      <c r="N747" s="5">
        <v>0.15039731114401811</v>
      </c>
      <c r="O747" s="4">
        <v>1</v>
      </c>
    </row>
    <row r="748" spans="1:15" x14ac:dyDescent="0.3">
      <c r="A748" s="4">
        <v>249</v>
      </c>
      <c r="B748" s="4">
        <v>249000</v>
      </c>
      <c r="C748" s="4" t="s">
        <v>15</v>
      </c>
      <c r="D748" s="4" t="s">
        <v>162</v>
      </c>
      <c r="E748" s="4" t="s">
        <v>17</v>
      </c>
      <c r="F748" s="4" t="s">
        <v>18</v>
      </c>
      <c r="G748" s="5">
        <v>0.9</v>
      </c>
      <c r="H748" s="5">
        <v>0.8</v>
      </c>
      <c r="I748" s="5">
        <v>0.05</v>
      </c>
      <c r="J748" s="6">
        <v>0.390625</v>
      </c>
      <c r="K748" s="6">
        <v>0.88879999999999981</v>
      </c>
      <c r="L748" s="6">
        <v>0.71624196960024733</v>
      </c>
      <c r="M748" s="4" t="s">
        <v>96</v>
      </c>
      <c r="N748" s="5">
        <v>0.15039731114401811</v>
      </c>
      <c r="O748" s="4">
        <v>1</v>
      </c>
    </row>
    <row r="749" spans="1:15" x14ac:dyDescent="0.3">
      <c r="A749" s="4">
        <v>250</v>
      </c>
      <c r="B749" s="4">
        <v>250000</v>
      </c>
      <c r="C749" s="4" t="s">
        <v>15</v>
      </c>
      <c r="D749" s="4" t="s">
        <v>16</v>
      </c>
      <c r="E749" s="4" t="s">
        <v>17</v>
      </c>
      <c r="F749" s="4" t="s">
        <v>18</v>
      </c>
      <c r="G749" s="5">
        <v>0.1</v>
      </c>
      <c r="H749" s="5">
        <v>0.4</v>
      </c>
      <c r="I749" s="5">
        <v>0.05</v>
      </c>
      <c r="J749" s="6">
        <v>0.74603174603174605</v>
      </c>
      <c r="K749" s="6">
        <v>0.77744680851063808</v>
      </c>
      <c r="L749" s="6">
        <v>0.66694289237320425</v>
      </c>
      <c r="M749" s="4" t="s">
        <v>85</v>
      </c>
      <c r="N749" s="5">
        <v>0.1200402252982135</v>
      </c>
      <c r="O749" s="4">
        <v>0</v>
      </c>
    </row>
    <row r="750" spans="1:15" x14ac:dyDescent="0.3">
      <c r="A750" s="4">
        <v>250</v>
      </c>
      <c r="B750" s="4">
        <v>250000</v>
      </c>
      <c r="C750" s="4" t="s">
        <v>15</v>
      </c>
      <c r="D750" s="4" t="s">
        <v>161</v>
      </c>
      <c r="E750" s="4" t="s">
        <v>17</v>
      </c>
      <c r="F750" s="4" t="s">
        <v>18</v>
      </c>
      <c r="G750" s="5">
        <v>0.72222222222222221</v>
      </c>
      <c r="H750" s="5">
        <v>0.4</v>
      </c>
      <c r="I750" s="5">
        <v>0.05</v>
      </c>
      <c r="J750" s="6">
        <v>0.60317460317460314</v>
      </c>
      <c r="K750" s="6">
        <v>0.84710526315789447</v>
      </c>
      <c r="L750" s="6">
        <v>0.69378824039362863</v>
      </c>
      <c r="M750" s="4" t="s">
        <v>85</v>
      </c>
      <c r="N750" s="5">
        <v>0.1200402252982135</v>
      </c>
      <c r="O750" s="4">
        <v>0</v>
      </c>
    </row>
    <row r="751" spans="1:15" x14ac:dyDescent="0.3">
      <c r="A751" s="4">
        <v>250</v>
      </c>
      <c r="B751" s="4">
        <v>250000</v>
      </c>
      <c r="C751" s="4" t="s">
        <v>15</v>
      </c>
      <c r="D751" s="4" t="s">
        <v>162</v>
      </c>
      <c r="E751" s="4" t="s">
        <v>17</v>
      </c>
      <c r="F751" s="4" t="s">
        <v>18</v>
      </c>
      <c r="G751" s="5">
        <v>0.9</v>
      </c>
      <c r="H751" s="5">
        <v>0.8</v>
      </c>
      <c r="I751" s="5">
        <v>0.05</v>
      </c>
      <c r="J751" s="6">
        <v>0.42857142857142849</v>
      </c>
      <c r="K751" s="6">
        <v>0.86074074074074058</v>
      </c>
      <c r="L751" s="6">
        <v>0.70104796391053059</v>
      </c>
      <c r="M751" s="4" t="s">
        <v>85</v>
      </c>
      <c r="N751" s="5">
        <v>0.1200402252982135</v>
      </c>
      <c r="O751" s="4">
        <v>0</v>
      </c>
    </row>
    <row r="752" spans="1:15" x14ac:dyDescent="0.3">
      <c r="A752" s="4">
        <v>251</v>
      </c>
      <c r="B752" s="4">
        <v>251000</v>
      </c>
      <c r="C752" s="4" t="s">
        <v>15</v>
      </c>
      <c r="D752" s="4" t="s">
        <v>16</v>
      </c>
      <c r="E752" s="4" t="s">
        <v>17</v>
      </c>
      <c r="F752" s="4" t="s">
        <v>18</v>
      </c>
      <c r="G752" s="5">
        <v>0.1</v>
      </c>
      <c r="H752" s="5">
        <v>0.4</v>
      </c>
      <c r="I752" s="5">
        <v>0.05</v>
      </c>
      <c r="J752" s="6">
        <v>0.72580645161290325</v>
      </c>
      <c r="K752" s="6">
        <v>0.79066666666666652</v>
      </c>
      <c r="L752" s="6">
        <v>0.66081919007843326</v>
      </c>
      <c r="M752" s="4" t="s">
        <v>58</v>
      </c>
      <c r="N752" s="5">
        <v>0.1245273334801415</v>
      </c>
      <c r="O752" s="4">
        <v>0</v>
      </c>
    </row>
    <row r="753" spans="1:15" x14ac:dyDescent="0.3">
      <c r="A753" s="4">
        <v>251</v>
      </c>
      <c r="B753" s="4">
        <v>251000</v>
      </c>
      <c r="C753" s="4" t="s">
        <v>15</v>
      </c>
      <c r="D753" s="4" t="s">
        <v>161</v>
      </c>
      <c r="E753" s="4" t="s">
        <v>17</v>
      </c>
      <c r="F753" s="4" t="s">
        <v>18</v>
      </c>
      <c r="G753" s="5">
        <v>0.72222222222222221</v>
      </c>
      <c r="H753" s="5">
        <v>0.4</v>
      </c>
      <c r="I753" s="5">
        <v>0.05</v>
      </c>
      <c r="J753" s="6">
        <v>0.59677419354838712</v>
      </c>
      <c r="K753" s="6">
        <v>0.84864864864864842</v>
      </c>
      <c r="L753" s="6">
        <v>0.77031355114465039</v>
      </c>
      <c r="M753" s="4" t="s">
        <v>58</v>
      </c>
      <c r="N753" s="5">
        <v>0.1245273334801415</v>
      </c>
      <c r="O753" s="4">
        <v>0</v>
      </c>
    </row>
    <row r="754" spans="1:15" x14ac:dyDescent="0.3">
      <c r="A754" s="4">
        <v>251</v>
      </c>
      <c r="B754" s="4">
        <v>251000</v>
      </c>
      <c r="C754" s="4" t="s">
        <v>15</v>
      </c>
      <c r="D754" s="4" t="s">
        <v>162</v>
      </c>
      <c r="E754" s="4" t="s">
        <v>17</v>
      </c>
      <c r="F754" s="4" t="s">
        <v>18</v>
      </c>
      <c r="G754" s="5">
        <v>0.9</v>
      </c>
      <c r="H754" s="5">
        <v>0.8</v>
      </c>
      <c r="I754" s="5">
        <v>0.05</v>
      </c>
      <c r="J754" s="6">
        <v>0.43548387096774188</v>
      </c>
      <c r="K754" s="6">
        <v>0.85999999999999965</v>
      </c>
      <c r="L754" s="6">
        <v>0.74124669148127609</v>
      </c>
      <c r="M754" s="4" t="s">
        <v>58</v>
      </c>
      <c r="N754" s="5">
        <v>0.1245273334801415</v>
      </c>
      <c r="O754" s="4">
        <v>0</v>
      </c>
    </row>
    <row r="755" spans="1:15" x14ac:dyDescent="0.3">
      <c r="A755" s="4">
        <v>252</v>
      </c>
      <c r="B755" s="4">
        <v>252000</v>
      </c>
      <c r="C755" s="4" t="s">
        <v>15</v>
      </c>
      <c r="D755" s="4" t="s">
        <v>16</v>
      </c>
      <c r="E755" s="4" t="s">
        <v>17</v>
      </c>
      <c r="F755" s="4" t="s">
        <v>18</v>
      </c>
      <c r="G755" s="5">
        <v>0.1</v>
      </c>
      <c r="H755" s="5">
        <v>0.4</v>
      </c>
      <c r="I755" s="5">
        <v>0.05</v>
      </c>
      <c r="J755" s="6">
        <v>0.75806451612903225</v>
      </c>
      <c r="K755" s="6">
        <v>0.77489361702127646</v>
      </c>
      <c r="L755" s="6">
        <v>0.65018941609301484</v>
      </c>
      <c r="M755" s="4" t="s">
        <v>117</v>
      </c>
      <c r="N755" s="5">
        <v>0.1895757411739179</v>
      </c>
      <c r="O755" s="4">
        <v>1</v>
      </c>
    </row>
    <row r="756" spans="1:15" x14ac:dyDescent="0.3">
      <c r="A756" s="4">
        <v>252</v>
      </c>
      <c r="B756" s="4">
        <v>252000</v>
      </c>
      <c r="C756" s="4" t="s">
        <v>15</v>
      </c>
      <c r="D756" s="4" t="s">
        <v>161</v>
      </c>
      <c r="E756" s="4" t="s">
        <v>17</v>
      </c>
      <c r="F756" s="4" t="s">
        <v>18</v>
      </c>
      <c r="G756" s="5">
        <v>0.6333333333333333</v>
      </c>
      <c r="H756" s="5">
        <v>0.4</v>
      </c>
      <c r="I756" s="5">
        <v>0.05</v>
      </c>
      <c r="J756" s="6">
        <v>0.61290322580645162</v>
      </c>
      <c r="K756" s="6">
        <v>0.83499999999999996</v>
      </c>
      <c r="L756" s="6">
        <v>0.79561854907280216</v>
      </c>
      <c r="M756" s="4" t="s">
        <v>117</v>
      </c>
      <c r="N756" s="5">
        <v>0.1895757411739179</v>
      </c>
      <c r="O756" s="4">
        <v>1</v>
      </c>
    </row>
    <row r="757" spans="1:15" x14ac:dyDescent="0.3">
      <c r="A757" s="4">
        <v>252</v>
      </c>
      <c r="B757" s="4">
        <v>252000</v>
      </c>
      <c r="C757" s="4" t="s">
        <v>15</v>
      </c>
      <c r="D757" s="4" t="s">
        <v>162</v>
      </c>
      <c r="E757" s="4" t="s">
        <v>17</v>
      </c>
      <c r="F757" s="4" t="s">
        <v>18</v>
      </c>
      <c r="G757" s="5">
        <v>0.81111111111111112</v>
      </c>
      <c r="H757" s="5">
        <v>0.4</v>
      </c>
      <c r="I757" s="5">
        <v>0.05</v>
      </c>
      <c r="J757" s="6">
        <v>0.5161290322580645</v>
      </c>
      <c r="K757" s="6">
        <v>0.85531249999999992</v>
      </c>
      <c r="L757" s="6">
        <v>0.78358439728338647</v>
      </c>
      <c r="M757" s="4" t="s">
        <v>117</v>
      </c>
      <c r="N757" s="5">
        <v>0.1895757411739179</v>
      </c>
      <c r="O757" s="4">
        <v>1</v>
      </c>
    </row>
    <row r="758" spans="1:15" x14ac:dyDescent="0.3">
      <c r="A758" s="4">
        <v>253</v>
      </c>
      <c r="B758" s="4">
        <v>253000</v>
      </c>
      <c r="C758" s="4" t="s">
        <v>15</v>
      </c>
      <c r="D758" s="4" t="s">
        <v>16</v>
      </c>
      <c r="E758" s="4" t="s">
        <v>17</v>
      </c>
      <c r="F758" s="4" t="s">
        <v>18</v>
      </c>
      <c r="G758" s="5">
        <v>0.1</v>
      </c>
      <c r="H758" s="5">
        <v>0.4</v>
      </c>
      <c r="I758" s="5">
        <v>0.05</v>
      </c>
      <c r="J758" s="6">
        <v>0.73684210526315785</v>
      </c>
      <c r="K758" s="6">
        <v>0.79119047619047611</v>
      </c>
      <c r="L758" s="6">
        <v>0.76663897665555136</v>
      </c>
      <c r="M758" s="4" t="s">
        <v>19</v>
      </c>
      <c r="N758" s="5">
        <v>1</v>
      </c>
      <c r="O758" s="4">
        <v>1</v>
      </c>
    </row>
    <row r="759" spans="1:15" x14ac:dyDescent="0.3">
      <c r="A759" s="4">
        <v>253</v>
      </c>
      <c r="B759" s="4">
        <v>253000</v>
      </c>
      <c r="C759" s="4" t="s">
        <v>15</v>
      </c>
      <c r="D759" s="4" t="s">
        <v>161</v>
      </c>
      <c r="E759" s="4" t="s">
        <v>17</v>
      </c>
      <c r="F759" s="4" t="s">
        <v>18</v>
      </c>
      <c r="G759" s="5">
        <v>0.18888888888888891</v>
      </c>
      <c r="H759" s="5">
        <v>0.4</v>
      </c>
      <c r="I759" s="5">
        <v>0.05</v>
      </c>
      <c r="J759" s="6">
        <v>0.7192982456140351</v>
      </c>
      <c r="K759" s="6">
        <v>0.80658536585365859</v>
      </c>
      <c r="L759" s="6">
        <v>0.77083363257434523</v>
      </c>
      <c r="M759" s="4" t="s">
        <v>19</v>
      </c>
      <c r="N759" s="5">
        <v>1</v>
      </c>
      <c r="O759" s="4">
        <v>1</v>
      </c>
    </row>
    <row r="760" spans="1:15" x14ac:dyDescent="0.3">
      <c r="A760" s="4">
        <v>253</v>
      </c>
      <c r="B760" s="4">
        <v>253000</v>
      </c>
      <c r="C760" s="4" t="s">
        <v>15</v>
      </c>
      <c r="D760" s="4" t="s">
        <v>162</v>
      </c>
      <c r="E760" s="4" t="s">
        <v>17</v>
      </c>
      <c r="F760" s="4" t="s">
        <v>18</v>
      </c>
      <c r="G760" s="5">
        <v>0.81111111111111112</v>
      </c>
      <c r="H760" s="5">
        <v>0.4</v>
      </c>
      <c r="I760" s="5">
        <v>0.05</v>
      </c>
      <c r="J760" s="6">
        <v>0.52631578947368418</v>
      </c>
      <c r="K760" s="6">
        <v>0.85133333333333316</v>
      </c>
      <c r="L760" s="6">
        <v>0.71931444755470142</v>
      </c>
      <c r="M760" s="4" t="s">
        <v>19</v>
      </c>
      <c r="N760" s="5">
        <v>1</v>
      </c>
      <c r="O760" s="4">
        <v>1</v>
      </c>
    </row>
    <row r="761" spans="1:15" x14ac:dyDescent="0.3">
      <c r="A761" s="4">
        <v>254</v>
      </c>
      <c r="B761" s="4">
        <v>254000</v>
      </c>
      <c r="C761" s="4" t="s">
        <v>15</v>
      </c>
      <c r="D761" s="4" t="s">
        <v>16</v>
      </c>
      <c r="E761" s="4" t="s">
        <v>17</v>
      </c>
      <c r="F761" s="4" t="s">
        <v>18</v>
      </c>
      <c r="G761" s="5">
        <v>0.1</v>
      </c>
      <c r="H761" s="5">
        <v>0.4</v>
      </c>
      <c r="I761" s="5">
        <v>0.05</v>
      </c>
      <c r="J761" s="6">
        <v>0.6785714285714286</v>
      </c>
      <c r="K761" s="6">
        <v>0.78763157894736846</v>
      </c>
      <c r="L761" s="6">
        <v>0.72746838616927278</v>
      </c>
      <c r="M761" s="4" t="s">
        <v>19</v>
      </c>
      <c r="N761" s="5">
        <v>1</v>
      </c>
      <c r="O761" s="4">
        <v>1</v>
      </c>
    </row>
    <row r="762" spans="1:15" x14ac:dyDescent="0.3">
      <c r="A762" s="4">
        <v>254</v>
      </c>
      <c r="B762" s="4">
        <v>254000</v>
      </c>
      <c r="C762" s="4" t="s">
        <v>15</v>
      </c>
      <c r="D762" s="4" t="s">
        <v>161</v>
      </c>
      <c r="E762" s="4" t="s">
        <v>17</v>
      </c>
      <c r="F762" s="4" t="s">
        <v>18</v>
      </c>
      <c r="G762" s="5">
        <v>0.27777777777777779</v>
      </c>
      <c r="H762" s="5">
        <v>0.8</v>
      </c>
      <c r="I762" s="5">
        <v>0.05</v>
      </c>
      <c r="J762" s="6">
        <v>0.6428571428571429</v>
      </c>
      <c r="K762" s="6">
        <v>0.82527777777777778</v>
      </c>
      <c r="L762" s="6">
        <v>0.76816567196061203</v>
      </c>
      <c r="M762" s="4" t="s">
        <v>19</v>
      </c>
      <c r="N762" s="5">
        <v>1</v>
      </c>
      <c r="O762" s="4">
        <v>1</v>
      </c>
    </row>
    <row r="763" spans="1:15" x14ac:dyDescent="0.3">
      <c r="A763" s="4">
        <v>254</v>
      </c>
      <c r="B763" s="4">
        <v>254000</v>
      </c>
      <c r="C763" s="4" t="s">
        <v>15</v>
      </c>
      <c r="D763" s="4" t="s">
        <v>162</v>
      </c>
      <c r="E763" s="4" t="s">
        <v>17</v>
      </c>
      <c r="F763" s="4" t="s">
        <v>18</v>
      </c>
      <c r="G763" s="5">
        <v>0.9</v>
      </c>
      <c r="H763" s="5">
        <v>0.8</v>
      </c>
      <c r="I763" s="5">
        <v>0.05</v>
      </c>
      <c r="J763" s="6">
        <v>0.44642857142857151</v>
      </c>
      <c r="K763" s="6">
        <v>0.88679999999999981</v>
      </c>
      <c r="L763" s="6">
        <v>0.50748701086636472</v>
      </c>
      <c r="M763" s="4" t="s">
        <v>19</v>
      </c>
      <c r="N763" s="5">
        <v>1</v>
      </c>
      <c r="O763" s="4">
        <v>1</v>
      </c>
    </row>
    <row r="764" spans="1:15" x14ac:dyDescent="0.3">
      <c r="A764" s="4">
        <v>255</v>
      </c>
      <c r="B764" s="4">
        <v>255000</v>
      </c>
      <c r="C764" s="4" t="s">
        <v>15</v>
      </c>
      <c r="D764" s="4" t="s">
        <v>16</v>
      </c>
      <c r="E764" s="4" t="s">
        <v>17</v>
      </c>
      <c r="F764" s="4" t="s">
        <v>18</v>
      </c>
      <c r="G764" s="5">
        <v>0.1</v>
      </c>
      <c r="H764" s="5">
        <v>0.4</v>
      </c>
      <c r="I764" s="5">
        <v>0.05</v>
      </c>
      <c r="J764" s="6">
        <v>0.64912280701754388</v>
      </c>
      <c r="K764" s="6">
        <v>0.78918918918918912</v>
      </c>
      <c r="L764" s="6">
        <v>0.74891401159968041</v>
      </c>
      <c r="M764" s="4" t="s">
        <v>36</v>
      </c>
      <c r="N764" s="5">
        <v>0.1162781517844131</v>
      </c>
      <c r="O764" s="4">
        <v>0</v>
      </c>
    </row>
    <row r="765" spans="1:15" x14ac:dyDescent="0.3">
      <c r="A765" s="4">
        <v>255</v>
      </c>
      <c r="B765" s="4">
        <v>255000</v>
      </c>
      <c r="C765" s="4" t="s">
        <v>15</v>
      </c>
      <c r="D765" s="4" t="s">
        <v>161</v>
      </c>
      <c r="E765" s="4" t="s">
        <v>17</v>
      </c>
      <c r="F765" s="4" t="s">
        <v>18</v>
      </c>
      <c r="G765" s="5">
        <v>0.27777777777777779</v>
      </c>
      <c r="H765" s="5">
        <v>0.8</v>
      </c>
      <c r="I765" s="5">
        <v>0.05</v>
      </c>
      <c r="J765" s="6">
        <v>0.63157894736842102</v>
      </c>
      <c r="K765" s="6">
        <v>0.80777777777777759</v>
      </c>
      <c r="L765" s="6">
        <v>0.75800492069058945</v>
      </c>
      <c r="M765" s="4" t="s">
        <v>36</v>
      </c>
      <c r="N765" s="5">
        <v>0.1162781517844131</v>
      </c>
      <c r="O765" s="4">
        <v>0</v>
      </c>
    </row>
    <row r="766" spans="1:15" x14ac:dyDescent="0.3">
      <c r="A766" s="4">
        <v>255</v>
      </c>
      <c r="B766" s="4">
        <v>255000</v>
      </c>
      <c r="C766" s="4" t="s">
        <v>15</v>
      </c>
      <c r="D766" s="4" t="s">
        <v>162</v>
      </c>
      <c r="E766" s="4" t="s">
        <v>17</v>
      </c>
      <c r="F766" s="4" t="s">
        <v>18</v>
      </c>
      <c r="G766" s="5">
        <v>0.9</v>
      </c>
      <c r="H766" s="5">
        <v>0.8</v>
      </c>
      <c r="I766" s="5">
        <v>0.05</v>
      </c>
      <c r="J766" s="6">
        <v>0.43859649122807021</v>
      </c>
      <c r="K766" s="6">
        <v>0.85119999999999996</v>
      </c>
      <c r="L766" s="6">
        <v>0.5978892858534578</v>
      </c>
      <c r="M766" s="4" t="s">
        <v>36</v>
      </c>
      <c r="N766" s="5">
        <v>0.1162781517844131</v>
      </c>
      <c r="O766" s="4">
        <v>0</v>
      </c>
    </row>
    <row r="767" spans="1:15" x14ac:dyDescent="0.3">
      <c r="A767" s="4">
        <v>256</v>
      </c>
      <c r="B767" s="4">
        <v>256000</v>
      </c>
      <c r="C767" s="4" t="s">
        <v>15</v>
      </c>
      <c r="D767" s="4" t="s">
        <v>16</v>
      </c>
      <c r="E767" s="4" t="s">
        <v>17</v>
      </c>
      <c r="F767" s="4" t="s">
        <v>18</v>
      </c>
      <c r="G767" s="5">
        <v>0.1</v>
      </c>
      <c r="H767" s="5">
        <v>0.4</v>
      </c>
      <c r="I767" s="5">
        <v>0.05</v>
      </c>
      <c r="J767" s="6">
        <v>0.69841269841269837</v>
      </c>
      <c r="K767" s="6">
        <v>0.77159090909090899</v>
      </c>
      <c r="L767" s="6">
        <v>0.67747430171199841</v>
      </c>
      <c r="M767" s="4" t="s">
        <v>125</v>
      </c>
      <c r="N767" s="5">
        <v>0.17888193969344071</v>
      </c>
      <c r="O767" s="4">
        <v>1</v>
      </c>
    </row>
    <row r="768" spans="1:15" x14ac:dyDescent="0.3">
      <c r="A768" s="4">
        <v>256</v>
      </c>
      <c r="B768" s="4">
        <v>256000</v>
      </c>
      <c r="C768" s="4" t="s">
        <v>15</v>
      </c>
      <c r="D768" s="4" t="s">
        <v>161</v>
      </c>
      <c r="E768" s="4" t="s">
        <v>17</v>
      </c>
      <c r="F768" s="4" t="s">
        <v>18</v>
      </c>
      <c r="G768" s="5">
        <v>0.6333333333333333</v>
      </c>
      <c r="H768" s="5">
        <v>0.8</v>
      </c>
      <c r="I768" s="5">
        <v>0.05</v>
      </c>
      <c r="J768" s="6">
        <v>0.53968253968253965</v>
      </c>
      <c r="K768" s="6">
        <v>0.86823529411764688</v>
      </c>
      <c r="L768" s="6">
        <v>0.79164698222925212</v>
      </c>
      <c r="M768" s="4" t="s">
        <v>125</v>
      </c>
      <c r="N768" s="5">
        <v>0.17888193969344071</v>
      </c>
      <c r="O768" s="4">
        <v>1</v>
      </c>
    </row>
    <row r="769" spans="1:15" x14ac:dyDescent="0.3">
      <c r="A769" s="4">
        <v>256</v>
      </c>
      <c r="B769" s="4">
        <v>256000</v>
      </c>
      <c r="C769" s="4" t="s">
        <v>15</v>
      </c>
      <c r="D769" s="4" t="s">
        <v>162</v>
      </c>
      <c r="E769" s="4" t="s">
        <v>17</v>
      </c>
      <c r="F769" s="4" t="s">
        <v>18</v>
      </c>
      <c r="G769" s="5">
        <v>0.9</v>
      </c>
      <c r="H769" s="5">
        <v>0.8</v>
      </c>
      <c r="I769" s="5">
        <v>0.05</v>
      </c>
      <c r="J769" s="6">
        <v>0.41269841269841268</v>
      </c>
      <c r="K769" s="6">
        <v>0.8919230769230766</v>
      </c>
      <c r="L769" s="6">
        <v>0.63599666716120695</v>
      </c>
      <c r="M769" s="4" t="s">
        <v>125</v>
      </c>
      <c r="N769" s="5">
        <v>0.17888193969344071</v>
      </c>
      <c r="O769" s="4">
        <v>1</v>
      </c>
    </row>
    <row r="770" spans="1:15" x14ac:dyDescent="0.3">
      <c r="A770" s="4">
        <v>257</v>
      </c>
      <c r="B770" s="4">
        <v>257000</v>
      </c>
      <c r="C770" s="4" t="s">
        <v>15</v>
      </c>
      <c r="D770" s="4" t="s">
        <v>16</v>
      </c>
      <c r="E770" s="4" t="s">
        <v>17</v>
      </c>
      <c r="F770" s="4" t="s">
        <v>18</v>
      </c>
      <c r="G770" s="5">
        <v>0.1</v>
      </c>
      <c r="H770" s="5">
        <v>0.4</v>
      </c>
      <c r="I770" s="5">
        <v>0.05</v>
      </c>
      <c r="J770" s="6">
        <v>0.73913043478260865</v>
      </c>
      <c r="K770" s="6">
        <v>0.74137254901960792</v>
      </c>
      <c r="L770" s="6">
        <v>0.65342783625669831</v>
      </c>
      <c r="M770" s="4" t="s">
        <v>21</v>
      </c>
      <c r="N770" s="5">
        <v>8.4170601148924704E-2</v>
      </c>
      <c r="O770" s="4">
        <v>0</v>
      </c>
    </row>
    <row r="771" spans="1:15" x14ac:dyDescent="0.3">
      <c r="A771" s="4">
        <v>257</v>
      </c>
      <c r="B771" s="4">
        <v>257000</v>
      </c>
      <c r="C771" s="4" t="s">
        <v>15</v>
      </c>
      <c r="D771" s="4" t="s">
        <v>161</v>
      </c>
      <c r="E771" s="4" t="s">
        <v>17</v>
      </c>
      <c r="F771" s="4" t="s">
        <v>18</v>
      </c>
      <c r="G771" s="5">
        <v>0.6333333333333333</v>
      </c>
      <c r="H771" s="5">
        <v>0.8</v>
      </c>
      <c r="I771" s="5">
        <v>0.05</v>
      </c>
      <c r="J771" s="6">
        <v>0.53623188405797106</v>
      </c>
      <c r="K771" s="6">
        <v>0.84297297297297302</v>
      </c>
      <c r="L771" s="6">
        <v>0.79787812936370728</v>
      </c>
      <c r="M771" s="4" t="s">
        <v>21</v>
      </c>
      <c r="N771" s="5">
        <v>8.4170601148924704E-2</v>
      </c>
      <c r="O771" s="4">
        <v>0</v>
      </c>
    </row>
    <row r="772" spans="1:15" x14ac:dyDescent="0.3">
      <c r="A772" s="4">
        <v>257</v>
      </c>
      <c r="B772" s="4">
        <v>257000</v>
      </c>
      <c r="C772" s="4" t="s">
        <v>15</v>
      </c>
      <c r="D772" s="4" t="s">
        <v>162</v>
      </c>
      <c r="E772" s="4" t="s">
        <v>17</v>
      </c>
      <c r="F772" s="4" t="s">
        <v>18</v>
      </c>
      <c r="G772" s="5">
        <v>0.9</v>
      </c>
      <c r="H772" s="5">
        <v>0.8</v>
      </c>
      <c r="I772" s="5">
        <v>0.05</v>
      </c>
      <c r="J772" s="6">
        <v>0.37681159420289861</v>
      </c>
      <c r="K772" s="6">
        <v>0.85846153846153839</v>
      </c>
      <c r="L772" s="6">
        <v>0.7501413754429288</v>
      </c>
      <c r="M772" s="4" t="s">
        <v>21</v>
      </c>
      <c r="N772" s="5">
        <v>8.4170601148924704E-2</v>
      </c>
      <c r="O772" s="4">
        <v>0</v>
      </c>
    </row>
    <row r="773" spans="1:15" x14ac:dyDescent="0.3">
      <c r="A773" s="4">
        <v>258</v>
      </c>
      <c r="B773" s="4">
        <v>258000</v>
      </c>
      <c r="C773" s="4" t="s">
        <v>15</v>
      </c>
      <c r="D773" s="4" t="s">
        <v>16</v>
      </c>
      <c r="E773" s="4" t="s">
        <v>17</v>
      </c>
      <c r="F773" s="4" t="s">
        <v>18</v>
      </c>
      <c r="G773" s="5">
        <v>0.1</v>
      </c>
      <c r="H773" s="5">
        <v>0.4</v>
      </c>
      <c r="I773" s="5">
        <v>0.05</v>
      </c>
      <c r="J773" s="6">
        <v>0.7</v>
      </c>
      <c r="K773" s="6">
        <v>0.74326530612244901</v>
      </c>
      <c r="L773" s="6">
        <v>0.61261842371021036</v>
      </c>
      <c r="M773" s="4" t="s">
        <v>126</v>
      </c>
      <c r="N773" s="5">
        <v>0.1820131185224419</v>
      </c>
      <c r="O773" s="4">
        <v>1</v>
      </c>
    </row>
    <row r="774" spans="1:15" x14ac:dyDescent="0.3">
      <c r="A774" s="4">
        <v>258</v>
      </c>
      <c r="B774" s="4">
        <v>258000</v>
      </c>
      <c r="C774" s="4" t="s">
        <v>15</v>
      </c>
      <c r="D774" s="4" t="s">
        <v>161</v>
      </c>
      <c r="E774" s="4" t="s">
        <v>17</v>
      </c>
      <c r="F774" s="4" t="s">
        <v>18</v>
      </c>
      <c r="G774" s="5">
        <v>0.72222222222222221</v>
      </c>
      <c r="H774" s="5">
        <v>0.4</v>
      </c>
      <c r="I774" s="5">
        <v>0.05</v>
      </c>
      <c r="J774" s="6">
        <v>0.51428571428571423</v>
      </c>
      <c r="K774" s="6">
        <v>0.82694444444444426</v>
      </c>
      <c r="L774" s="6">
        <v>0.78845037897389036</v>
      </c>
      <c r="M774" s="4" t="s">
        <v>126</v>
      </c>
      <c r="N774" s="5">
        <v>0.1820131185224419</v>
      </c>
      <c r="O774" s="4">
        <v>1</v>
      </c>
    </row>
    <row r="775" spans="1:15" x14ac:dyDescent="0.3">
      <c r="A775" s="4">
        <v>258</v>
      </c>
      <c r="B775" s="4">
        <v>258000</v>
      </c>
      <c r="C775" s="4" t="s">
        <v>15</v>
      </c>
      <c r="D775" s="4" t="s">
        <v>162</v>
      </c>
      <c r="E775" s="4" t="s">
        <v>17</v>
      </c>
      <c r="F775" s="4" t="s">
        <v>18</v>
      </c>
      <c r="G775" s="5">
        <v>0.81111111111111112</v>
      </c>
      <c r="H775" s="5">
        <v>0.60000000000000009</v>
      </c>
      <c r="I775" s="5">
        <v>0.05</v>
      </c>
      <c r="J775" s="6">
        <v>0.45714285714285707</v>
      </c>
      <c r="K775" s="6">
        <v>0.85843749999999974</v>
      </c>
      <c r="L775" s="6">
        <v>0.7824379737173629</v>
      </c>
      <c r="M775" s="4" t="s">
        <v>126</v>
      </c>
      <c r="N775" s="5">
        <v>0.1820131185224419</v>
      </c>
      <c r="O775" s="4">
        <v>1</v>
      </c>
    </row>
    <row r="776" spans="1:15" x14ac:dyDescent="0.3">
      <c r="A776" s="4">
        <v>259</v>
      </c>
      <c r="B776" s="4">
        <v>259000</v>
      </c>
      <c r="C776" s="4" t="s">
        <v>15</v>
      </c>
      <c r="D776" s="4" t="s">
        <v>16</v>
      </c>
      <c r="E776" s="4" t="s">
        <v>17</v>
      </c>
      <c r="F776" s="4" t="s">
        <v>18</v>
      </c>
      <c r="G776" s="5">
        <v>0.1</v>
      </c>
      <c r="H776" s="5">
        <v>0.4</v>
      </c>
      <c r="I776" s="5">
        <v>0.05</v>
      </c>
      <c r="J776" s="6">
        <v>0.7</v>
      </c>
      <c r="K776" s="6">
        <v>0.73979591836734693</v>
      </c>
      <c r="L776" s="6">
        <v>0.63426867669458642</v>
      </c>
      <c r="M776" s="4" t="s">
        <v>67</v>
      </c>
      <c r="N776" s="5">
        <v>7.2335913864412293E-2</v>
      </c>
      <c r="O776" s="4">
        <v>0</v>
      </c>
    </row>
    <row r="777" spans="1:15" x14ac:dyDescent="0.3">
      <c r="A777" s="4">
        <v>259</v>
      </c>
      <c r="B777" s="4">
        <v>259000</v>
      </c>
      <c r="C777" s="4" t="s">
        <v>15</v>
      </c>
      <c r="D777" s="4" t="s">
        <v>161</v>
      </c>
      <c r="E777" s="4" t="s">
        <v>17</v>
      </c>
      <c r="F777" s="4" t="s">
        <v>18</v>
      </c>
      <c r="G777" s="5">
        <v>0.72222222222222221</v>
      </c>
      <c r="H777" s="5">
        <v>0.4</v>
      </c>
      <c r="I777" s="5">
        <v>0.05</v>
      </c>
      <c r="J777" s="6">
        <v>0.5</v>
      </c>
      <c r="K777" s="6">
        <v>0.82057142857142829</v>
      </c>
      <c r="L777" s="6">
        <v>0.69052273056942104</v>
      </c>
      <c r="M777" s="4" t="s">
        <v>67</v>
      </c>
      <c r="N777" s="5">
        <v>7.2335913864412293E-2</v>
      </c>
      <c r="O777" s="4">
        <v>0</v>
      </c>
    </row>
    <row r="778" spans="1:15" x14ac:dyDescent="0.3">
      <c r="A778" s="4">
        <v>259</v>
      </c>
      <c r="B778" s="4">
        <v>259000</v>
      </c>
      <c r="C778" s="4" t="s">
        <v>15</v>
      </c>
      <c r="D778" s="4" t="s">
        <v>162</v>
      </c>
      <c r="E778" s="4" t="s">
        <v>17</v>
      </c>
      <c r="F778" s="4" t="s">
        <v>18</v>
      </c>
      <c r="G778" s="5">
        <v>0.81111111111111112</v>
      </c>
      <c r="H778" s="5">
        <v>0.60000000000000009</v>
      </c>
      <c r="I778" s="5">
        <v>0.05</v>
      </c>
      <c r="J778" s="6">
        <v>0.45714285714285707</v>
      </c>
      <c r="K778" s="6">
        <v>0.85062499999999974</v>
      </c>
      <c r="L778" s="6">
        <v>0.77683807189059872</v>
      </c>
      <c r="M778" s="4" t="s">
        <v>67</v>
      </c>
      <c r="N778" s="5">
        <v>7.2335913864412293E-2</v>
      </c>
      <c r="O778" s="4">
        <v>0</v>
      </c>
    </row>
    <row r="779" spans="1:15" x14ac:dyDescent="0.3">
      <c r="A779" s="4">
        <v>260</v>
      </c>
      <c r="B779" s="4">
        <v>260000</v>
      </c>
      <c r="C779" s="4" t="s">
        <v>15</v>
      </c>
      <c r="D779" s="4" t="s">
        <v>16</v>
      </c>
      <c r="E779" s="4" t="s">
        <v>17</v>
      </c>
      <c r="F779" s="4" t="s">
        <v>18</v>
      </c>
      <c r="G779" s="5">
        <v>0.1</v>
      </c>
      <c r="H779" s="5">
        <v>0.4</v>
      </c>
      <c r="I779" s="5">
        <v>0.05</v>
      </c>
      <c r="J779" s="6">
        <v>0.69841269841269837</v>
      </c>
      <c r="K779" s="6">
        <v>0.75045454545454537</v>
      </c>
      <c r="L779" s="6">
        <v>0.61491940283923163</v>
      </c>
      <c r="M779" s="4" t="s">
        <v>103</v>
      </c>
      <c r="N779" s="5">
        <v>0.1085117378524057</v>
      </c>
      <c r="O779" s="4">
        <v>0</v>
      </c>
    </row>
    <row r="780" spans="1:15" x14ac:dyDescent="0.3">
      <c r="A780" s="4">
        <v>260</v>
      </c>
      <c r="B780" s="4">
        <v>260000</v>
      </c>
      <c r="C780" s="4" t="s">
        <v>15</v>
      </c>
      <c r="D780" s="4" t="s">
        <v>161</v>
      </c>
      <c r="E780" s="4" t="s">
        <v>17</v>
      </c>
      <c r="F780" s="4" t="s">
        <v>18</v>
      </c>
      <c r="G780" s="5">
        <v>0.72222222222222221</v>
      </c>
      <c r="H780" s="5">
        <v>0.4</v>
      </c>
      <c r="I780" s="5">
        <v>0.05</v>
      </c>
      <c r="J780" s="6">
        <v>0.52380952380952384</v>
      </c>
      <c r="K780" s="6">
        <v>0.82242424242424228</v>
      </c>
      <c r="L780" s="6">
        <v>0.73554672586286529</v>
      </c>
      <c r="M780" s="4" t="s">
        <v>103</v>
      </c>
      <c r="N780" s="5">
        <v>0.1085117378524057</v>
      </c>
      <c r="O780" s="4">
        <v>0</v>
      </c>
    </row>
    <row r="781" spans="1:15" x14ac:dyDescent="0.3">
      <c r="A781" s="4">
        <v>260</v>
      </c>
      <c r="B781" s="4">
        <v>260000</v>
      </c>
      <c r="C781" s="4" t="s">
        <v>15</v>
      </c>
      <c r="D781" s="4" t="s">
        <v>162</v>
      </c>
      <c r="E781" s="4" t="s">
        <v>17</v>
      </c>
      <c r="F781" s="4" t="s">
        <v>18</v>
      </c>
      <c r="G781" s="5">
        <v>0.81111111111111112</v>
      </c>
      <c r="H781" s="5">
        <v>0.60000000000000009</v>
      </c>
      <c r="I781" s="5">
        <v>0.05</v>
      </c>
      <c r="J781" s="6">
        <v>0.47619047619047622</v>
      </c>
      <c r="K781" s="6">
        <v>0.85299999999999976</v>
      </c>
      <c r="L781" s="6">
        <v>0.76293832943501982</v>
      </c>
      <c r="M781" s="4" t="s">
        <v>103</v>
      </c>
      <c r="N781" s="5">
        <v>0.1085117378524057</v>
      </c>
      <c r="O781" s="4">
        <v>0</v>
      </c>
    </row>
    <row r="782" spans="1:15" x14ac:dyDescent="0.3">
      <c r="A782" s="4">
        <v>261</v>
      </c>
      <c r="B782" s="4">
        <v>261000</v>
      </c>
      <c r="C782" s="4" t="s">
        <v>15</v>
      </c>
      <c r="D782" s="4" t="s">
        <v>16</v>
      </c>
      <c r="E782" s="4" t="s">
        <v>17</v>
      </c>
      <c r="F782" s="4" t="s">
        <v>18</v>
      </c>
      <c r="G782" s="5">
        <v>0.1</v>
      </c>
      <c r="H782" s="5">
        <v>0.4</v>
      </c>
      <c r="I782" s="5">
        <v>0.05</v>
      </c>
      <c r="J782" s="6">
        <v>0.71186440677966101</v>
      </c>
      <c r="K782" s="6">
        <v>0.78880952380952352</v>
      </c>
      <c r="L782" s="6">
        <v>0.69987670331910012</v>
      </c>
      <c r="M782" s="4" t="s">
        <v>19</v>
      </c>
      <c r="N782" s="5">
        <v>1</v>
      </c>
      <c r="O782" s="4">
        <v>1</v>
      </c>
    </row>
    <row r="783" spans="1:15" x14ac:dyDescent="0.3">
      <c r="A783" s="4">
        <v>261</v>
      </c>
      <c r="B783" s="4">
        <v>261000</v>
      </c>
      <c r="C783" s="4" t="s">
        <v>15</v>
      </c>
      <c r="D783" s="4" t="s">
        <v>161</v>
      </c>
      <c r="E783" s="4" t="s">
        <v>17</v>
      </c>
      <c r="F783" s="4" t="s">
        <v>18</v>
      </c>
      <c r="G783" s="5">
        <v>0.9</v>
      </c>
      <c r="H783" s="5">
        <v>0.4</v>
      </c>
      <c r="I783" s="5">
        <v>0.1166666666666667</v>
      </c>
      <c r="J783" s="6">
        <v>0.4576271186440678</v>
      </c>
      <c r="K783" s="6">
        <v>0.85555555555555529</v>
      </c>
      <c r="L783" s="6">
        <v>0.77332586751958343</v>
      </c>
      <c r="M783" s="4" t="s">
        <v>19</v>
      </c>
      <c r="N783" s="5">
        <v>1</v>
      </c>
      <c r="O783" s="4">
        <v>1</v>
      </c>
    </row>
    <row r="784" spans="1:15" x14ac:dyDescent="0.3">
      <c r="A784" s="4">
        <v>261</v>
      </c>
      <c r="B784" s="4">
        <v>261000</v>
      </c>
      <c r="C784" s="4" t="s">
        <v>15</v>
      </c>
      <c r="D784" s="4" t="s">
        <v>162</v>
      </c>
      <c r="E784" s="4" t="s">
        <v>17</v>
      </c>
      <c r="F784" s="4" t="s">
        <v>18</v>
      </c>
      <c r="G784" s="5">
        <v>0.9</v>
      </c>
      <c r="H784" s="5">
        <v>0.8</v>
      </c>
      <c r="I784" s="5">
        <v>0.05</v>
      </c>
      <c r="J784" s="6">
        <v>0.4576271186440678</v>
      </c>
      <c r="K784" s="6">
        <v>0.89037037037037003</v>
      </c>
      <c r="L784" s="6">
        <v>0.77051435155017267</v>
      </c>
      <c r="M784" s="4" t="s">
        <v>19</v>
      </c>
      <c r="N784" s="5">
        <v>1</v>
      </c>
      <c r="O784" s="4">
        <v>1</v>
      </c>
    </row>
    <row r="785" spans="1:15" x14ac:dyDescent="0.3">
      <c r="A785" s="4">
        <v>262</v>
      </c>
      <c r="B785" s="4">
        <v>262000</v>
      </c>
      <c r="C785" s="4" t="s">
        <v>15</v>
      </c>
      <c r="D785" s="4" t="s">
        <v>16</v>
      </c>
      <c r="E785" s="4" t="s">
        <v>17</v>
      </c>
      <c r="F785" s="4" t="s">
        <v>18</v>
      </c>
      <c r="G785" s="5">
        <v>0.1</v>
      </c>
      <c r="H785" s="5">
        <v>0.4</v>
      </c>
      <c r="I785" s="5">
        <v>0.05</v>
      </c>
      <c r="J785" s="6">
        <v>0.71186440677966101</v>
      </c>
      <c r="K785" s="6">
        <v>0.80333333333333301</v>
      </c>
      <c r="L785" s="6">
        <v>0.64275405981322986</v>
      </c>
      <c r="M785" s="4" t="s">
        <v>19</v>
      </c>
      <c r="N785" s="5">
        <v>1</v>
      </c>
      <c r="O785" s="4">
        <v>1</v>
      </c>
    </row>
    <row r="786" spans="1:15" x14ac:dyDescent="0.3">
      <c r="A786" s="4">
        <v>262</v>
      </c>
      <c r="B786" s="4">
        <v>262000</v>
      </c>
      <c r="C786" s="4" t="s">
        <v>15</v>
      </c>
      <c r="D786" s="4" t="s">
        <v>161</v>
      </c>
      <c r="E786" s="4" t="s">
        <v>17</v>
      </c>
      <c r="F786" s="4" t="s">
        <v>18</v>
      </c>
      <c r="G786" s="5">
        <v>0.81111111111111112</v>
      </c>
      <c r="H786" s="5">
        <v>0.8</v>
      </c>
      <c r="I786" s="5">
        <v>0.05</v>
      </c>
      <c r="J786" s="6">
        <v>0.55932203389830504</v>
      </c>
      <c r="K786" s="6">
        <v>0.8851515151515148</v>
      </c>
      <c r="L786" s="6">
        <v>0.79731726172948858</v>
      </c>
      <c r="M786" s="4" t="s">
        <v>19</v>
      </c>
      <c r="N786" s="5">
        <v>1</v>
      </c>
      <c r="O786" s="4">
        <v>1</v>
      </c>
    </row>
    <row r="787" spans="1:15" x14ac:dyDescent="0.3">
      <c r="A787" s="4">
        <v>262</v>
      </c>
      <c r="B787" s="4">
        <v>262000</v>
      </c>
      <c r="C787" s="4" t="s">
        <v>15</v>
      </c>
      <c r="D787" s="4" t="s">
        <v>162</v>
      </c>
      <c r="E787" s="4" t="s">
        <v>17</v>
      </c>
      <c r="F787" s="4" t="s">
        <v>18</v>
      </c>
      <c r="G787" s="5">
        <v>0.9</v>
      </c>
      <c r="H787" s="5">
        <v>0.8</v>
      </c>
      <c r="I787" s="5">
        <v>0.05</v>
      </c>
      <c r="J787" s="6">
        <v>0.44067796610169491</v>
      </c>
      <c r="K787" s="6">
        <v>0.89192307692307682</v>
      </c>
      <c r="L787" s="6">
        <v>0.70172301903101442</v>
      </c>
      <c r="M787" s="4" t="s">
        <v>19</v>
      </c>
      <c r="N787" s="5">
        <v>1</v>
      </c>
      <c r="O787" s="4">
        <v>1</v>
      </c>
    </row>
    <row r="788" spans="1:15" x14ac:dyDescent="0.3">
      <c r="A788" s="4">
        <v>263</v>
      </c>
      <c r="B788" s="4">
        <v>263000</v>
      </c>
      <c r="C788" s="4" t="s">
        <v>15</v>
      </c>
      <c r="D788" s="4" t="s">
        <v>16</v>
      </c>
      <c r="E788" s="4" t="s">
        <v>17</v>
      </c>
      <c r="F788" s="4" t="s">
        <v>18</v>
      </c>
      <c r="G788" s="5">
        <v>0.1</v>
      </c>
      <c r="H788" s="5">
        <v>0.4</v>
      </c>
      <c r="I788" s="5">
        <v>0.05</v>
      </c>
      <c r="J788" s="6">
        <v>0.68181818181818177</v>
      </c>
      <c r="K788" s="6">
        <v>0.79533333333333334</v>
      </c>
      <c r="L788" s="6">
        <v>0.61776299638557941</v>
      </c>
      <c r="M788" s="4" t="s">
        <v>19</v>
      </c>
      <c r="N788" s="5">
        <v>1</v>
      </c>
      <c r="O788" s="4">
        <v>1</v>
      </c>
    </row>
    <row r="789" spans="1:15" x14ac:dyDescent="0.3">
      <c r="A789" s="4">
        <v>263</v>
      </c>
      <c r="B789" s="4">
        <v>263000</v>
      </c>
      <c r="C789" s="4" t="s">
        <v>15</v>
      </c>
      <c r="D789" s="4" t="s">
        <v>161</v>
      </c>
      <c r="E789" s="4" t="s">
        <v>17</v>
      </c>
      <c r="F789" s="4" t="s">
        <v>18</v>
      </c>
      <c r="G789" s="5">
        <v>0.72222222222222221</v>
      </c>
      <c r="H789" s="5">
        <v>0.60000000000000009</v>
      </c>
      <c r="I789" s="5">
        <v>0.05</v>
      </c>
      <c r="J789" s="6">
        <v>0.56060606060606055</v>
      </c>
      <c r="K789" s="6">
        <v>0.85432432432432426</v>
      </c>
      <c r="L789" s="6">
        <v>0.76483235969335939</v>
      </c>
      <c r="M789" s="4" t="s">
        <v>19</v>
      </c>
      <c r="N789" s="5">
        <v>1</v>
      </c>
      <c r="O789" s="4">
        <v>1</v>
      </c>
    </row>
    <row r="790" spans="1:15" x14ac:dyDescent="0.3">
      <c r="A790" s="4">
        <v>263</v>
      </c>
      <c r="B790" s="4">
        <v>263000</v>
      </c>
      <c r="C790" s="4" t="s">
        <v>15</v>
      </c>
      <c r="D790" s="4" t="s">
        <v>162</v>
      </c>
      <c r="E790" s="4" t="s">
        <v>17</v>
      </c>
      <c r="F790" s="4" t="s">
        <v>18</v>
      </c>
      <c r="G790" s="5">
        <v>0.81111111111111112</v>
      </c>
      <c r="H790" s="5">
        <v>0.60000000000000009</v>
      </c>
      <c r="I790" s="5">
        <v>0.05</v>
      </c>
      <c r="J790" s="6">
        <v>0.51515151515151514</v>
      </c>
      <c r="K790" s="6">
        <v>0.86058823529411754</v>
      </c>
      <c r="L790" s="6">
        <v>0.74131559566269534</v>
      </c>
      <c r="M790" s="4" t="s">
        <v>19</v>
      </c>
      <c r="N790" s="5">
        <v>1</v>
      </c>
      <c r="O790" s="4">
        <v>1</v>
      </c>
    </row>
    <row r="791" spans="1:15" x14ac:dyDescent="0.3">
      <c r="A791" s="4">
        <v>264</v>
      </c>
      <c r="B791" s="4">
        <v>264000</v>
      </c>
      <c r="C791" s="4" t="s">
        <v>15</v>
      </c>
      <c r="D791" s="4" t="s">
        <v>16</v>
      </c>
      <c r="E791" s="4" t="s">
        <v>17</v>
      </c>
      <c r="F791" s="4" t="s">
        <v>18</v>
      </c>
      <c r="G791" s="5">
        <v>0.1</v>
      </c>
      <c r="H791" s="5">
        <v>0.4</v>
      </c>
      <c r="I791" s="5">
        <v>0.05</v>
      </c>
      <c r="J791" s="6">
        <v>0.75757575757575757</v>
      </c>
      <c r="K791" s="6">
        <v>0.76480000000000004</v>
      </c>
      <c r="L791" s="6">
        <v>0.59667198321217552</v>
      </c>
      <c r="M791" s="4" t="s">
        <v>42</v>
      </c>
      <c r="N791" s="5">
        <v>0.12860102207782539</v>
      </c>
      <c r="O791" s="4">
        <v>0</v>
      </c>
    </row>
    <row r="792" spans="1:15" x14ac:dyDescent="0.3">
      <c r="A792" s="4">
        <v>264</v>
      </c>
      <c r="B792" s="4">
        <v>264000</v>
      </c>
      <c r="C792" s="4" t="s">
        <v>15</v>
      </c>
      <c r="D792" s="4" t="s">
        <v>161</v>
      </c>
      <c r="E792" s="4" t="s">
        <v>17</v>
      </c>
      <c r="F792" s="4" t="s">
        <v>18</v>
      </c>
      <c r="G792" s="5">
        <v>0.72222222222222221</v>
      </c>
      <c r="H792" s="5">
        <v>0.60000000000000009</v>
      </c>
      <c r="I792" s="5">
        <v>0.05</v>
      </c>
      <c r="J792" s="6">
        <v>0.5757575757575758</v>
      </c>
      <c r="K792" s="6">
        <v>0.84447368421052604</v>
      </c>
      <c r="L792" s="6">
        <v>0.75260213665249143</v>
      </c>
      <c r="M792" s="4" t="s">
        <v>42</v>
      </c>
      <c r="N792" s="5">
        <v>0.12860102207782539</v>
      </c>
      <c r="O792" s="4">
        <v>0</v>
      </c>
    </row>
    <row r="793" spans="1:15" x14ac:dyDescent="0.3">
      <c r="A793" s="4">
        <v>264</v>
      </c>
      <c r="B793" s="4">
        <v>264000</v>
      </c>
      <c r="C793" s="4" t="s">
        <v>15</v>
      </c>
      <c r="D793" s="4" t="s">
        <v>162</v>
      </c>
      <c r="E793" s="4" t="s">
        <v>17</v>
      </c>
      <c r="F793" s="4" t="s">
        <v>18</v>
      </c>
      <c r="G793" s="5">
        <v>0.81111111111111112</v>
      </c>
      <c r="H793" s="5">
        <v>0.60000000000000009</v>
      </c>
      <c r="I793" s="5">
        <v>0.05</v>
      </c>
      <c r="J793" s="6">
        <v>0.48484848484848492</v>
      </c>
      <c r="K793" s="6">
        <v>0.85781249999999964</v>
      </c>
      <c r="L793" s="6">
        <v>0.78433484985891155</v>
      </c>
      <c r="M793" s="4" t="s">
        <v>42</v>
      </c>
      <c r="N793" s="5">
        <v>0.12860102207782539</v>
      </c>
      <c r="O793" s="4">
        <v>0</v>
      </c>
    </row>
    <row r="794" spans="1:15" x14ac:dyDescent="0.3">
      <c r="A794" s="4">
        <v>265</v>
      </c>
      <c r="B794" s="4">
        <v>265000</v>
      </c>
      <c r="C794" s="4" t="s">
        <v>15</v>
      </c>
      <c r="D794" s="4" t="s">
        <v>16</v>
      </c>
      <c r="E794" s="4" t="s">
        <v>17</v>
      </c>
      <c r="F794" s="4" t="s">
        <v>18</v>
      </c>
      <c r="G794" s="5">
        <v>0.1</v>
      </c>
      <c r="H794" s="5">
        <v>0.4</v>
      </c>
      <c r="I794" s="5">
        <v>0.05</v>
      </c>
      <c r="J794" s="6">
        <v>0.71875</v>
      </c>
      <c r="K794" s="6">
        <v>0.75586956521739135</v>
      </c>
      <c r="L794" s="6">
        <v>0.59550508430096405</v>
      </c>
      <c r="M794" s="4" t="s">
        <v>127</v>
      </c>
      <c r="N794" s="5">
        <v>0.17632801339860249</v>
      </c>
      <c r="O794" s="4">
        <v>1</v>
      </c>
    </row>
    <row r="795" spans="1:15" x14ac:dyDescent="0.3">
      <c r="A795" s="4">
        <v>265</v>
      </c>
      <c r="B795" s="4">
        <v>265000</v>
      </c>
      <c r="C795" s="4" t="s">
        <v>15</v>
      </c>
      <c r="D795" s="4" t="s">
        <v>161</v>
      </c>
      <c r="E795" s="4" t="s">
        <v>17</v>
      </c>
      <c r="F795" s="4" t="s">
        <v>18</v>
      </c>
      <c r="G795" s="5">
        <v>0.72222222222222221</v>
      </c>
      <c r="H795" s="5">
        <v>0.4</v>
      </c>
      <c r="I795" s="5">
        <v>0.05</v>
      </c>
      <c r="J795" s="6">
        <v>0.53125</v>
      </c>
      <c r="K795" s="6">
        <v>0.84382352941176475</v>
      </c>
      <c r="L795" s="6">
        <v>0.73658519971283287</v>
      </c>
      <c r="M795" s="4" t="s">
        <v>127</v>
      </c>
      <c r="N795" s="5">
        <v>0.17632801339860249</v>
      </c>
      <c r="O795" s="4">
        <v>1</v>
      </c>
    </row>
    <row r="796" spans="1:15" x14ac:dyDescent="0.3">
      <c r="A796" s="4">
        <v>265</v>
      </c>
      <c r="B796" s="4">
        <v>265000</v>
      </c>
      <c r="C796" s="4" t="s">
        <v>15</v>
      </c>
      <c r="D796" s="4" t="s">
        <v>162</v>
      </c>
      <c r="E796" s="4" t="s">
        <v>17</v>
      </c>
      <c r="F796" s="4" t="s">
        <v>18</v>
      </c>
      <c r="G796" s="5">
        <v>0.81111111111111112</v>
      </c>
      <c r="H796" s="5">
        <v>0.4</v>
      </c>
      <c r="I796" s="5">
        <v>0.05</v>
      </c>
      <c r="J796" s="6">
        <v>0.453125</v>
      </c>
      <c r="K796" s="6">
        <v>0.85379310344827575</v>
      </c>
      <c r="L796" s="6">
        <v>0.72655602614343673</v>
      </c>
      <c r="M796" s="4" t="s">
        <v>127</v>
      </c>
      <c r="N796" s="5">
        <v>0.17632801339860249</v>
      </c>
      <c r="O796" s="4">
        <v>1</v>
      </c>
    </row>
    <row r="797" spans="1:15" x14ac:dyDescent="0.3">
      <c r="A797" s="4">
        <v>266</v>
      </c>
      <c r="B797" s="4">
        <v>266000</v>
      </c>
      <c r="C797" s="4" t="s">
        <v>15</v>
      </c>
      <c r="D797" s="4" t="s">
        <v>16</v>
      </c>
      <c r="E797" s="4" t="s">
        <v>17</v>
      </c>
      <c r="F797" s="4" t="s">
        <v>18</v>
      </c>
      <c r="G797" s="5">
        <v>0.1</v>
      </c>
      <c r="H797" s="5">
        <v>0.4</v>
      </c>
      <c r="I797" s="5">
        <v>0.05</v>
      </c>
      <c r="J797" s="6">
        <v>0.73770491803278693</v>
      </c>
      <c r="K797" s="6">
        <v>0.75666666666666671</v>
      </c>
      <c r="L797" s="6">
        <v>0.57577612580271698</v>
      </c>
      <c r="M797" s="4" t="s">
        <v>19</v>
      </c>
      <c r="N797" s="5">
        <v>1</v>
      </c>
      <c r="O797" s="4">
        <v>1</v>
      </c>
    </row>
    <row r="798" spans="1:15" x14ac:dyDescent="0.3">
      <c r="A798" s="4">
        <v>266</v>
      </c>
      <c r="B798" s="4">
        <v>266000</v>
      </c>
      <c r="C798" s="4" t="s">
        <v>15</v>
      </c>
      <c r="D798" s="4" t="s">
        <v>161</v>
      </c>
      <c r="E798" s="4" t="s">
        <v>17</v>
      </c>
      <c r="F798" s="4" t="s">
        <v>18</v>
      </c>
      <c r="G798" s="5">
        <v>0.54444444444444451</v>
      </c>
      <c r="H798" s="5">
        <v>0.4</v>
      </c>
      <c r="I798" s="5">
        <v>0.05</v>
      </c>
      <c r="J798" s="6">
        <v>0.5901639344262295</v>
      </c>
      <c r="K798" s="6">
        <v>0.83500000000000008</v>
      </c>
      <c r="L798" s="6">
        <v>0.76926346741086282</v>
      </c>
      <c r="M798" s="4" t="s">
        <v>19</v>
      </c>
      <c r="N798" s="5">
        <v>1</v>
      </c>
      <c r="O798" s="4">
        <v>1</v>
      </c>
    </row>
    <row r="799" spans="1:15" x14ac:dyDescent="0.3">
      <c r="A799" s="4">
        <v>266</v>
      </c>
      <c r="B799" s="4">
        <v>266000</v>
      </c>
      <c r="C799" s="4" t="s">
        <v>15</v>
      </c>
      <c r="D799" s="4" t="s">
        <v>162</v>
      </c>
      <c r="E799" s="4" t="s">
        <v>17</v>
      </c>
      <c r="F799" s="4" t="s">
        <v>18</v>
      </c>
      <c r="G799" s="5">
        <v>0.81111111111111112</v>
      </c>
      <c r="H799" s="5">
        <v>0.4</v>
      </c>
      <c r="I799" s="5">
        <v>0.05</v>
      </c>
      <c r="J799" s="6">
        <v>0.52459016393442626</v>
      </c>
      <c r="K799" s="6">
        <v>0.85</v>
      </c>
      <c r="L799" s="6">
        <v>0.66990858032440015</v>
      </c>
      <c r="M799" s="4" t="s">
        <v>19</v>
      </c>
      <c r="N799" s="5">
        <v>1</v>
      </c>
      <c r="O799" s="4">
        <v>1</v>
      </c>
    </row>
    <row r="800" spans="1:15" x14ac:dyDescent="0.3">
      <c r="A800" s="4">
        <v>267</v>
      </c>
      <c r="B800" s="4">
        <v>267000</v>
      </c>
      <c r="C800" s="4" t="s">
        <v>15</v>
      </c>
      <c r="D800" s="4" t="s">
        <v>16</v>
      </c>
      <c r="E800" s="4" t="s">
        <v>17</v>
      </c>
      <c r="F800" s="4" t="s">
        <v>18</v>
      </c>
      <c r="G800" s="5">
        <v>0.1</v>
      </c>
      <c r="H800" s="5">
        <v>0.4</v>
      </c>
      <c r="I800" s="5">
        <v>0.05</v>
      </c>
      <c r="J800" s="6">
        <v>0.68333333333333335</v>
      </c>
      <c r="K800" s="6">
        <v>0.77341463414634148</v>
      </c>
      <c r="L800" s="6">
        <v>0.70611864724332307</v>
      </c>
      <c r="M800" s="4" t="s">
        <v>97</v>
      </c>
      <c r="N800" s="5">
        <v>8.5673389663378133E-2</v>
      </c>
      <c r="O800" s="4">
        <v>0</v>
      </c>
    </row>
    <row r="801" spans="1:15" x14ac:dyDescent="0.3">
      <c r="A801" s="4">
        <v>267</v>
      </c>
      <c r="B801" s="4">
        <v>267000</v>
      </c>
      <c r="C801" s="4" t="s">
        <v>15</v>
      </c>
      <c r="D801" s="4" t="s">
        <v>161</v>
      </c>
      <c r="E801" s="4" t="s">
        <v>17</v>
      </c>
      <c r="F801" s="4" t="s">
        <v>18</v>
      </c>
      <c r="G801" s="5">
        <v>0.54444444444444451</v>
      </c>
      <c r="H801" s="5">
        <v>0.4</v>
      </c>
      <c r="I801" s="5">
        <v>0.05</v>
      </c>
      <c r="J801" s="6">
        <v>0.6166666666666667</v>
      </c>
      <c r="K801" s="6">
        <v>0.8221621621621622</v>
      </c>
      <c r="L801" s="6">
        <v>0.66197546182436062</v>
      </c>
      <c r="M801" s="4" t="s">
        <v>97</v>
      </c>
      <c r="N801" s="5">
        <v>8.5673389663378133E-2</v>
      </c>
      <c r="O801" s="4">
        <v>0</v>
      </c>
    </row>
    <row r="802" spans="1:15" x14ac:dyDescent="0.3">
      <c r="A802" s="4">
        <v>267</v>
      </c>
      <c r="B802" s="4">
        <v>267000</v>
      </c>
      <c r="C802" s="4" t="s">
        <v>15</v>
      </c>
      <c r="D802" s="4" t="s">
        <v>162</v>
      </c>
      <c r="E802" s="4" t="s">
        <v>17</v>
      </c>
      <c r="F802" s="4" t="s">
        <v>18</v>
      </c>
      <c r="G802" s="5">
        <v>0.81111111111111112</v>
      </c>
      <c r="H802" s="5">
        <v>0.4</v>
      </c>
      <c r="I802" s="5">
        <v>0.05</v>
      </c>
      <c r="J802" s="6">
        <v>0.46666666666666667</v>
      </c>
      <c r="K802" s="6">
        <v>0.85071428571428565</v>
      </c>
      <c r="L802" s="6">
        <v>0.68527319754654581</v>
      </c>
      <c r="M802" s="4" t="s">
        <v>97</v>
      </c>
      <c r="N802" s="5">
        <v>8.5673389663378133E-2</v>
      </c>
      <c r="O802" s="4">
        <v>0</v>
      </c>
    </row>
    <row r="803" spans="1:15" x14ac:dyDescent="0.3">
      <c r="A803" s="4">
        <v>268</v>
      </c>
      <c r="B803" s="4">
        <v>268000</v>
      </c>
      <c r="C803" s="4" t="s">
        <v>15</v>
      </c>
      <c r="D803" s="4" t="s">
        <v>16</v>
      </c>
      <c r="E803" s="4" t="s">
        <v>17</v>
      </c>
      <c r="F803" s="4" t="s">
        <v>18</v>
      </c>
      <c r="G803" s="5">
        <v>0.1</v>
      </c>
      <c r="H803" s="5">
        <v>0.4</v>
      </c>
      <c r="I803" s="5">
        <v>0.05</v>
      </c>
      <c r="J803" s="6">
        <v>0.7142857142857143</v>
      </c>
      <c r="K803" s="6">
        <v>0.7942499999999999</v>
      </c>
      <c r="L803" s="6">
        <v>0.72960435958295511</v>
      </c>
      <c r="M803" s="4" t="s">
        <v>19</v>
      </c>
      <c r="N803" s="5">
        <v>1</v>
      </c>
      <c r="O803" s="4">
        <v>1</v>
      </c>
    </row>
    <row r="804" spans="1:15" x14ac:dyDescent="0.3">
      <c r="A804" s="4">
        <v>268</v>
      </c>
      <c r="B804" s="4">
        <v>268000</v>
      </c>
      <c r="C804" s="4" t="s">
        <v>15</v>
      </c>
      <c r="D804" s="4" t="s">
        <v>161</v>
      </c>
      <c r="E804" s="4" t="s">
        <v>17</v>
      </c>
      <c r="F804" s="4" t="s">
        <v>18</v>
      </c>
      <c r="G804" s="5">
        <v>0.18888888888888891</v>
      </c>
      <c r="H804" s="5">
        <v>0.4</v>
      </c>
      <c r="I804" s="5">
        <v>0.05</v>
      </c>
      <c r="J804" s="6">
        <v>0.6964285714285714</v>
      </c>
      <c r="K804" s="6">
        <v>0.81179487179487175</v>
      </c>
      <c r="L804" s="6">
        <v>0.74028085240230501</v>
      </c>
      <c r="M804" s="4" t="s">
        <v>19</v>
      </c>
      <c r="N804" s="5">
        <v>1</v>
      </c>
      <c r="O804" s="4">
        <v>1</v>
      </c>
    </row>
    <row r="805" spans="1:15" x14ac:dyDescent="0.3">
      <c r="A805" s="4">
        <v>268</v>
      </c>
      <c r="B805" s="4">
        <v>268000</v>
      </c>
      <c r="C805" s="4" t="s">
        <v>15</v>
      </c>
      <c r="D805" s="4" t="s">
        <v>162</v>
      </c>
      <c r="E805" s="4" t="s">
        <v>17</v>
      </c>
      <c r="F805" s="4" t="s">
        <v>18</v>
      </c>
      <c r="G805" s="5">
        <v>0.81111111111111112</v>
      </c>
      <c r="H805" s="5">
        <v>0.4</v>
      </c>
      <c r="I805" s="5">
        <v>0.05</v>
      </c>
      <c r="J805" s="6">
        <v>0.5</v>
      </c>
      <c r="K805" s="6">
        <v>0.8514285714285712</v>
      </c>
      <c r="L805" s="6">
        <v>0.69990692815314182</v>
      </c>
      <c r="M805" s="4" t="s">
        <v>19</v>
      </c>
      <c r="N805" s="5">
        <v>1</v>
      </c>
      <c r="O805" s="4">
        <v>1</v>
      </c>
    </row>
    <row r="806" spans="1:15" x14ac:dyDescent="0.3">
      <c r="A806" s="4">
        <v>269</v>
      </c>
      <c r="B806" s="4">
        <v>269000</v>
      </c>
      <c r="C806" s="4" t="s">
        <v>15</v>
      </c>
      <c r="D806" s="4" t="s">
        <v>16</v>
      </c>
      <c r="E806" s="4" t="s">
        <v>17</v>
      </c>
      <c r="F806" s="4" t="s">
        <v>18</v>
      </c>
      <c r="G806" s="5">
        <v>0.1</v>
      </c>
      <c r="H806" s="5">
        <v>0.4</v>
      </c>
      <c r="I806" s="5">
        <v>0.05</v>
      </c>
      <c r="J806" s="6">
        <v>0.68965517241379315</v>
      </c>
      <c r="K806" s="6">
        <v>0.78799999999999981</v>
      </c>
      <c r="L806" s="6">
        <v>0.62496246898878549</v>
      </c>
      <c r="M806" s="4" t="s">
        <v>19</v>
      </c>
      <c r="N806" s="5">
        <v>1</v>
      </c>
      <c r="O806" s="4">
        <v>1</v>
      </c>
    </row>
    <row r="807" spans="1:15" x14ac:dyDescent="0.3">
      <c r="A807" s="4">
        <v>269</v>
      </c>
      <c r="B807" s="4">
        <v>269000</v>
      </c>
      <c r="C807" s="4" t="s">
        <v>15</v>
      </c>
      <c r="D807" s="4" t="s">
        <v>161</v>
      </c>
      <c r="E807" s="4" t="s">
        <v>17</v>
      </c>
      <c r="F807" s="4" t="s">
        <v>18</v>
      </c>
      <c r="G807" s="5">
        <v>0.54444444444444451</v>
      </c>
      <c r="H807" s="5">
        <v>0.4</v>
      </c>
      <c r="I807" s="5">
        <v>0.05</v>
      </c>
      <c r="J807" s="6">
        <v>0.58620689655172409</v>
      </c>
      <c r="K807" s="6">
        <v>0.84999999999999976</v>
      </c>
      <c r="L807" s="6">
        <v>0.72151497532491771</v>
      </c>
      <c r="M807" s="4" t="s">
        <v>19</v>
      </c>
      <c r="N807" s="5">
        <v>1</v>
      </c>
      <c r="O807" s="4">
        <v>1</v>
      </c>
    </row>
    <row r="808" spans="1:15" x14ac:dyDescent="0.3">
      <c r="A808" s="4">
        <v>269</v>
      </c>
      <c r="B808" s="4">
        <v>269000</v>
      </c>
      <c r="C808" s="4" t="s">
        <v>15</v>
      </c>
      <c r="D808" s="4" t="s">
        <v>162</v>
      </c>
      <c r="E808" s="4" t="s">
        <v>17</v>
      </c>
      <c r="F808" s="4" t="s">
        <v>18</v>
      </c>
      <c r="G808" s="5">
        <v>0.9</v>
      </c>
      <c r="H808" s="5">
        <v>0.4</v>
      </c>
      <c r="I808" s="5">
        <v>0.05</v>
      </c>
      <c r="J808" s="6">
        <v>0.44827586206896552</v>
      </c>
      <c r="K808" s="6">
        <v>0.86269230769230743</v>
      </c>
      <c r="L808" s="6">
        <v>0.67975503861293496</v>
      </c>
      <c r="M808" s="4" t="s">
        <v>19</v>
      </c>
      <c r="N808" s="5">
        <v>1</v>
      </c>
      <c r="O808" s="4">
        <v>1</v>
      </c>
    </row>
    <row r="809" spans="1:15" x14ac:dyDescent="0.3">
      <c r="A809" s="4">
        <v>270</v>
      </c>
      <c r="B809" s="4">
        <v>270000</v>
      </c>
      <c r="C809" s="4" t="s">
        <v>15</v>
      </c>
      <c r="D809" s="4" t="s">
        <v>16</v>
      </c>
      <c r="E809" s="4" t="s">
        <v>17</v>
      </c>
      <c r="F809" s="4" t="s">
        <v>18</v>
      </c>
      <c r="G809" s="5">
        <v>0.1</v>
      </c>
      <c r="H809" s="5">
        <v>0.4</v>
      </c>
      <c r="I809" s="5">
        <v>0.05</v>
      </c>
      <c r="J809" s="6">
        <v>0.69354838709677424</v>
      </c>
      <c r="K809" s="6">
        <v>0.77790697674418574</v>
      </c>
      <c r="L809" s="6">
        <v>0.56798265598027931</v>
      </c>
      <c r="M809" s="4" t="s">
        <v>19</v>
      </c>
      <c r="N809" s="5">
        <v>1</v>
      </c>
      <c r="O809" s="4">
        <v>1</v>
      </c>
    </row>
    <row r="810" spans="1:15" x14ac:dyDescent="0.3">
      <c r="A810" s="4">
        <v>270</v>
      </c>
      <c r="B810" s="4">
        <v>270000</v>
      </c>
      <c r="C810" s="4" t="s">
        <v>15</v>
      </c>
      <c r="D810" s="4" t="s">
        <v>161</v>
      </c>
      <c r="E810" s="4" t="s">
        <v>17</v>
      </c>
      <c r="F810" s="4" t="s">
        <v>18</v>
      </c>
      <c r="G810" s="5">
        <v>0.81111111111111112</v>
      </c>
      <c r="H810" s="5">
        <v>0.4</v>
      </c>
      <c r="I810" s="5">
        <v>0.1166666666666667</v>
      </c>
      <c r="J810" s="6">
        <v>0.41935483870967738</v>
      </c>
      <c r="K810" s="6">
        <v>0.85692307692307679</v>
      </c>
      <c r="L810" s="6">
        <v>0.71131064515872666</v>
      </c>
      <c r="M810" s="4" t="s">
        <v>19</v>
      </c>
      <c r="N810" s="5">
        <v>1</v>
      </c>
      <c r="O810" s="4">
        <v>1</v>
      </c>
    </row>
    <row r="811" spans="1:15" x14ac:dyDescent="0.3">
      <c r="A811" s="4">
        <v>270</v>
      </c>
      <c r="B811" s="4">
        <v>270000</v>
      </c>
      <c r="C811" s="4" t="s">
        <v>15</v>
      </c>
      <c r="D811" s="4" t="s">
        <v>162</v>
      </c>
      <c r="E811" s="4" t="s">
        <v>17</v>
      </c>
      <c r="F811" s="4" t="s">
        <v>18</v>
      </c>
      <c r="G811" s="5">
        <v>0.9</v>
      </c>
      <c r="H811" s="5">
        <v>0.4</v>
      </c>
      <c r="I811" s="5">
        <v>0.05</v>
      </c>
      <c r="J811" s="6">
        <v>0.41935483870967738</v>
      </c>
      <c r="K811" s="6">
        <v>0.86115384615384605</v>
      </c>
      <c r="L811" s="6">
        <v>0.68531867244885869</v>
      </c>
      <c r="M811" s="4" t="s">
        <v>19</v>
      </c>
      <c r="N811" s="5">
        <v>1</v>
      </c>
      <c r="O811" s="4">
        <v>1</v>
      </c>
    </row>
    <row r="812" spans="1:15" x14ac:dyDescent="0.3">
      <c r="A812" s="4">
        <v>271</v>
      </c>
      <c r="B812" s="4">
        <v>271000</v>
      </c>
      <c r="C812" s="4" t="s">
        <v>15</v>
      </c>
      <c r="D812" s="4" t="s">
        <v>16</v>
      </c>
      <c r="E812" s="4" t="s">
        <v>17</v>
      </c>
      <c r="F812" s="4" t="s">
        <v>18</v>
      </c>
      <c r="G812" s="5">
        <v>0.1</v>
      </c>
      <c r="H812" s="5">
        <v>0.4</v>
      </c>
      <c r="I812" s="5">
        <v>0.05</v>
      </c>
      <c r="J812" s="6">
        <v>0.69230769230769229</v>
      </c>
      <c r="K812" s="6">
        <v>0.77155555555555533</v>
      </c>
      <c r="L812" s="6">
        <v>0.56409086989752</v>
      </c>
      <c r="M812" s="4" t="s">
        <v>97</v>
      </c>
      <c r="N812" s="5">
        <v>8.5830980943580215E-2</v>
      </c>
      <c r="O812" s="4">
        <v>0</v>
      </c>
    </row>
    <row r="813" spans="1:15" x14ac:dyDescent="0.3">
      <c r="A813" s="4">
        <v>271</v>
      </c>
      <c r="B813" s="4">
        <v>271000</v>
      </c>
      <c r="C813" s="4" t="s">
        <v>15</v>
      </c>
      <c r="D813" s="4" t="s">
        <v>161</v>
      </c>
      <c r="E813" s="4" t="s">
        <v>17</v>
      </c>
      <c r="F813" s="4" t="s">
        <v>18</v>
      </c>
      <c r="G813" s="5">
        <v>0.81111111111111112</v>
      </c>
      <c r="H813" s="5">
        <v>0.4</v>
      </c>
      <c r="I813" s="5">
        <v>0.1166666666666667</v>
      </c>
      <c r="J813" s="6">
        <v>0.38461538461538458</v>
      </c>
      <c r="K813" s="6">
        <v>0.85559999999999992</v>
      </c>
      <c r="L813" s="6">
        <v>0.6930406101837161</v>
      </c>
      <c r="M813" s="4" t="s">
        <v>97</v>
      </c>
      <c r="N813" s="5">
        <v>8.5830980943580215E-2</v>
      </c>
      <c r="O813" s="4">
        <v>0</v>
      </c>
    </row>
    <row r="814" spans="1:15" x14ac:dyDescent="0.3">
      <c r="A814" s="4">
        <v>271</v>
      </c>
      <c r="B814" s="4">
        <v>271000</v>
      </c>
      <c r="C814" s="4" t="s">
        <v>15</v>
      </c>
      <c r="D814" s="4" t="s">
        <v>162</v>
      </c>
      <c r="E814" s="4" t="s">
        <v>17</v>
      </c>
      <c r="F814" s="4" t="s">
        <v>18</v>
      </c>
      <c r="G814" s="5">
        <v>0.9</v>
      </c>
      <c r="H814" s="5">
        <v>0.4</v>
      </c>
      <c r="I814" s="5">
        <v>0.05</v>
      </c>
      <c r="J814" s="6">
        <v>0.4</v>
      </c>
      <c r="K814" s="6">
        <v>0.85884615384615359</v>
      </c>
      <c r="L814" s="6">
        <v>0.68092377500477208</v>
      </c>
      <c r="M814" s="4" t="s">
        <v>97</v>
      </c>
      <c r="N814" s="5">
        <v>8.5830980943580215E-2</v>
      </c>
      <c r="O814" s="4">
        <v>0</v>
      </c>
    </row>
    <row r="815" spans="1:15" x14ac:dyDescent="0.3">
      <c r="A815" s="4">
        <v>272</v>
      </c>
      <c r="B815" s="4">
        <v>272000</v>
      </c>
      <c r="C815" s="4" t="s">
        <v>15</v>
      </c>
      <c r="D815" s="4" t="s">
        <v>16</v>
      </c>
      <c r="E815" s="4" t="s">
        <v>17</v>
      </c>
      <c r="F815" s="4" t="s">
        <v>18</v>
      </c>
      <c r="G815" s="5">
        <v>0.1</v>
      </c>
      <c r="H815" s="5">
        <v>0.4</v>
      </c>
      <c r="I815" s="5">
        <v>0.05</v>
      </c>
      <c r="J815" s="6">
        <v>0.72580645161290325</v>
      </c>
      <c r="K815" s="6">
        <v>0.76600000000000013</v>
      </c>
      <c r="L815" s="6">
        <v>0.59532284086855158</v>
      </c>
      <c r="M815" s="4" t="s">
        <v>84</v>
      </c>
      <c r="N815" s="5">
        <v>0.113730350637683</v>
      </c>
      <c r="O815" s="4">
        <v>0</v>
      </c>
    </row>
    <row r="816" spans="1:15" x14ac:dyDescent="0.3">
      <c r="A816" s="4">
        <v>272</v>
      </c>
      <c r="B816" s="4">
        <v>272000</v>
      </c>
      <c r="C816" s="4" t="s">
        <v>15</v>
      </c>
      <c r="D816" s="4" t="s">
        <v>161</v>
      </c>
      <c r="E816" s="4" t="s">
        <v>17</v>
      </c>
      <c r="F816" s="4" t="s">
        <v>18</v>
      </c>
      <c r="G816" s="5">
        <v>0.81111111111111112</v>
      </c>
      <c r="H816" s="5">
        <v>0.4</v>
      </c>
      <c r="I816" s="5">
        <v>0.1166666666666667</v>
      </c>
      <c r="J816" s="6">
        <v>0.45161290322580638</v>
      </c>
      <c r="K816" s="6">
        <v>0.8235714285714284</v>
      </c>
      <c r="L816" s="6">
        <v>0.73601944375972783</v>
      </c>
      <c r="M816" s="4" t="s">
        <v>84</v>
      </c>
      <c r="N816" s="5">
        <v>0.113730350637683</v>
      </c>
      <c r="O816" s="4">
        <v>0</v>
      </c>
    </row>
    <row r="817" spans="1:15" x14ac:dyDescent="0.3">
      <c r="A817" s="4">
        <v>272</v>
      </c>
      <c r="B817" s="4">
        <v>272000</v>
      </c>
      <c r="C817" s="4" t="s">
        <v>15</v>
      </c>
      <c r="D817" s="4" t="s">
        <v>162</v>
      </c>
      <c r="E817" s="4" t="s">
        <v>17</v>
      </c>
      <c r="F817" s="4" t="s">
        <v>18</v>
      </c>
      <c r="G817" s="5">
        <v>0.9</v>
      </c>
      <c r="H817" s="5">
        <v>0.4</v>
      </c>
      <c r="I817" s="5">
        <v>0.05</v>
      </c>
      <c r="J817" s="6">
        <v>0.43548387096774188</v>
      </c>
      <c r="K817" s="6">
        <v>0.82259259259259254</v>
      </c>
      <c r="L817" s="6">
        <v>0.68008409516535862</v>
      </c>
      <c r="M817" s="4" t="s">
        <v>84</v>
      </c>
      <c r="N817" s="5">
        <v>0.113730350637683</v>
      </c>
      <c r="O817" s="4">
        <v>0</v>
      </c>
    </row>
    <row r="818" spans="1:15" x14ac:dyDescent="0.3">
      <c r="A818" s="4">
        <v>273</v>
      </c>
      <c r="B818" s="4">
        <v>273000</v>
      </c>
      <c r="C818" s="4" t="s">
        <v>15</v>
      </c>
      <c r="D818" s="4" t="s">
        <v>16</v>
      </c>
      <c r="E818" s="4" t="s">
        <v>17</v>
      </c>
      <c r="F818" s="4" t="s">
        <v>18</v>
      </c>
      <c r="G818" s="5">
        <v>0.1</v>
      </c>
      <c r="H818" s="5">
        <v>0.4</v>
      </c>
      <c r="I818" s="5">
        <v>0.05</v>
      </c>
      <c r="J818" s="6">
        <v>0.71186440677966101</v>
      </c>
      <c r="K818" s="6">
        <v>0.7711904761904762</v>
      </c>
      <c r="L818" s="6">
        <v>0.57683886132737505</v>
      </c>
      <c r="M818" s="4" t="s">
        <v>19</v>
      </c>
      <c r="N818" s="5">
        <v>1</v>
      </c>
      <c r="O818" s="4">
        <v>1</v>
      </c>
    </row>
    <row r="819" spans="1:15" x14ac:dyDescent="0.3">
      <c r="A819" s="4">
        <v>273</v>
      </c>
      <c r="B819" s="4">
        <v>273000</v>
      </c>
      <c r="C819" s="4" t="s">
        <v>15</v>
      </c>
      <c r="D819" s="4" t="s">
        <v>161</v>
      </c>
      <c r="E819" s="4" t="s">
        <v>17</v>
      </c>
      <c r="F819" s="4" t="s">
        <v>18</v>
      </c>
      <c r="G819" s="5">
        <v>0.72222222222222221</v>
      </c>
      <c r="H819" s="5">
        <v>0.4</v>
      </c>
      <c r="I819" s="5">
        <v>0.05</v>
      </c>
      <c r="J819" s="6">
        <v>0.59322033898305082</v>
      </c>
      <c r="K819" s="6">
        <v>0.81914285714285695</v>
      </c>
      <c r="L819" s="6">
        <v>0.76842720825829258</v>
      </c>
      <c r="M819" s="4" t="s">
        <v>19</v>
      </c>
      <c r="N819" s="5">
        <v>1</v>
      </c>
      <c r="O819" s="4">
        <v>1</v>
      </c>
    </row>
    <row r="820" spans="1:15" x14ac:dyDescent="0.3">
      <c r="A820" s="4">
        <v>273</v>
      </c>
      <c r="B820" s="4">
        <v>273000</v>
      </c>
      <c r="C820" s="4" t="s">
        <v>15</v>
      </c>
      <c r="D820" s="4" t="s">
        <v>162</v>
      </c>
      <c r="E820" s="4" t="s">
        <v>17</v>
      </c>
      <c r="F820" s="4" t="s">
        <v>18</v>
      </c>
      <c r="G820" s="5">
        <v>0.9</v>
      </c>
      <c r="H820" s="5">
        <v>0.8</v>
      </c>
      <c r="I820" s="5">
        <v>0.05</v>
      </c>
      <c r="J820" s="6">
        <v>0.4576271186440678</v>
      </c>
      <c r="K820" s="6">
        <v>0.85555555555555529</v>
      </c>
      <c r="L820" s="6">
        <v>0.72515645820826535</v>
      </c>
      <c r="M820" s="4" t="s">
        <v>19</v>
      </c>
      <c r="N820" s="5">
        <v>1</v>
      </c>
      <c r="O820" s="4">
        <v>1</v>
      </c>
    </row>
    <row r="821" spans="1:15" x14ac:dyDescent="0.3">
      <c r="A821" s="4">
        <v>274</v>
      </c>
      <c r="B821" s="4">
        <v>274000</v>
      </c>
      <c r="C821" s="4" t="s">
        <v>15</v>
      </c>
      <c r="D821" s="4" t="s">
        <v>16</v>
      </c>
      <c r="E821" s="4" t="s">
        <v>17</v>
      </c>
      <c r="F821" s="4" t="s">
        <v>18</v>
      </c>
      <c r="G821" s="5">
        <v>0.1</v>
      </c>
      <c r="H821" s="5">
        <v>0.4</v>
      </c>
      <c r="I821" s="5">
        <v>0.05</v>
      </c>
      <c r="J821" s="6">
        <v>0.76271186440677963</v>
      </c>
      <c r="K821" s="6">
        <v>0.75355555555555553</v>
      </c>
      <c r="L821" s="6">
        <v>0.58620907858820914</v>
      </c>
      <c r="M821" s="4" t="s">
        <v>19</v>
      </c>
      <c r="N821" s="5">
        <v>1</v>
      </c>
      <c r="O821" s="4">
        <v>1</v>
      </c>
    </row>
    <row r="822" spans="1:15" x14ac:dyDescent="0.3">
      <c r="A822" s="4">
        <v>274</v>
      </c>
      <c r="B822" s="4">
        <v>274000</v>
      </c>
      <c r="C822" s="4" t="s">
        <v>15</v>
      </c>
      <c r="D822" s="4" t="s">
        <v>161</v>
      </c>
      <c r="E822" s="4" t="s">
        <v>17</v>
      </c>
      <c r="F822" s="4" t="s">
        <v>18</v>
      </c>
      <c r="G822" s="5">
        <v>0.72222222222222221</v>
      </c>
      <c r="H822" s="5">
        <v>0.4</v>
      </c>
      <c r="I822" s="5">
        <v>0.05</v>
      </c>
      <c r="J822" s="6">
        <v>0.61016949152542377</v>
      </c>
      <c r="K822" s="6">
        <v>0.81416666666666648</v>
      </c>
      <c r="L822" s="6">
        <v>0.7615691449508275</v>
      </c>
      <c r="M822" s="4" t="s">
        <v>19</v>
      </c>
      <c r="N822" s="5">
        <v>1</v>
      </c>
      <c r="O822" s="4">
        <v>1</v>
      </c>
    </row>
    <row r="823" spans="1:15" x14ac:dyDescent="0.3">
      <c r="A823" s="4">
        <v>274</v>
      </c>
      <c r="B823" s="4">
        <v>274000</v>
      </c>
      <c r="C823" s="4" t="s">
        <v>15</v>
      </c>
      <c r="D823" s="4" t="s">
        <v>162</v>
      </c>
      <c r="E823" s="4" t="s">
        <v>17</v>
      </c>
      <c r="F823" s="4" t="s">
        <v>18</v>
      </c>
      <c r="G823" s="5">
        <v>0.9</v>
      </c>
      <c r="H823" s="5">
        <v>0.8</v>
      </c>
      <c r="I823" s="5">
        <v>0.05</v>
      </c>
      <c r="J823" s="6">
        <v>0.44067796610169491</v>
      </c>
      <c r="K823" s="6">
        <v>0.85615384615384593</v>
      </c>
      <c r="L823" s="6">
        <v>0.67655161663864527</v>
      </c>
      <c r="M823" s="4" t="s">
        <v>19</v>
      </c>
      <c r="N823" s="5">
        <v>1</v>
      </c>
      <c r="O823" s="4">
        <v>1</v>
      </c>
    </row>
    <row r="824" spans="1:15" x14ac:dyDescent="0.3">
      <c r="A824" s="4">
        <v>275</v>
      </c>
      <c r="B824" s="4">
        <v>275000</v>
      </c>
      <c r="C824" s="4" t="s">
        <v>15</v>
      </c>
      <c r="D824" s="4" t="s">
        <v>16</v>
      </c>
      <c r="E824" s="4" t="s">
        <v>17</v>
      </c>
      <c r="F824" s="4" t="s">
        <v>18</v>
      </c>
      <c r="G824" s="5">
        <v>0.1</v>
      </c>
      <c r="H824" s="5">
        <v>0.4</v>
      </c>
      <c r="I824" s="5">
        <v>0.05</v>
      </c>
      <c r="J824" s="6">
        <v>0.67213114754098358</v>
      </c>
      <c r="K824" s="6">
        <v>0.80195121951219517</v>
      </c>
      <c r="L824" s="6">
        <v>0.69982722639201578</v>
      </c>
      <c r="M824" s="4" t="s">
        <v>19</v>
      </c>
      <c r="N824" s="5">
        <v>1</v>
      </c>
      <c r="O824" s="4">
        <v>1</v>
      </c>
    </row>
    <row r="825" spans="1:15" x14ac:dyDescent="0.3">
      <c r="A825" s="4">
        <v>275</v>
      </c>
      <c r="B825" s="4">
        <v>275000</v>
      </c>
      <c r="C825" s="4" t="s">
        <v>15</v>
      </c>
      <c r="D825" s="4" t="s">
        <v>161</v>
      </c>
      <c r="E825" s="4" t="s">
        <v>17</v>
      </c>
      <c r="F825" s="4" t="s">
        <v>18</v>
      </c>
      <c r="G825" s="5">
        <v>0.6333333333333333</v>
      </c>
      <c r="H825" s="5">
        <v>0.4</v>
      </c>
      <c r="I825" s="5">
        <v>0.05</v>
      </c>
      <c r="J825" s="6">
        <v>0.5901639344262295</v>
      </c>
      <c r="K825" s="6">
        <v>0.84083333333333354</v>
      </c>
      <c r="L825" s="6">
        <v>0.80424167884752118</v>
      </c>
      <c r="M825" s="4" t="s">
        <v>19</v>
      </c>
      <c r="N825" s="5">
        <v>1</v>
      </c>
      <c r="O825" s="4">
        <v>1</v>
      </c>
    </row>
    <row r="826" spans="1:15" x14ac:dyDescent="0.3">
      <c r="A826" s="4">
        <v>275</v>
      </c>
      <c r="B826" s="4">
        <v>275000</v>
      </c>
      <c r="C826" s="4" t="s">
        <v>15</v>
      </c>
      <c r="D826" s="4" t="s">
        <v>162</v>
      </c>
      <c r="E826" s="4" t="s">
        <v>17</v>
      </c>
      <c r="F826" s="4" t="s">
        <v>18</v>
      </c>
      <c r="G826" s="5">
        <v>0.81111111111111112</v>
      </c>
      <c r="H826" s="5">
        <v>0.4</v>
      </c>
      <c r="I826" s="5">
        <v>0.05</v>
      </c>
      <c r="J826" s="6">
        <v>0.52459016393442626</v>
      </c>
      <c r="K826" s="6">
        <v>0.85812500000000003</v>
      </c>
      <c r="L826" s="6">
        <v>0.78094184990454596</v>
      </c>
      <c r="M826" s="4" t="s">
        <v>19</v>
      </c>
      <c r="N826" s="5">
        <v>1</v>
      </c>
      <c r="O826" s="4">
        <v>1</v>
      </c>
    </row>
    <row r="827" spans="1:15" x14ac:dyDescent="0.3">
      <c r="A827" s="4">
        <v>276</v>
      </c>
      <c r="B827" s="4">
        <v>276000</v>
      </c>
      <c r="C827" s="4" t="s">
        <v>15</v>
      </c>
      <c r="D827" s="4" t="s">
        <v>16</v>
      </c>
      <c r="E827" s="4" t="s">
        <v>17</v>
      </c>
      <c r="F827" s="4" t="s">
        <v>18</v>
      </c>
      <c r="G827" s="5">
        <v>0.1</v>
      </c>
      <c r="H827" s="5">
        <v>0.4</v>
      </c>
      <c r="I827" s="5">
        <v>0.05</v>
      </c>
      <c r="J827" s="6">
        <v>0.69696969696969702</v>
      </c>
      <c r="K827" s="6">
        <v>0.76630434782608714</v>
      </c>
      <c r="L827" s="6">
        <v>0.69526431996919935</v>
      </c>
      <c r="M827" s="4" t="s">
        <v>99</v>
      </c>
      <c r="N827" s="5">
        <v>0.1027100702708057</v>
      </c>
      <c r="O827" s="4">
        <v>0</v>
      </c>
    </row>
    <row r="828" spans="1:15" x14ac:dyDescent="0.3">
      <c r="A828" s="4">
        <v>276</v>
      </c>
      <c r="B828" s="4">
        <v>276000</v>
      </c>
      <c r="C828" s="4" t="s">
        <v>15</v>
      </c>
      <c r="D828" s="4" t="s">
        <v>161</v>
      </c>
      <c r="E828" s="4" t="s">
        <v>17</v>
      </c>
      <c r="F828" s="4" t="s">
        <v>18</v>
      </c>
      <c r="G828" s="5">
        <v>0.6333333333333333</v>
      </c>
      <c r="H828" s="5">
        <v>0.4</v>
      </c>
      <c r="I828" s="5">
        <v>0.05</v>
      </c>
      <c r="J828" s="6">
        <v>0.5757575757575758</v>
      </c>
      <c r="K828" s="6">
        <v>0.82947368421052636</v>
      </c>
      <c r="L828" s="6">
        <v>0.76513471053695181</v>
      </c>
      <c r="M828" s="4" t="s">
        <v>99</v>
      </c>
      <c r="N828" s="5">
        <v>0.1027100702708057</v>
      </c>
      <c r="O828" s="4">
        <v>0</v>
      </c>
    </row>
    <row r="829" spans="1:15" x14ac:dyDescent="0.3">
      <c r="A829" s="4">
        <v>276</v>
      </c>
      <c r="B829" s="4">
        <v>276000</v>
      </c>
      <c r="C829" s="4" t="s">
        <v>15</v>
      </c>
      <c r="D829" s="4" t="s">
        <v>162</v>
      </c>
      <c r="E829" s="4" t="s">
        <v>17</v>
      </c>
      <c r="F829" s="4" t="s">
        <v>18</v>
      </c>
      <c r="G829" s="5">
        <v>0.81111111111111112</v>
      </c>
      <c r="H829" s="5">
        <v>0.4</v>
      </c>
      <c r="I829" s="5">
        <v>0.05</v>
      </c>
      <c r="J829" s="6">
        <v>0.46969696969696972</v>
      </c>
      <c r="K829" s="6">
        <v>0.85709677419354824</v>
      </c>
      <c r="L829" s="6">
        <v>0.78223104290517609</v>
      </c>
      <c r="M829" s="4" t="s">
        <v>99</v>
      </c>
      <c r="N829" s="5">
        <v>0.1027100702708057</v>
      </c>
      <c r="O829" s="4">
        <v>0</v>
      </c>
    </row>
    <row r="830" spans="1:15" x14ac:dyDescent="0.3">
      <c r="A830" s="4">
        <v>277</v>
      </c>
      <c r="B830" s="4">
        <v>277000</v>
      </c>
      <c r="C830" s="4" t="s">
        <v>15</v>
      </c>
      <c r="D830" s="4" t="s">
        <v>16</v>
      </c>
      <c r="E830" s="4" t="s">
        <v>17</v>
      </c>
      <c r="F830" s="4" t="s">
        <v>18</v>
      </c>
      <c r="G830" s="5">
        <v>0.1</v>
      </c>
      <c r="H830" s="5">
        <v>0.4</v>
      </c>
      <c r="I830" s="5">
        <v>0.05</v>
      </c>
      <c r="J830" s="6">
        <v>0.73333333333333328</v>
      </c>
      <c r="K830" s="6">
        <v>0.77068181818181813</v>
      </c>
      <c r="L830" s="6">
        <v>0.69947235885655967</v>
      </c>
      <c r="M830" s="4" t="s">
        <v>30</v>
      </c>
      <c r="N830" s="5">
        <v>0.14202690732339129</v>
      </c>
      <c r="O830" s="4">
        <v>0</v>
      </c>
    </row>
    <row r="831" spans="1:15" x14ac:dyDescent="0.3">
      <c r="A831" s="4">
        <v>277</v>
      </c>
      <c r="B831" s="4">
        <v>277000</v>
      </c>
      <c r="C831" s="4" t="s">
        <v>15</v>
      </c>
      <c r="D831" s="4" t="s">
        <v>161</v>
      </c>
      <c r="E831" s="4" t="s">
        <v>17</v>
      </c>
      <c r="F831" s="4" t="s">
        <v>18</v>
      </c>
      <c r="G831" s="5">
        <v>0.6333333333333333</v>
      </c>
      <c r="H831" s="5">
        <v>0.4</v>
      </c>
      <c r="I831" s="5">
        <v>0.05</v>
      </c>
      <c r="J831" s="6">
        <v>0.6166666666666667</v>
      </c>
      <c r="K831" s="6">
        <v>0.82189189189189171</v>
      </c>
      <c r="L831" s="6">
        <v>0.76497515029777119</v>
      </c>
      <c r="M831" s="4" t="s">
        <v>30</v>
      </c>
      <c r="N831" s="5">
        <v>0.14202690732339129</v>
      </c>
      <c r="O831" s="4">
        <v>0</v>
      </c>
    </row>
    <row r="832" spans="1:15" x14ac:dyDescent="0.3">
      <c r="A832" s="4">
        <v>277</v>
      </c>
      <c r="B832" s="4">
        <v>277000</v>
      </c>
      <c r="C832" s="4" t="s">
        <v>15</v>
      </c>
      <c r="D832" s="4" t="s">
        <v>162</v>
      </c>
      <c r="E832" s="4" t="s">
        <v>17</v>
      </c>
      <c r="F832" s="4" t="s">
        <v>18</v>
      </c>
      <c r="G832" s="5">
        <v>0.81111111111111112</v>
      </c>
      <c r="H832" s="5">
        <v>0.4</v>
      </c>
      <c r="I832" s="5">
        <v>0.05</v>
      </c>
      <c r="J832" s="6">
        <v>0.55000000000000004</v>
      </c>
      <c r="K832" s="6">
        <v>0.8336363636363634</v>
      </c>
      <c r="L832" s="6">
        <v>0.79151103240584764</v>
      </c>
      <c r="M832" s="4" t="s">
        <v>30</v>
      </c>
      <c r="N832" s="5">
        <v>0.14202690732339129</v>
      </c>
      <c r="O832" s="4">
        <v>0</v>
      </c>
    </row>
    <row r="833" spans="1:15" x14ac:dyDescent="0.3">
      <c r="A833" s="4">
        <v>278</v>
      </c>
      <c r="B833" s="4">
        <v>278000</v>
      </c>
      <c r="C833" s="4" t="s">
        <v>15</v>
      </c>
      <c r="D833" s="4" t="s">
        <v>16</v>
      </c>
      <c r="E833" s="4" t="s">
        <v>17</v>
      </c>
      <c r="F833" s="4" t="s">
        <v>18</v>
      </c>
      <c r="G833" s="5">
        <v>0.1</v>
      </c>
      <c r="H833" s="5">
        <v>0.4</v>
      </c>
      <c r="I833" s="5">
        <v>0.05</v>
      </c>
      <c r="J833" s="6">
        <v>0.73015873015873012</v>
      </c>
      <c r="K833" s="6">
        <v>0.76369565217391322</v>
      </c>
      <c r="L833" s="6">
        <v>0.6265214372283584</v>
      </c>
      <c r="M833" s="4" t="s">
        <v>41</v>
      </c>
      <c r="N833" s="5">
        <v>0.15563048673280039</v>
      </c>
      <c r="O833" s="4">
        <v>1</v>
      </c>
    </row>
    <row r="834" spans="1:15" x14ac:dyDescent="0.3">
      <c r="A834" s="4">
        <v>278</v>
      </c>
      <c r="B834" s="4">
        <v>278000</v>
      </c>
      <c r="C834" s="4" t="s">
        <v>15</v>
      </c>
      <c r="D834" s="4" t="s">
        <v>161</v>
      </c>
      <c r="E834" s="4" t="s">
        <v>17</v>
      </c>
      <c r="F834" s="4" t="s">
        <v>18</v>
      </c>
      <c r="G834" s="5">
        <v>0.72222222222222221</v>
      </c>
      <c r="H834" s="5">
        <v>0.60000000000000009</v>
      </c>
      <c r="I834" s="5">
        <v>0.05</v>
      </c>
      <c r="J834" s="6">
        <v>0.55555555555555558</v>
      </c>
      <c r="K834" s="6">
        <v>0.85628571428571421</v>
      </c>
      <c r="L834" s="6">
        <v>0.79041243400991212</v>
      </c>
      <c r="M834" s="4" t="s">
        <v>41</v>
      </c>
      <c r="N834" s="5">
        <v>0.15563048673280039</v>
      </c>
      <c r="O834" s="4">
        <v>1</v>
      </c>
    </row>
    <row r="835" spans="1:15" x14ac:dyDescent="0.3">
      <c r="A835" s="4">
        <v>278</v>
      </c>
      <c r="B835" s="4">
        <v>278000</v>
      </c>
      <c r="C835" s="4" t="s">
        <v>15</v>
      </c>
      <c r="D835" s="4" t="s">
        <v>162</v>
      </c>
      <c r="E835" s="4" t="s">
        <v>17</v>
      </c>
      <c r="F835" s="4" t="s">
        <v>18</v>
      </c>
      <c r="G835" s="5">
        <v>0.9</v>
      </c>
      <c r="H835" s="5">
        <v>0.60000000000000009</v>
      </c>
      <c r="I835" s="5">
        <v>0.05</v>
      </c>
      <c r="J835" s="6">
        <v>0.46031746031746029</v>
      </c>
      <c r="K835" s="6">
        <v>0.86310344827586194</v>
      </c>
      <c r="L835" s="6">
        <v>0.72522916324755171</v>
      </c>
      <c r="M835" s="4" t="s">
        <v>41</v>
      </c>
      <c r="N835" s="5">
        <v>0.15563048673280039</v>
      </c>
      <c r="O835" s="4">
        <v>1</v>
      </c>
    </row>
    <row r="836" spans="1:15" x14ac:dyDescent="0.3">
      <c r="A836" s="4">
        <v>279</v>
      </c>
      <c r="B836" s="4">
        <v>279000</v>
      </c>
      <c r="C836" s="4" t="s">
        <v>15</v>
      </c>
      <c r="D836" s="4" t="s">
        <v>16</v>
      </c>
      <c r="E836" s="4" t="s">
        <v>17</v>
      </c>
      <c r="F836" s="4" t="s">
        <v>18</v>
      </c>
      <c r="G836" s="5">
        <v>0.1</v>
      </c>
      <c r="H836" s="5">
        <v>0.4</v>
      </c>
      <c r="I836" s="5">
        <v>0.05</v>
      </c>
      <c r="J836" s="6">
        <v>0.77777777777777779</v>
      </c>
      <c r="K836" s="6">
        <v>0.75795918367346959</v>
      </c>
      <c r="L836" s="6">
        <v>0.64681939146096612</v>
      </c>
      <c r="M836" s="4" t="s">
        <v>128</v>
      </c>
      <c r="N836" s="5">
        <v>7.0577396874834691E-2</v>
      </c>
      <c r="O836" s="4">
        <v>0</v>
      </c>
    </row>
    <row r="837" spans="1:15" x14ac:dyDescent="0.3">
      <c r="A837" s="4">
        <v>279</v>
      </c>
      <c r="B837" s="4">
        <v>279000</v>
      </c>
      <c r="C837" s="4" t="s">
        <v>15</v>
      </c>
      <c r="D837" s="4" t="s">
        <v>161</v>
      </c>
      <c r="E837" s="4" t="s">
        <v>17</v>
      </c>
      <c r="F837" s="4" t="s">
        <v>18</v>
      </c>
      <c r="G837" s="5">
        <v>0.72222222222222221</v>
      </c>
      <c r="H837" s="5">
        <v>0.60000000000000009</v>
      </c>
      <c r="I837" s="5">
        <v>0.05</v>
      </c>
      <c r="J837" s="6">
        <v>0.55555555555555558</v>
      </c>
      <c r="K837" s="6">
        <v>0.85571428571428554</v>
      </c>
      <c r="L837" s="6">
        <v>0.78376989759528537</v>
      </c>
      <c r="M837" s="4" t="s">
        <v>128</v>
      </c>
      <c r="N837" s="5">
        <v>7.0577396874834691E-2</v>
      </c>
      <c r="O837" s="4">
        <v>0</v>
      </c>
    </row>
    <row r="838" spans="1:15" x14ac:dyDescent="0.3">
      <c r="A838" s="4">
        <v>279</v>
      </c>
      <c r="B838" s="4">
        <v>279000</v>
      </c>
      <c r="C838" s="4" t="s">
        <v>15</v>
      </c>
      <c r="D838" s="4" t="s">
        <v>162</v>
      </c>
      <c r="E838" s="4" t="s">
        <v>17</v>
      </c>
      <c r="F838" s="4" t="s">
        <v>18</v>
      </c>
      <c r="G838" s="5">
        <v>0.9</v>
      </c>
      <c r="H838" s="5">
        <v>0.60000000000000009</v>
      </c>
      <c r="I838" s="5">
        <v>0.05</v>
      </c>
      <c r="J838" s="6">
        <v>0.46031746031746029</v>
      </c>
      <c r="K838" s="6">
        <v>0.86448275862068968</v>
      </c>
      <c r="L838" s="6">
        <v>0.76997646364006112</v>
      </c>
      <c r="M838" s="4" t="s">
        <v>128</v>
      </c>
      <c r="N838" s="5">
        <v>7.0577396874834691E-2</v>
      </c>
      <c r="O838" s="4">
        <v>0</v>
      </c>
    </row>
    <row r="839" spans="1:15" x14ac:dyDescent="0.3">
      <c r="A839" s="4">
        <v>280</v>
      </c>
      <c r="B839" s="4">
        <v>280000</v>
      </c>
      <c r="C839" s="4" t="s">
        <v>15</v>
      </c>
      <c r="D839" s="4" t="s">
        <v>16</v>
      </c>
      <c r="E839" s="4" t="s">
        <v>17</v>
      </c>
      <c r="F839" s="4" t="s">
        <v>18</v>
      </c>
      <c r="G839" s="5">
        <v>0.1</v>
      </c>
      <c r="H839" s="5">
        <v>0.4</v>
      </c>
      <c r="I839" s="5">
        <v>0.05</v>
      </c>
      <c r="J839" s="6">
        <v>0.78688524590163933</v>
      </c>
      <c r="K839" s="6">
        <v>0.74125000000000008</v>
      </c>
      <c r="L839" s="6">
        <v>0.59795820274272848</v>
      </c>
      <c r="M839" s="4" t="s">
        <v>129</v>
      </c>
      <c r="N839" s="5">
        <v>9.6650054120026724E-2</v>
      </c>
      <c r="O839" s="4">
        <v>0</v>
      </c>
    </row>
    <row r="840" spans="1:15" x14ac:dyDescent="0.3">
      <c r="A840" s="4">
        <v>280</v>
      </c>
      <c r="B840" s="4">
        <v>280000</v>
      </c>
      <c r="C840" s="4" t="s">
        <v>15</v>
      </c>
      <c r="D840" s="4" t="s">
        <v>161</v>
      </c>
      <c r="E840" s="4" t="s">
        <v>17</v>
      </c>
      <c r="F840" s="4" t="s">
        <v>18</v>
      </c>
      <c r="G840" s="5">
        <v>0.72222222222222221</v>
      </c>
      <c r="H840" s="5">
        <v>0.60000000000000009</v>
      </c>
      <c r="I840" s="5">
        <v>0.05</v>
      </c>
      <c r="J840" s="6">
        <v>0.52459016393442626</v>
      </c>
      <c r="K840" s="6">
        <v>0.85187499999999972</v>
      </c>
      <c r="L840" s="6">
        <v>0.73402996351875172</v>
      </c>
      <c r="M840" s="4" t="s">
        <v>129</v>
      </c>
      <c r="N840" s="5">
        <v>9.6650054120026724E-2</v>
      </c>
      <c r="O840" s="4">
        <v>0</v>
      </c>
    </row>
    <row r="841" spans="1:15" x14ac:dyDescent="0.3">
      <c r="A841" s="4">
        <v>280</v>
      </c>
      <c r="B841" s="4">
        <v>280000</v>
      </c>
      <c r="C841" s="4" t="s">
        <v>15</v>
      </c>
      <c r="D841" s="4" t="s">
        <v>162</v>
      </c>
      <c r="E841" s="4" t="s">
        <v>17</v>
      </c>
      <c r="F841" s="4" t="s">
        <v>18</v>
      </c>
      <c r="G841" s="5">
        <v>0.9</v>
      </c>
      <c r="H841" s="5">
        <v>0.60000000000000009</v>
      </c>
      <c r="I841" s="5">
        <v>0.05</v>
      </c>
      <c r="J841" s="6">
        <v>0.44262295081967212</v>
      </c>
      <c r="K841" s="6">
        <v>0.8574074074074074</v>
      </c>
      <c r="L841" s="6">
        <v>0.68078278325896213</v>
      </c>
      <c r="M841" s="4" t="s">
        <v>129</v>
      </c>
      <c r="N841" s="5">
        <v>9.6650054120026724E-2</v>
      </c>
      <c r="O841" s="4">
        <v>0</v>
      </c>
    </row>
    <row r="842" spans="1:15" x14ac:dyDescent="0.3">
      <c r="A842" s="4">
        <v>281</v>
      </c>
      <c r="B842" s="4">
        <v>281000</v>
      </c>
      <c r="C842" s="4" t="s">
        <v>15</v>
      </c>
      <c r="D842" s="4" t="s">
        <v>16</v>
      </c>
      <c r="E842" s="4" t="s">
        <v>17</v>
      </c>
      <c r="F842" s="4" t="s">
        <v>18</v>
      </c>
      <c r="G842" s="5">
        <v>0.1</v>
      </c>
      <c r="H842" s="5">
        <v>0.4</v>
      </c>
      <c r="I842" s="5">
        <v>0.05</v>
      </c>
      <c r="J842" s="6">
        <v>0.75409836065573765</v>
      </c>
      <c r="K842" s="6">
        <v>0.77826086956521745</v>
      </c>
      <c r="L842" s="6">
        <v>0.60268938511692938</v>
      </c>
      <c r="M842" s="4" t="s">
        <v>42</v>
      </c>
      <c r="N842" s="5">
        <v>0.12854379463839891</v>
      </c>
      <c r="O842" s="4">
        <v>0</v>
      </c>
    </row>
    <row r="843" spans="1:15" x14ac:dyDescent="0.3">
      <c r="A843" s="4">
        <v>281</v>
      </c>
      <c r="B843" s="4">
        <v>281000</v>
      </c>
      <c r="C843" s="4" t="s">
        <v>15</v>
      </c>
      <c r="D843" s="4" t="s">
        <v>161</v>
      </c>
      <c r="E843" s="4" t="s">
        <v>17</v>
      </c>
      <c r="F843" s="4" t="s">
        <v>18</v>
      </c>
      <c r="G843" s="5">
        <v>0.72222222222222221</v>
      </c>
      <c r="H843" s="5">
        <v>0.60000000000000009</v>
      </c>
      <c r="I843" s="5">
        <v>0.05</v>
      </c>
      <c r="J843" s="6">
        <v>0.55737704918032782</v>
      </c>
      <c r="K843" s="6">
        <v>0.84647058823529386</v>
      </c>
      <c r="L843" s="6">
        <v>0.69738477322264658</v>
      </c>
      <c r="M843" s="4" t="s">
        <v>42</v>
      </c>
      <c r="N843" s="5">
        <v>0.12854379463839891</v>
      </c>
      <c r="O843" s="4">
        <v>0</v>
      </c>
    </row>
    <row r="844" spans="1:15" x14ac:dyDescent="0.3">
      <c r="A844" s="4">
        <v>281</v>
      </c>
      <c r="B844" s="4">
        <v>281000</v>
      </c>
      <c r="C844" s="4" t="s">
        <v>15</v>
      </c>
      <c r="D844" s="4" t="s">
        <v>162</v>
      </c>
      <c r="E844" s="4" t="s">
        <v>17</v>
      </c>
      <c r="F844" s="4" t="s">
        <v>18</v>
      </c>
      <c r="G844" s="5">
        <v>0.9</v>
      </c>
      <c r="H844" s="5">
        <v>0.60000000000000009</v>
      </c>
      <c r="I844" s="5">
        <v>0.05</v>
      </c>
      <c r="J844" s="6">
        <v>0.44262295081967212</v>
      </c>
      <c r="K844" s="6">
        <v>0.85777777777777742</v>
      </c>
      <c r="L844" s="6">
        <v>0.67358355707793705</v>
      </c>
      <c r="M844" s="4" t="s">
        <v>42</v>
      </c>
      <c r="N844" s="5">
        <v>0.12854379463839891</v>
      </c>
      <c r="O844" s="4">
        <v>0</v>
      </c>
    </row>
    <row r="845" spans="1:15" x14ac:dyDescent="0.3">
      <c r="A845" s="4">
        <v>282</v>
      </c>
      <c r="B845" s="4">
        <v>282000</v>
      </c>
      <c r="C845" s="4" t="s">
        <v>15</v>
      </c>
      <c r="D845" s="4" t="s">
        <v>16</v>
      </c>
      <c r="E845" s="4" t="s">
        <v>17</v>
      </c>
      <c r="F845" s="4" t="s">
        <v>18</v>
      </c>
      <c r="G845" s="5">
        <v>0.1</v>
      </c>
      <c r="H845" s="5">
        <v>0.4</v>
      </c>
      <c r="I845" s="5">
        <v>0.05</v>
      </c>
      <c r="J845" s="6">
        <v>0.73770491803278693</v>
      </c>
      <c r="K845" s="6">
        <v>0.7891111111111111</v>
      </c>
      <c r="L845" s="6">
        <v>0.59040184567738752</v>
      </c>
      <c r="M845" s="4" t="s">
        <v>114</v>
      </c>
      <c r="N845" s="5">
        <v>0.24287696963844679</v>
      </c>
      <c r="O845" s="4">
        <v>1</v>
      </c>
    </row>
    <row r="846" spans="1:15" x14ac:dyDescent="0.3">
      <c r="A846" s="4">
        <v>282</v>
      </c>
      <c r="B846" s="4">
        <v>282000</v>
      </c>
      <c r="C846" s="4" t="s">
        <v>15</v>
      </c>
      <c r="D846" s="4" t="s">
        <v>161</v>
      </c>
      <c r="E846" s="4" t="s">
        <v>17</v>
      </c>
      <c r="F846" s="4" t="s">
        <v>18</v>
      </c>
      <c r="G846" s="5">
        <v>0.6333333333333333</v>
      </c>
      <c r="H846" s="5">
        <v>0.4</v>
      </c>
      <c r="I846" s="5">
        <v>0.05</v>
      </c>
      <c r="J846" s="6">
        <v>0.67213114754098358</v>
      </c>
      <c r="K846" s="6">
        <v>0.81463414634146336</v>
      </c>
      <c r="L846" s="6">
        <v>0.82452882980437148</v>
      </c>
      <c r="M846" s="4" t="s">
        <v>114</v>
      </c>
      <c r="N846" s="5">
        <v>0.24287696963844679</v>
      </c>
      <c r="O846" s="4">
        <v>1</v>
      </c>
    </row>
    <row r="847" spans="1:15" x14ac:dyDescent="0.3">
      <c r="A847" s="4">
        <v>282</v>
      </c>
      <c r="B847" s="4">
        <v>282000</v>
      </c>
      <c r="C847" s="4" t="s">
        <v>15</v>
      </c>
      <c r="D847" s="4" t="s">
        <v>162</v>
      </c>
      <c r="E847" s="4" t="s">
        <v>17</v>
      </c>
      <c r="F847" s="4" t="s">
        <v>18</v>
      </c>
      <c r="G847" s="5">
        <v>0.9</v>
      </c>
      <c r="H847" s="5">
        <v>0.4</v>
      </c>
      <c r="I847" s="5">
        <v>0.05</v>
      </c>
      <c r="J847" s="6">
        <v>0.4098360655737705</v>
      </c>
      <c r="K847" s="6">
        <v>0.85559999999999992</v>
      </c>
      <c r="L847" s="6">
        <v>0.66388400042081186</v>
      </c>
      <c r="M847" s="4" t="s">
        <v>114</v>
      </c>
      <c r="N847" s="5">
        <v>0.24287696963844679</v>
      </c>
      <c r="O847" s="4">
        <v>1</v>
      </c>
    </row>
    <row r="848" spans="1:15" x14ac:dyDescent="0.3">
      <c r="A848" s="4">
        <v>283</v>
      </c>
      <c r="B848" s="4">
        <v>283000</v>
      </c>
      <c r="C848" s="4" t="s">
        <v>15</v>
      </c>
      <c r="D848" s="4" t="s">
        <v>16</v>
      </c>
      <c r="E848" s="4" t="s">
        <v>17</v>
      </c>
      <c r="F848" s="4" t="s">
        <v>18</v>
      </c>
      <c r="G848" s="5">
        <v>0.1</v>
      </c>
      <c r="H848" s="5">
        <v>0.4</v>
      </c>
      <c r="I848" s="5">
        <v>0.05</v>
      </c>
      <c r="J848" s="6">
        <v>0.73333333333333328</v>
      </c>
      <c r="K848" s="6">
        <v>0.78545454545454552</v>
      </c>
      <c r="L848" s="6">
        <v>0.6412945652635138</v>
      </c>
      <c r="M848" s="4" t="s">
        <v>83</v>
      </c>
      <c r="N848" s="5">
        <v>0.15685760416756531</v>
      </c>
      <c r="O848" s="4">
        <v>1</v>
      </c>
    </row>
    <row r="849" spans="1:15" x14ac:dyDescent="0.3">
      <c r="A849" s="4">
        <v>283</v>
      </c>
      <c r="B849" s="4">
        <v>283000</v>
      </c>
      <c r="C849" s="4" t="s">
        <v>15</v>
      </c>
      <c r="D849" s="4" t="s">
        <v>161</v>
      </c>
      <c r="E849" s="4" t="s">
        <v>17</v>
      </c>
      <c r="F849" s="4" t="s">
        <v>18</v>
      </c>
      <c r="G849" s="5">
        <v>0.81111111111111112</v>
      </c>
      <c r="H849" s="5">
        <v>0.4</v>
      </c>
      <c r="I849" s="5">
        <v>0.05</v>
      </c>
      <c r="J849" s="6">
        <v>0.5</v>
      </c>
      <c r="K849" s="6">
        <v>0.86466666666666681</v>
      </c>
      <c r="L849" s="6">
        <v>0.75966594084683758</v>
      </c>
      <c r="M849" s="4" t="s">
        <v>83</v>
      </c>
      <c r="N849" s="5">
        <v>0.15685760416756531</v>
      </c>
      <c r="O849" s="4">
        <v>1</v>
      </c>
    </row>
    <row r="850" spans="1:15" x14ac:dyDescent="0.3">
      <c r="A850" s="4">
        <v>283</v>
      </c>
      <c r="B850" s="4">
        <v>283000</v>
      </c>
      <c r="C850" s="4" t="s">
        <v>15</v>
      </c>
      <c r="D850" s="4" t="s">
        <v>162</v>
      </c>
      <c r="E850" s="4" t="s">
        <v>17</v>
      </c>
      <c r="F850" s="4" t="s">
        <v>18</v>
      </c>
      <c r="G850" s="5">
        <v>0.81111111111111112</v>
      </c>
      <c r="H850" s="5">
        <v>0.4</v>
      </c>
      <c r="I850" s="5">
        <v>0.05</v>
      </c>
      <c r="J850" s="6">
        <v>0.5</v>
      </c>
      <c r="K850" s="6">
        <v>0.86466666666666681</v>
      </c>
      <c r="L850" s="6">
        <v>0.75966594084683758</v>
      </c>
      <c r="M850" s="4" t="s">
        <v>83</v>
      </c>
      <c r="N850" s="5">
        <v>0.15685760416756531</v>
      </c>
      <c r="O850" s="4">
        <v>1</v>
      </c>
    </row>
    <row r="851" spans="1:15" x14ac:dyDescent="0.3">
      <c r="A851" s="4">
        <v>284</v>
      </c>
      <c r="B851" s="4">
        <v>284000</v>
      </c>
      <c r="C851" s="4" t="s">
        <v>15</v>
      </c>
      <c r="D851" s="4" t="s">
        <v>16</v>
      </c>
      <c r="E851" s="4" t="s">
        <v>17</v>
      </c>
      <c r="F851" s="4" t="s">
        <v>18</v>
      </c>
      <c r="G851" s="5">
        <v>0.1</v>
      </c>
      <c r="H851" s="5">
        <v>0.4</v>
      </c>
      <c r="I851" s="5">
        <v>0.05</v>
      </c>
      <c r="J851" s="6">
        <v>0.68656716417910446</v>
      </c>
      <c r="K851" s="6">
        <v>0.73543478260869566</v>
      </c>
      <c r="L851" s="6">
        <v>0.7843526625254793</v>
      </c>
      <c r="M851" s="4" t="s">
        <v>71</v>
      </c>
      <c r="N851" s="5">
        <v>0.1395244204360295</v>
      </c>
      <c r="O851" s="4">
        <v>0</v>
      </c>
    </row>
    <row r="852" spans="1:15" x14ac:dyDescent="0.3">
      <c r="A852" s="4">
        <v>284</v>
      </c>
      <c r="B852" s="4">
        <v>284000</v>
      </c>
      <c r="C852" s="4" t="s">
        <v>15</v>
      </c>
      <c r="D852" s="4" t="s">
        <v>161</v>
      </c>
      <c r="E852" s="4" t="s">
        <v>17</v>
      </c>
      <c r="F852" s="4" t="s">
        <v>18</v>
      </c>
      <c r="G852" s="5">
        <v>0.81111111111111112</v>
      </c>
      <c r="H852" s="5">
        <v>0.4</v>
      </c>
      <c r="I852" s="5">
        <v>0.05</v>
      </c>
      <c r="J852" s="6">
        <v>0.43283582089552242</v>
      </c>
      <c r="K852" s="6">
        <v>0.82655172413793088</v>
      </c>
      <c r="L852" s="6">
        <v>0.71582018798965519</v>
      </c>
      <c r="M852" s="4" t="s">
        <v>71</v>
      </c>
      <c r="N852" s="5">
        <v>0.1395244204360295</v>
      </c>
      <c r="O852" s="4">
        <v>0</v>
      </c>
    </row>
    <row r="853" spans="1:15" x14ac:dyDescent="0.3">
      <c r="A853" s="4">
        <v>284</v>
      </c>
      <c r="B853" s="4">
        <v>284000</v>
      </c>
      <c r="C853" s="4" t="s">
        <v>15</v>
      </c>
      <c r="D853" s="4" t="s">
        <v>162</v>
      </c>
      <c r="E853" s="4" t="s">
        <v>17</v>
      </c>
      <c r="F853" s="4" t="s">
        <v>18</v>
      </c>
      <c r="G853" s="5">
        <v>0.81111111111111112</v>
      </c>
      <c r="H853" s="5">
        <v>0.4</v>
      </c>
      <c r="I853" s="5">
        <v>0.05</v>
      </c>
      <c r="J853" s="6">
        <v>0.43283582089552242</v>
      </c>
      <c r="K853" s="6">
        <v>0.82655172413793088</v>
      </c>
      <c r="L853" s="6">
        <v>0.71582018798965519</v>
      </c>
      <c r="M853" s="4" t="s">
        <v>71</v>
      </c>
      <c r="N853" s="5">
        <v>0.1395244204360295</v>
      </c>
      <c r="O853" s="4">
        <v>0</v>
      </c>
    </row>
    <row r="854" spans="1:15" x14ac:dyDescent="0.3">
      <c r="A854" s="4">
        <v>285</v>
      </c>
      <c r="B854" s="4">
        <v>285000</v>
      </c>
      <c r="C854" s="4" t="s">
        <v>15</v>
      </c>
      <c r="D854" s="4" t="s">
        <v>16</v>
      </c>
      <c r="E854" s="4" t="s">
        <v>17</v>
      </c>
      <c r="F854" s="4" t="s">
        <v>18</v>
      </c>
      <c r="G854" s="5">
        <v>0.1</v>
      </c>
      <c r="H854" s="5">
        <v>0.4</v>
      </c>
      <c r="I854" s="5">
        <v>0.05</v>
      </c>
      <c r="J854" s="6">
        <v>0.69117647058823528</v>
      </c>
      <c r="K854" s="6">
        <v>0.73978723404255331</v>
      </c>
      <c r="L854" s="6">
        <v>0.69521085326417043</v>
      </c>
      <c r="M854" s="4" t="s">
        <v>130</v>
      </c>
      <c r="N854" s="5">
        <v>0.22163577649684171</v>
      </c>
      <c r="O854" s="4">
        <v>1</v>
      </c>
    </row>
    <row r="855" spans="1:15" x14ac:dyDescent="0.3">
      <c r="A855" s="4">
        <v>285</v>
      </c>
      <c r="B855" s="4">
        <v>285000</v>
      </c>
      <c r="C855" s="4" t="s">
        <v>15</v>
      </c>
      <c r="D855" s="4" t="s">
        <v>161</v>
      </c>
      <c r="E855" s="4" t="s">
        <v>17</v>
      </c>
      <c r="F855" s="4" t="s">
        <v>18</v>
      </c>
      <c r="G855" s="5">
        <v>0.6333333333333333</v>
      </c>
      <c r="H855" s="5">
        <v>0.60000000000000009</v>
      </c>
      <c r="I855" s="5">
        <v>0.05</v>
      </c>
      <c r="J855" s="6">
        <v>0.54411764705882348</v>
      </c>
      <c r="K855" s="6">
        <v>0.82459459459459461</v>
      </c>
      <c r="L855" s="6">
        <v>0.79281468459601023</v>
      </c>
      <c r="M855" s="4" t="s">
        <v>130</v>
      </c>
      <c r="N855" s="5">
        <v>0.22163577649684171</v>
      </c>
      <c r="O855" s="4">
        <v>1</v>
      </c>
    </row>
    <row r="856" spans="1:15" x14ac:dyDescent="0.3">
      <c r="A856" s="4">
        <v>285</v>
      </c>
      <c r="B856" s="4">
        <v>285000</v>
      </c>
      <c r="C856" s="4" t="s">
        <v>15</v>
      </c>
      <c r="D856" s="4" t="s">
        <v>162</v>
      </c>
      <c r="E856" s="4" t="s">
        <v>17</v>
      </c>
      <c r="F856" s="4" t="s">
        <v>18</v>
      </c>
      <c r="G856" s="5">
        <v>0.9</v>
      </c>
      <c r="H856" s="5">
        <v>0.60000000000000009</v>
      </c>
      <c r="I856" s="5">
        <v>0.05</v>
      </c>
      <c r="J856" s="6">
        <v>0.36764705882352938</v>
      </c>
      <c r="K856" s="6">
        <v>0.85439999999999983</v>
      </c>
      <c r="L856" s="6">
        <v>0.66037988183727003</v>
      </c>
      <c r="M856" s="4" t="s">
        <v>130</v>
      </c>
      <c r="N856" s="5">
        <v>0.22163577649684171</v>
      </c>
      <c r="O856" s="4">
        <v>1</v>
      </c>
    </row>
    <row r="857" spans="1:15" x14ac:dyDescent="0.3">
      <c r="A857" s="4">
        <v>286</v>
      </c>
      <c r="B857" s="4">
        <v>286000</v>
      </c>
      <c r="C857" s="4" t="s">
        <v>15</v>
      </c>
      <c r="D857" s="4" t="s">
        <v>16</v>
      </c>
      <c r="E857" s="4" t="s">
        <v>17</v>
      </c>
      <c r="F857" s="4" t="s">
        <v>18</v>
      </c>
      <c r="G857" s="5">
        <v>0.1</v>
      </c>
      <c r="H857" s="5">
        <v>0.4</v>
      </c>
      <c r="I857" s="5">
        <v>0.05</v>
      </c>
      <c r="J857" s="6">
        <v>0.71875</v>
      </c>
      <c r="K857" s="6">
        <v>0.7239130434782608</v>
      </c>
      <c r="L857" s="6">
        <v>0.67279410265673001</v>
      </c>
      <c r="M857" s="4" t="s">
        <v>34</v>
      </c>
      <c r="N857" s="5">
        <v>0.1426981582013053</v>
      </c>
      <c r="O857" s="4">
        <v>0</v>
      </c>
    </row>
    <row r="858" spans="1:15" x14ac:dyDescent="0.3">
      <c r="A858" s="4">
        <v>286</v>
      </c>
      <c r="B858" s="4">
        <v>286000</v>
      </c>
      <c r="C858" s="4" t="s">
        <v>15</v>
      </c>
      <c r="D858" s="4" t="s">
        <v>161</v>
      </c>
      <c r="E858" s="4" t="s">
        <v>17</v>
      </c>
      <c r="F858" s="4" t="s">
        <v>18</v>
      </c>
      <c r="G858" s="5">
        <v>0.6333333333333333</v>
      </c>
      <c r="H858" s="5">
        <v>0.60000000000000009</v>
      </c>
      <c r="I858" s="5">
        <v>0.05</v>
      </c>
      <c r="J858" s="6">
        <v>0.546875</v>
      </c>
      <c r="K858" s="6">
        <v>0.83085714285714296</v>
      </c>
      <c r="L858" s="6">
        <v>0.79561840439086962</v>
      </c>
      <c r="M858" s="4" t="s">
        <v>34</v>
      </c>
      <c r="N858" s="5">
        <v>0.1426981582013053</v>
      </c>
      <c r="O858" s="4">
        <v>0</v>
      </c>
    </row>
    <row r="859" spans="1:15" x14ac:dyDescent="0.3">
      <c r="A859" s="4">
        <v>286</v>
      </c>
      <c r="B859" s="4">
        <v>286000</v>
      </c>
      <c r="C859" s="4" t="s">
        <v>15</v>
      </c>
      <c r="D859" s="4" t="s">
        <v>162</v>
      </c>
      <c r="E859" s="4" t="s">
        <v>17</v>
      </c>
      <c r="F859" s="4" t="s">
        <v>18</v>
      </c>
      <c r="G859" s="5">
        <v>0.9</v>
      </c>
      <c r="H859" s="5">
        <v>0.60000000000000009</v>
      </c>
      <c r="I859" s="5">
        <v>0.05</v>
      </c>
      <c r="J859" s="6">
        <v>0.375</v>
      </c>
      <c r="K859" s="6">
        <v>0.85041666666666649</v>
      </c>
      <c r="L859" s="6">
        <v>0.69786810431547397</v>
      </c>
      <c r="M859" s="4" t="s">
        <v>34</v>
      </c>
      <c r="N859" s="5">
        <v>0.1426981582013053</v>
      </c>
      <c r="O859" s="4">
        <v>0</v>
      </c>
    </row>
    <row r="860" spans="1:15" x14ac:dyDescent="0.3">
      <c r="A860" s="4">
        <v>287</v>
      </c>
      <c r="B860" s="4">
        <v>287000</v>
      </c>
      <c r="C860" s="4" t="s">
        <v>15</v>
      </c>
      <c r="D860" s="4" t="s">
        <v>16</v>
      </c>
      <c r="E860" s="4" t="s">
        <v>17</v>
      </c>
      <c r="F860" s="4" t="s">
        <v>18</v>
      </c>
      <c r="G860" s="5">
        <v>0.1</v>
      </c>
      <c r="H860" s="5">
        <v>0.4</v>
      </c>
      <c r="I860" s="5">
        <v>0.05</v>
      </c>
      <c r="J860" s="6">
        <v>0.66666666666666663</v>
      </c>
      <c r="K860" s="6">
        <v>0.79449999999999987</v>
      </c>
      <c r="L860" s="6">
        <v>0.75679357375067513</v>
      </c>
      <c r="M860" s="4" t="s">
        <v>81</v>
      </c>
      <c r="N860" s="5">
        <v>0.18094840340452761</v>
      </c>
      <c r="O860" s="4">
        <v>1</v>
      </c>
    </row>
    <row r="861" spans="1:15" x14ac:dyDescent="0.3">
      <c r="A861" s="4">
        <v>287</v>
      </c>
      <c r="B861" s="4">
        <v>287000</v>
      </c>
      <c r="C861" s="4" t="s">
        <v>15</v>
      </c>
      <c r="D861" s="4" t="s">
        <v>161</v>
      </c>
      <c r="E861" s="4" t="s">
        <v>17</v>
      </c>
      <c r="F861" s="4" t="s">
        <v>18</v>
      </c>
      <c r="G861" s="5">
        <v>0.1</v>
      </c>
      <c r="H861" s="5">
        <v>0.60000000000000009</v>
      </c>
      <c r="I861" s="5">
        <v>0.05</v>
      </c>
      <c r="J861" s="6">
        <v>0.65</v>
      </c>
      <c r="K861" s="6">
        <v>0.81487179487179473</v>
      </c>
      <c r="L861" s="6">
        <v>0.79770266465976614</v>
      </c>
      <c r="M861" s="4" t="s">
        <v>81</v>
      </c>
      <c r="N861" s="5">
        <v>0.18094840340452761</v>
      </c>
      <c r="O861" s="4">
        <v>1</v>
      </c>
    </row>
    <row r="862" spans="1:15" x14ac:dyDescent="0.3">
      <c r="A862" s="4">
        <v>287</v>
      </c>
      <c r="B862" s="4">
        <v>287000</v>
      </c>
      <c r="C862" s="4" t="s">
        <v>15</v>
      </c>
      <c r="D862" s="4" t="s">
        <v>162</v>
      </c>
      <c r="E862" s="4" t="s">
        <v>17</v>
      </c>
      <c r="F862" s="4" t="s">
        <v>18</v>
      </c>
      <c r="G862" s="5">
        <v>0.81111111111111112</v>
      </c>
      <c r="H862" s="5">
        <v>0.60000000000000009</v>
      </c>
      <c r="I862" s="5">
        <v>0.05</v>
      </c>
      <c r="J862" s="6">
        <v>0.51666666666666672</v>
      </c>
      <c r="K862" s="6">
        <v>0.8541935483870966</v>
      </c>
      <c r="L862" s="6">
        <v>0.76767674968076616</v>
      </c>
      <c r="M862" s="4" t="s">
        <v>81</v>
      </c>
      <c r="N862" s="5">
        <v>0.18094840340452761</v>
      </c>
      <c r="O862" s="4">
        <v>1</v>
      </c>
    </row>
    <row r="863" spans="1:15" x14ac:dyDescent="0.3">
      <c r="A863" s="4">
        <v>288</v>
      </c>
      <c r="B863" s="4">
        <v>288000</v>
      </c>
      <c r="C863" s="4" t="s">
        <v>15</v>
      </c>
      <c r="D863" s="4" t="s">
        <v>16</v>
      </c>
      <c r="E863" s="4" t="s">
        <v>17</v>
      </c>
      <c r="F863" s="4" t="s">
        <v>18</v>
      </c>
      <c r="G863" s="5">
        <v>0.1</v>
      </c>
      <c r="H863" s="5">
        <v>0.4</v>
      </c>
      <c r="I863" s="5">
        <v>0.05</v>
      </c>
      <c r="J863" s="6">
        <v>0.65573770491803274</v>
      </c>
      <c r="K863" s="6">
        <v>0.80299999999999994</v>
      </c>
      <c r="L863" s="6">
        <v>0.77825418046141637</v>
      </c>
      <c r="M863" s="4" t="s">
        <v>19</v>
      </c>
      <c r="N863" s="5">
        <v>1</v>
      </c>
      <c r="O863" s="4">
        <v>1</v>
      </c>
    </row>
    <row r="864" spans="1:15" x14ac:dyDescent="0.3">
      <c r="A864" s="4">
        <v>288</v>
      </c>
      <c r="B864" s="4">
        <v>288000</v>
      </c>
      <c r="C864" s="4" t="s">
        <v>15</v>
      </c>
      <c r="D864" s="4" t="s">
        <v>161</v>
      </c>
      <c r="E864" s="4" t="s">
        <v>17</v>
      </c>
      <c r="F864" s="4" t="s">
        <v>18</v>
      </c>
      <c r="G864" s="5">
        <v>0.4555555555555556</v>
      </c>
      <c r="H864" s="5">
        <v>0.60000000000000009</v>
      </c>
      <c r="I864" s="5">
        <v>0.05</v>
      </c>
      <c r="J864" s="6">
        <v>0.62295081967213117</v>
      </c>
      <c r="K864" s="6">
        <v>0.83342105263157884</v>
      </c>
      <c r="L864" s="6">
        <v>0.83250140831236763</v>
      </c>
      <c r="M864" s="4" t="s">
        <v>19</v>
      </c>
      <c r="N864" s="5">
        <v>1</v>
      </c>
      <c r="O864" s="4">
        <v>1</v>
      </c>
    </row>
    <row r="865" spans="1:15" x14ac:dyDescent="0.3">
      <c r="A865" s="4">
        <v>288</v>
      </c>
      <c r="B865" s="4">
        <v>288000</v>
      </c>
      <c r="C865" s="4" t="s">
        <v>15</v>
      </c>
      <c r="D865" s="4" t="s">
        <v>162</v>
      </c>
      <c r="E865" s="4" t="s">
        <v>17</v>
      </c>
      <c r="F865" s="4" t="s">
        <v>18</v>
      </c>
      <c r="G865" s="5">
        <v>0.9</v>
      </c>
      <c r="H865" s="5">
        <v>0.60000000000000009</v>
      </c>
      <c r="I865" s="5">
        <v>0.05</v>
      </c>
      <c r="J865" s="6">
        <v>0.44262295081967212</v>
      </c>
      <c r="K865" s="6">
        <v>0.85777777777777753</v>
      </c>
      <c r="L865" s="6">
        <v>0.7453462594235748</v>
      </c>
      <c r="M865" s="4" t="s">
        <v>19</v>
      </c>
      <c r="N865" s="5">
        <v>1</v>
      </c>
      <c r="O865" s="4">
        <v>1</v>
      </c>
    </row>
    <row r="866" spans="1:15" x14ac:dyDescent="0.3">
      <c r="A866" s="4">
        <v>289</v>
      </c>
      <c r="B866" s="4">
        <v>289000</v>
      </c>
      <c r="C866" s="4" t="s">
        <v>15</v>
      </c>
      <c r="D866" s="4" t="s">
        <v>16</v>
      </c>
      <c r="E866" s="4" t="s">
        <v>17</v>
      </c>
      <c r="F866" s="4" t="s">
        <v>18</v>
      </c>
      <c r="G866" s="5">
        <v>0.1</v>
      </c>
      <c r="H866" s="5">
        <v>0.4</v>
      </c>
      <c r="I866" s="5">
        <v>0.05</v>
      </c>
      <c r="J866" s="6">
        <v>0.67647058823529416</v>
      </c>
      <c r="K866" s="6">
        <v>0.76108695652173908</v>
      </c>
      <c r="L866" s="6">
        <v>0.62699266069467496</v>
      </c>
      <c r="M866" s="4" t="s">
        <v>50</v>
      </c>
      <c r="N866" s="5">
        <v>8.5126501306926339E-2</v>
      </c>
      <c r="O866" s="4">
        <v>0</v>
      </c>
    </row>
    <row r="867" spans="1:15" x14ac:dyDescent="0.3">
      <c r="A867" s="4">
        <v>289</v>
      </c>
      <c r="B867" s="4">
        <v>289000</v>
      </c>
      <c r="C867" s="4" t="s">
        <v>15</v>
      </c>
      <c r="D867" s="4" t="s">
        <v>161</v>
      </c>
      <c r="E867" s="4" t="s">
        <v>17</v>
      </c>
      <c r="F867" s="4" t="s">
        <v>18</v>
      </c>
      <c r="G867" s="5">
        <v>0.4555555555555556</v>
      </c>
      <c r="H867" s="5">
        <v>0.60000000000000009</v>
      </c>
      <c r="I867" s="5">
        <v>0.05</v>
      </c>
      <c r="J867" s="6">
        <v>0.6470588235294118</v>
      </c>
      <c r="K867" s="6">
        <v>0.78045454545454518</v>
      </c>
      <c r="L867" s="6">
        <v>0.66627270840968211</v>
      </c>
      <c r="M867" s="4" t="s">
        <v>50</v>
      </c>
      <c r="N867" s="5">
        <v>8.5126501306926339E-2</v>
      </c>
      <c r="O867" s="4">
        <v>0</v>
      </c>
    </row>
    <row r="868" spans="1:15" x14ac:dyDescent="0.3">
      <c r="A868" s="4">
        <v>289</v>
      </c>
      <c r="B868" s="4">
        <v>289000</v>
      </c>
      <c r="C868" s="4" t="s">
        <v>15</v>
      </c>
      <c r="D868" s="4" t="s">
        <v>162</v>
      </c>
      <c r="E868" s="4" t="s">
        <v>17</v>
      </c>
      <c r="F868" s="4" t="s">
        <v>18</v>
      </c>
      <c r="G868" s="5">
        <v>0.9</v>
      </c>
      <c r="H868" s="5">
        <v>0.60000000000000009</v>
      </c>
      <c r="I868" s="5">
        <v>0.05</v>
      </c>
      <c r="J868" s="6">
        <v>0.41176470588235292</v>
      </c>
      <c r="K868" s="6">
        <v>0.82892857142857124</v>
      </c>
      <c r="L868" s="6">
        <v>0.72253265180659909</v>
      </c>
      <c r="M868" s="4" t="s">
        <v>50</v>
      </c>
      <c r="N868" s="5">
        <v>8.5126501306926339E-2</v>
      </c>
      <c r="O868" s="4">
        <v>0</v>
      </c>
    </row>
    <row r="869" spans="1:15" x14ac:dyDescent="0.3">
      <c r="A869" s="4">
        <v>290</v>
      </c>
      <c r="B869" s="4">
        <v>290000</v>
      </c>
      <c r="C869" s="4" t="s">
        <v>15</v>
      </c>
      <c r="D869" s="4" t="s">
        <v>16</v>
      </c>
      <c r="E869" s="4" t="s">
        <v>17</v>
      </c>
      <c r="F869" s="4" t="s">
        <v>18</v>
      </c>
      <c r="G869" s="5">
        <v>0.1</v>
      </c>
      <c r="H869" s="5">
        <v>0.4</v>
      </c>
      <c r="I869" s="5">
        <v>0.05</v>
      </c>
      <c r="J869" s="6">
        <v>0.71212121212121215</v>
      </c>
      <c r="K869" s="6">
        <v>0.76553191489361716</v>
      </c>
      <c r="L869" s="6">
        <v>0.72459360649737437</v>
      </c>
      <c r="M869" s="4" t="s">
        <v>19</v>
      </c>
      <c r="N869" s="5">
        <v>1</v>
      </c>
      <c r="O869" s="4">
        <v>1</v>
      </c>
    </row>
    <row r="870" spans="1:15" x14ac:dyDescent="0.3">
      <c r="A870" s="4">
        <v>290</v>
      </c>
      <c r="B870" s="4">
        <v>290000</v>
      </c>
      <c r="C870" s="4" t="s">
        <v>15</v>
      </c>
      <c r="D870" s="4" t="s">
        <v>161</v>
      </c>
      <c r="E870" s="4" t="s">
        <v>17</v>
      </c>
      <c r="F870" s="4" t="s">
        <v>18</v>
      </c>
      <c r="G870" s="5">
        <v>0.54444444444444451</v>
      </c>
      <c r="H870" s="5">
        <v>0.4</v>
      </c>
      <c r="I870" s="5">
        <v>0.05</v>
      </c>
      <c r="J870" s="6">
        <v>0.63636363636363635</v>
      </c>
      <c r="K870" s="6">
        <v>0.80095238095238097</v>
      </c>
      <c r="L870" s="6">
        <v>0.80709120149496938</v>
      </c>
      <c r="M870" s="4" t="s">
        <v>19</v>
      </c>
      <c r="N870" s="5">
        <v>1</v>
      </c>
      <c r="O870" s="4">
        <v>1</v>
      </c>
    </row>
    <row r="871" spans="1:15" x14ac:dyDescent="0.3">
      <c r="A871" s="4">
        <v>290</v>
      </c>
      <c r="B871" s="4">
        <v>290000</v>
      </c>
      <c r="C871" s="4" t="s">
        <v>15</v>
      </c>
      <c r="D871" s="4" t="s">
        <v>162</v>
      </c>
      <c r="E871" s="4" t="s">
        <v>17</v>
      </c>
      <c r="F871" s="4" t="s">
        <v>18</v>
      </c>
      <c r="G871" s="5">
        <v>0.81111111111111112</v>
      </c>
      <c r="H871" s="5">
        <v>0.4</v>
      </c>
      <c r="I871" s="5">
        <v>0.05</v>
      </c>
      <c r="J871" s="6">
        <v>0.46969696969696972</v>
      </c>
      <c r="K871" s="6">
        <v>0.82451612903225791</v>
      </c>
      <c r="L871" s="6">
        <v>0.68781481236472308</v>
      </c>
      <c r="M871" s="4" t="s">
        <v>19</v>
      </c>
      <c r="N871" s="5">
        <v>1</v>
      </c>
      <c r="O871" s="4">
        <v>1</v>
      </c>
    </row>
    <row r="872" spans="1:15" x14ac:dyDescent="0.3">
      <c r="A872" s="4">
        <v>291</v>
      </c>
      <c r="B872" s="4">
        <v>291000</v>
      </c>
      <c r="C872" s="4" t="s">
        <v>15</v>
      </c>
      <c r="D872" s="4" t="s">
        <v>16</v>
      </c>
      <c r="E872" s="4" t="s">
        <v>17</v>
      </c>
      <c r="F872" s="4" t="s">
        <v>18</v>
      </c>
      <c r="G872" s="5">
        <v>0.1</v>
      </c>
      <c r="H872" s="5">
        <v>0.4</v>
      </c>
      <c r="I872" s="5">
        <v>0.05</v>
      </c>
      <c r="J872" s="6">
        <v>0.73770491803278693</v>
      </c>
      <c r="K872" s="6">
        <v>0.75288888888888861</v>
      </c>
      <c r="L872" s="6">
        <v>0.68438313389968408</v>
      </c>
      <c r="M872" s="4" t="s">
        <v>101</v>
      </c>
      <c r="N872" s="5">
        <v>7.6543183690541167E-2</v>
      </c>
      <c r="O872" s="4">
        <v>0</v>
      </c>
    </row>
    <row r="873" spans="1:15" x14ac:dyDescent="0.3">
      <c r="A873" s="4">
        <v>291</v>
      </c>
      <c r="B873" s="4">
        <v>291000</v>
      </c>
      <c r="C873" s="4" t="s">
        <v>15</v>
      </c>
      <c r="D873" s="4" t="s">
        <v>161</v>
      </c>
      <c r="E873" s="4" t="s">
        <v>17</v>
      </c>
      <c r="F873" s="4" t="s">
        <v>18</v>
      </c>
      <c r="G873" s="5">
        <v>0.54444444444444451</v>
      </c>
      <c r="H873" s="5">
        <v>0.4</v>
      </c>
      <c r="I873" s="5">
        <v>0.05</v>
      </c>
      <c r="J873" s="6">
        <v>0.63934426229508201</v>
      </c>
      <c r="K873" s="6">
        <v>0.80384615384615365</v>
      </c>
      <c r="L873" s="6">
        <v>0.76427159715211801</v>
      </c>
      <c r="M873" s="4" t="s">
        <v>101</v>
      </c>
      <c r="N873" s="5">
        <v>7.6543183690541167E-2</v>
      </c>
      <c r="O873" s="4">
        <v>0</v>
      </c>
    </row>
    <row r="874" spans="1:15" x14ac:dyDescent="0.3">
      <c r="A874" s="4">
        <v>291</v>
      </c>
      <c r="B874" s="4">
        <v>291000</v>
      </c>
      <c r="C874" s="4" t="s">
        <v>15</v>
      </c>
      <c r="D874" s="4" t="s">
        <v>162</v>
      </c>
      <c r="E874" s="4" t="s">
        <v>17</v>
      </c>
      <c r="F874" s="4" t="s">
        <v>18</v>
      </c>
      <c r="G874" s="5">
        <v>0.81111111111111112</v>
      </c>
      <c r="H874" s="5">
        <v>0.4</v>
      </c>
      <c r="I874" s="5">
        <v>0.05</v>
      </c>
      <c r="J874" s="6">
        <v>0.52459016393442626</v>
      </c>
      <c r="K874" s="6">
        <v>0.81999999999999973</v>
      </c>
      <c r="L874" s="6">
        <v>0.70738724007369846</v>
      </c>
      <c r="M874" s="4" t="s">
        <v>101</v>
      </c>
      <c r="N874" s="5">
        <v>7.6543183690541167E-2</v>
      </c>
      <c r="O874" s="4">
        <v>0</v>
      </c>
    </row>
    <row r="875" spans="1:15" x14ac:dyDescent="0.3">
      <c r="A875" s="4">
        <v>292</v>
      </c>
      <c r="B875" s="4">
        <v>292000</v>
      </c>
      <c r="C875" s="4" t="s">
        <v>15</v>
      </c>
      <c r="D875" s="4" t="s">
        <v>16</v>
      </c>
      <c r="E875" s="4" t="s">
        <v>17</v>
      </c>
      <c r="F875" s="4" t="s">
        <v>18</v>
      </c>
      <c r="G875" s="5">
        <v>0.1</v>
      </c>
      <c r="H875" s="5">
        <v>0.4</v>
      </c>
      <c r="I875" s="5">
        <v>0.05</v>
      </c>
      <c r="J875" s="6">
        <v>0.70491803278688525</v>
      </c>
      <c r="K875" s="6">
        <v>0.76604651162790693</v>
      </c>
      <c r="L875" s="6">
        <v>0.67132485352299642</v>
      </c>
      <c r="M875" s="4" t="s">
        <v>19</v>
      </c>
      <c r="N875" s="5">
        <v>1</v>
      </c>
      <c r="O875" s="4">
        <v>1</v>
      </c>
    </row>
    <row r="876" spans="1:15" x14ac:dyDescent="0.3">
      <c r="A876" s="4">
        <v>292</v>
      </c>
      <c r="B876" s="4">
        <v>292000</v>
      </c>
      <c r="C876" s="4" t="s">
        <v>15</v>
      </c>
      <c r="D876" s="4" t="s">
        <v>161</v>
      </c>
      <c r="E876" s="4" t="s">
        <v>17</v>
      </c>
      <c r="F876" s="4" t="s">
        <v>18</v>
      </c>
      <c r="G876" s="5">
        <v>0.81111111111111112</v>
      </c>
      <c r="H876" s="5">
        <v>0.4</v>
      </c>
      <c r="I876" s="5">
        <v>0.05</v>
      </c>
      <c r="J876" s="6">
        <v>0.44262295081967212</v>
      </c>
      <c r="K876" s="6">
        <v>0.84555555555555539</v>
      </c>
      <c r="L876" s="6">
        <v>0.72078252231099282</v>
      </c>
      <c r="M876" s="4" t="s">
        <v>19</v>
      </c>
      <c r="N876" s="5">
        <v>1</v>
      </c>
      <c r="O876" s="4">
        <v>1</v>
      </c>
    </row>
    <row r="877" spans="1:15" x14ac:dyDescent="0.3">
      <c r="A877" s="4">
        <v>292</v>
      </c>
      <c r="B877" s="4">
        <v>292000</v>
      </c>
      <c r="C877" s="4" t="s">
        <v>15</v>
      </c>
      <c r="D877" s="4" t="s">
        <v>162</v>
      </c>
      <c r="E877" s="4" t="s">
        <v>17</v>
      </c>
      <c r="F877" s="4" t="s">
        <v>18</v>
      </c>
      <c r="G877" s="5">
        <v>0.81111111111111112</v>
      </c>
      <c r="H877" s="5">
        <v>0.4</v>
      </c>
      <c r="I877" s="5">
        <v>0.05</v>
      </c>
      <c r="J877" s="6">
        <v>0.44262295081967212</v>
      </c>
      <c r="K877" s="6">
        <v>0.84555555555555539</v>
      </c>
      <c r="L877" s="6">
        <v>0.72078252231099282</v>
      </c>
      <c r="M877" s="4" t="s">
        <v>19</v>
      </c>
      <c r="N877" s="5">
        <v>1</v>
      </c>
      <c r="O877" s="4">
        <v>1</v>
      </c>
    </row>
    <row r="878" spans="1:15" x14ac:dyDescent="0.3">
      <c r="A878" s="4">
        <v>293</v>
      </c>
      <c r="B878" s="4">
        <v>293000</v>
      </c>
      <c r="C878" s="4" t="s">
        <v>15</v>
      </c>
      <c r="D878" s="4" t="s">
        <v>16</v>
      </c>
      <c r="E878" s="4" t="s">
        <v>17</v>
      </c>
      <c r="F878" s="4" t="s">
        <v>18</v>
      </c>
      <c r="G878" s="5">
        <v>0.1</v>
      </c>
      <c r="H878" s="5">
        <v>0.4</v>
      </c>
      <c r="I878" s="5">
        <v>0.05</v>
      </c>
      <c r="J878" s="6">
        <v>0.74242424242424243</v>
      </c>
      <c r="K878" s="6">
        <v>0.75102040816326521</v>
      </c>
      <c r="L878" s="6">
        <v>0.62573592921991805</v>
      </c>
      <c r="M878" s="4" t="s">
        <v>97</v>
      </c>
      <c r="N878" s="5">
        <v>8.6325153284138423E-2</v>
      </c>
      <c r="O878" s="4">
        <v>0</v>
      </c>
    </row>
    <row r="879" spans="1:15" x14ac:dyDescent="0.3">
      <c r="A879" s="4">
        <v>293</v>
      </c>
      <c r="B879" s="4">
        <v>293000</v>
      </c>
      <c r="C879" s="4" t="s">
        <v>15</v>
      </c>
      <c r="D879" s="4" t="s">
        <v>161</v>
      </c>
      <c r="E879" s="4" t="s">
        <v>17</v>
      </c>
      <c r="F879" s="4" t="s">
        <v>18</v>
      </c>
      <c r="G879" s="5">
        <v>0.81111111111111112</v>
      </c>
      <c r="H879" s="5">
        <v>0.4</v>
      </c>
      <c r="I879" s="5">
        <v>0.05</v>
      </c>
      <c r="J879" s="6">
        <v>0.51515151515151514</v>
      </c>
      <c r="K879" s="6">
        <v>0.82323529411764695</v>
      </c>
      <c r="L879" s="6">
        <v>0.76976458307014517</v>
      </c>
      <c r="M879" s="4" t="s">
        <v>97</v>
      </c>
      <c r="N879" s="5">
        <v>8.6325153284138423E-2</v>
      </c>
      <c r="O879" s="4">
        <v>0</v>
      </c>
    </row>
    <row r="880" spans="1:15" x14ac:dyDescent="0.3">
      <c r="A880" s="4">
        <v>293</v>
      </c>
      <c r="B880" s="4">
        <v>293000</v>
      </c>
      <c r="C880" s="4" t="s">
        <v>15</v>
      </c>
      <c r="D880" s="4" t="s">
        <v>162</v>
      </c>
      <c r="E880" s="4" t="s">
        <v>17</v>
      </c>
      <c r="F880" s="4" t="s">
        <v>18</v>
      </c>
      <c r="G880" s="5">
        <v>0.81111111111111112</v>
      </c>
      <c r="H880" s="5">
        <v>0.4</v>
      </c>
      <c r="I880" s="5">
        <v>0.05</v>
      </c>
      <c r="J880" s="6">
        <v>0.51515151515151514</v>
      </c>
      <c r="K880" s="6">
        <v>0.82323529411764695</v>
      </c>
      <c r="L880" s="6">
        <v>0.76976458307014517</v>
      </c>
      <c r="M880" s="4" t="s">
        <v>97</v>
      </c>
      <c r="N880" s="5">
        <v>8.6325153284138423E-2</v>
      </c>
      <c r="O880" s="4">
        <v>0</v>
      </c>
    </row>
    <row r="881" spans="1:15" x14ac:dyDescent="0.3">
      <c r="A881" s="4">
        <v>294</v>
      </c>
      <c r="B881" s="4">
        <v>294000</v>
      </c>
      <c r="C881" s="4" t="s">
        <v>15</v>
      </c>
      <c r="D881" s="4" t="s">
        <v>16</v>
      </c>
      <c r="E881" s="4" t="s">
        <v>17</v>
      </c>
      <c r="F881" s="4" t="s">
        <v>18</v>
      </c>
      <c r="G881" s="5">
        <v>0.1</v>
      </c>
      <c r="H881" s="5">
        <v>0.4</v>
      </c>
      <c r="I881" s="5">
        <v>0.05</v>
      </c>
      <c r="J881" s="6">
        <v>0.73913043478260865</v>
      </c>
      <c r="K881" s="6">
        <v>0.73960784313725492</v>
      </c>
      <c r="L881" s="6">
        <v>0.67358818108795648</v>
      </c>
      <c r="M881" s="4" t="s">
        <v>19</v>
      </c>
      <c r="N881" s="5">
        <v>1</v>
      </c>
      <c r="O881" s="4">
        <v>1</v>
      </c>
    </row>
    <row r="882" spans="1:15" x14ac:dyDescent="0.3">
      <c r="A882" s="4">
        <v>294</v>
      </c>
      <c r="B882" s="4">
        <v>294000</v>
      </c>
      <c r="C882" s="4" t="s">
        <v>15</v>
      </c>
      <c r="D882" s="4" t="s">
        <v>161</v>
      </c>
      <c r="E882" s="4" t="s">
        <v>17</v>
      </c>
      <c r="F882" s="4" t="s">
        <v>18</v>
      </c>
      <c r="G882" s="5">
        <v>0.72222222222222221</v>
      </c>
      <c r="H882" s="5">
        <v>0.4</v>
      </c>
      <c r="I882" s="5">
        <v>0.05</v>
      </c>
      <c r="J882" s="6">
        <v>0.52173913043478259</v>
      </c>
      <c r="K882" s="6">
        <v>0.81972222222222202</v>
      </c>
      <c r="L882" s="6">
        <v>0.79431542906513708</v>
      </c>
      <c r="M882" s="4" t="s">
        <v>19</v>
      </c>
      <c r="N882" s="5">
        <v>1</v>
      </c>
      <c r="O882" s="4">
        <v>1</v>
      </c>
    </row>
    <row r="883" spans="1:15" x14ac:dyDescent="0.3">
      <c r="A883" s="4">
        <v>294</v>
      </c>
      <c r="B883" s="4">
        <v>294000</v>
      </c>
      <c r="C883" s="4" t="s">
        <v>15</v>
      </c>
      <c r="D883" s="4" t="s">
        <v>162</v>
      </c>
      <c r="E883" s="4" t="s">
        <v>17</v>
      </c>
      <c r="F883" s="4" t="s">
        <v>18</v>
      </c>
      <c r="G883" s="5">
        <v>0.81111111111111112</v>
      </c>
      <c r="H883" s="5">
        <v>0.8</v>
      </c>
      <c r="I883" s="5">
        <v>0.05</v>
      </c>
      <c r="J883" s="6">
        <v>0.44927536231884058</v>
      </c>
      <c r="K883" s="6">
        <v>0.85354838709677394</v>
      </c>
      <c r="L883" s="6">
        <v>0.69060704446675458</v>
      </c>
      <c r="M883" s="4" t="s">
        <v>19</v>
      </c>
      <c r="N883" s="5">
        <v>1</v>
      </c>
      <c r="O883" s="4">
        <v>1</v>
      </c>
    </row>
    <row r="884" spans="1:15" x14ac:dyDescent="0.3">
      <c r="A884" s="4">
        <v>295</v>
      </c>
      <c r="B884" s="4">
        <v>295000</v>
      </c>
      <c r="C884" s="4" t="s">
        <v>15</v>
      </c>
      <c r="D884" s="4" t="s">
        <v>16</v>
      </c>
      <c r="E884" s="4" t="s">
        <v>17</v>
      </c>
      <c r="F884" s="4" t="s">
        <v>18</v>
      </c>
      <c r="G884" s="5">
        <v>0.1</v>
      </c>
      <c r="H884" s="5">
        <v>0.4</v>
      </c>
      <c r="I884" s="5">
        <v>0.05</v>
      </c>
      <c r="J884" s="6">
        <v>0.71232876712328763</v>
      </c>
      <c r="K884" s="6">
        <v>0.74461538461538457</v>
      </c>
      <c r="L884" s="6">
        <v>0.64539591471857949</v>
      </c>
      <c r="M884" s="4" t="s">
        <v>124</v>
      </c>
      <c r="N884" s="5">
        <v>0.1684966999712624</v>
      </c>
      <c r="O884" s="4">
        <v>1</v>
      </c>
    </row>
    <row r="885" spans="1:15" x14ac:dyDescent="0.3">
      <c r="A885" s="4">
        <v>295</v>
      </c>
      <c r="B885" s="4">
        <v>295000</v>
      </c>
      <c r="C885" s="4" t="s">
        <v>15</v>
      </c>
      <c r="D885" s="4" t="s">
        <v>161</v>
      </c>
      <c r="E885" s="4" t="s">
        <v>17</v>
      </c>
      <c r="F885" s="4" t="s">
        <v>18</v>
      </c>
      <c r="G885" s="5">
        <v>0.54444444444444451</v>
      </c>
      <c r="H885" s="5">
        <v>0.8</v>
      </c>
      <c r="I885" s="5">
        <v>0.05</v>
      </c>
      <c r="J885" s="6">
        <v>0.56164383561643838</v>
      </c>
      <c r="K885" s="6">
        <v>0.83463414634146327</v>
      </c>
      <c r="L885" s="6">
        <v>0.79153230267352281</v>
      </c>
      <c r="M885" s="4" t="s">
        <v>124</v>
      </c>
      <c r="N885" s="5">
        <v>0.1684966999712624</v>
      </c>
      <c r="O885" s="4">
        <v>1</v>
      </c>
    </row>
    <row r="886" spans="1:15" x14ac:dyDescent="0.3">
      <c r="A886" s="4">
        <v>295</v>
      </c>
      <c r="B886" s="4">
        <v>295000</v>
      </c>
      <c r="C886" s="4" t="s">
        <v>15</v>
      </c>
      <c r="D886" s="4" t="s">
        <v>162</v>
      </c>
      <c r="E886" s="4" t="s">
        <v>17</v>
      </c>
      <c r="F886" s="4" t="s">
        <v>18</v>
      </c>
      <c r="G886" s="5">
        <v>0.9</v>
      </c>
      <c r="H886" s="5">
        <v>0.8</v>
      </c>
      <c r="I886" s="5">
        <v>0.05</v>
      </c>
      <c r="J886" s="6">
        <v>0.36986301369863012</v>
      </c>
      <c r="K886" s="6">
        <v>0.85851851851851824</v>
      </c>
      <c r="L886" s="6">
        <v>0.73656999589479444</v>
      </c>
      <c r="M886" s="4" t="s">
        <v>124</v>
      </c>
      <c r="N886" s="5">
        <v>0.1684966999712624</v>
      </c>
      <c r="O886" s="4">
        <v>1</v>
      </c>
    </row>
    <row r="887" spans="1:15" x14ac:dyDescent="0.3">
      <c r="A887" s="4">
        <v>296</v>
      </c>
      <c r="B887" s="4">
        <v>296000</v>
      </c>
      <c r="C887" s="4" t="s">
        <v>15</v>
      </c>
      <c r="D887" s="4" t="s">
        <v>16</v>
      </c>
      <c r="E887" s="4" t="s">
        <v>17</v>
      </c>
      <c r="F887" s="4" t="s">
        <v>18</v>
      </c>
      <c r="G887" s="5">
        <v>0.1</v>
      </c>
      <c r="H887" s="5">
        <v>0.4</v>
      </c>
      <c r="I887" s="5">
        <v>0.05</v>
      </c>
      <c r="J887" s="6">
        <v>0.65714285714285714</v>
      </c>
      <c r="K887" s="6">
        <v>0.74282608695652175</v>
      </c>
      <c r="L887" s="6">
        <v>0.58939122149584655</v>
      </c>
      <c r="M887" s="4" t="s">
        <v>39</v>
      </c>
      <c r="N887" s="5">
        <v>9.3011421276505871E-2</v>
      </c>
      <c r="O887" s="4">
        <v>0</v>
      </c>
    </row>
    <row r="888" spans="1:15" x14ac:dyDescent="0.3">
      <c r="A888" s="4">
        <v>296</v>
      </c>
      <c r="B888" s="4">
        <v>296000</v>
      </c>
      <c r="C888" s="4" t="s">
        <v>15</v>
      </c>
      <c r="D888" s="4" t="s">
        <v>161</v>
      </c>
      <c r="E888" s="4" t="s">
        <v>17</v>
      </c>
      <c r="F888" s="4" t="s">
        <v>18</v>
      </c>
      <c r="G888" s="5">
        <v>0.54444444444444451</v>
      </c>
      <c r="H888" s="5">
        <v>0.8</v>
      </c>
      <c r="I888" s="5">
        <v>0.05</v>
      </c>
      <c r="J888" s="6">
        <v>0.5</v>
      </c>
      <c r="K888" s="6">
        <v>0.84457142857142842</v>
      </c>
      <c r="L888" s="6">
        <v>0.75784644096747611</v>
      </c>
      <c r="M888" s="4" t="s">
        <v>39</v>
      </c>
      <c r="N888" s="5">
        <v>9.3011421276505871E-2</v>
      </c>
      <c r="O888" s="4">
        <v>0</v>
      </c>
    </row>
    <row r="889" spans="1:15" x14ac:dyDescent="0.3">
      <c r="A889" s="4">
        <v>296</v>
      </c>
      <c r="B889" s="4">
        <v>296000</v>
      </c>
      <c r="C889" s="4" t="s">
        <v>15</v>
      </c>
      <c r="D889" s="4" t="s">
        <v>162</v>
      </c>
      <c r="E889" s="4" t="s">
        <v>17</v>
      </c>
      <c r="F889" s="4" t="s">
        <v>18</v>
      </c>
      <c r="G889" s="5">
        <v>0.9</v>
      </c>
      <c r="H889" s="5">
        <v>0.8</v>
      </c>
      <c r="I889" s="5">
        <v>0.05</v>
      </c>
      <c r="J889" s="6">
        <v>0.35714285714285721</v>
      </c>
      <c r="K889" s="6">
        <v>0.85479999999999978</v>
      </c>
      <c r="L889" s="6">
        <v>0.66234715667090227</v>
      </c>
      <c r="M889" s="4" t="s">
        <v>39</v>
      </c>
      <c r="N889" s="5">
        <v>9.3011421276505871E-2</v>
      </c>
      <c r="O889" s="4">
        <v>0</v>
      </c>
    </row>
    <row r="890" spans="1:15" x14ac:dyDescent="0.3">
      <c r="A890" s="4">
        <v>297</v>
      </c>
      <c r="B890" s="4">
        <v>297000</v>
      </c>
      <c r="C890" s="4" t="s">
        <v>15</v>
      </c>
      <c r="D890" s="4" t="s">
        <v>16</v>
      </c>
      <c r="E890" s="4" t="s">
        <v>17</v>
      </c>
      <c r="F890" s="4" t="s">
        <v>18</v>
      </c>
      <c r="G890" s="5">
        <v>0.1</v>
      </c>
      <c r="H890" s="5">
        <v>0.4</v>
      </c>
      <c r="I890" s="5">
        <v>0.05</v>
      </c>
      <c r="J890" s="6">
        <v>0.65217391304347827</v>
      </c>
      <c r="K890" s="6">
        <v>0.75844444444444448</v>
      </c>
      <c r="L890" s="6">
        <v>0.69721074010988349</v>
      </c>
      <c r="M890" s="4" t="s">
        <v>43</v>
      </c>
      <c r="N890" s="5">
        <v>0.1642043577794696</v>
      </c>
      <c r="O890" s="4">
        <v>1</v>
      </c>
    </row>
    <row r="891" spans="1:15" x14ac:dyDescent="0.3">
      <c r="A891" s="4">
        <v>297</v>
      </c>
      <c r="B891" s="4">
        <v>297000</v>
      </c>
      <c r="C891" s="4" t="s">
        <v>15</v>
      </c>
      <c r="D891" s="4" t="s">
        <v>161</v>
      </c>
      <c r="E891" s="4" t="s">
        <v>17</v>
      </c>
      <c r="F891" s="4" t="s">
        <v>18</v>
      </c>
      <c r="G891" s="5">
        <v>0.6333333333333333</v>
      </c>
      <c r="H891" s="5">
        <v>0.4</v>
      </c>
      <c r="I891" s="5">
        <v>0.05</v>
      </c>
      <c r="J891" s="6">
        <v>0.52173913043478259</v>
      </c>
      <c r="K891" s="6">
        <v>0.83166666666666655</v>
      </c>
      <c r="L891" s="6">
        <v>0.7853730858121436</v>
      </c>
      <c r="M891" s="4" t="s">
        <v>43</v>
      </c>
      <c r="N891" s="5">
        <v>0.1642043577794696</v>
      </c>
      <c r="O891" s="4">
        <v>1</v>
      </c>
    </row>
    <row r="892" spans="1:15" x14ac:dyDescent="0.3">
      <c r="A892" s="4">
        <v>297</v>
      </c>
      <c r="B892" s="4">
        <v>297000</v>
      </c>
      <c r="C892" s="4" t="s">
        <v>15</v>
      </c>
      <c r="D892" s="4" t="s">
        <v>162</v>
      </c>
      <c r="E892" s="4" t="s">
        <v>17</v>
      </c>
      <c r="F892" s="4" t="s">
        <v>18</v>
      </c>
      <c r="G892" s="5">
        <v>0.9</v>
      </c>
      <c r="H892" s="5">
        <v>0.4</v>
      </c>
      <c r="I892" s="5">
        <v>0.05</v>
      </c>
      <c r="J892" s="6">
        <v>0.39130434782608697</v>
      </c>
      <c r="K892" s="6">
        <v>0.86074074074074058</v>
      </c>
      <c r="L892" s="6">
        <v>0.70710329116838755</v>
      </c>
      <c r="M892" s="4" t="s">
        <v>43</v>
      </c>
      <c r="N892" s="5">
        <v>0.1642043577794696</v>
      </c>
      <c r="O892" s="4">
        <v>1</v>
      </c>
    </row>
    <row r="893" spans="1:15" x14ac:dyDescent="0.3">
      <c r="A893" s="4">
        <v>298</v>
      </c>
      <c r="B893" s="4">
        <v>298000</v>
      </c>
      <c r="C893" s="4" t="s">
        <v>15</v>
      </c>
      <c r="D893" s="4" t="s">
        <v>16</v>
      </c>
      <c r="E893" s="4" t="s">
        <v>17</v>
      </c>
      <c r="F893" s="4" t="s">
        <v>18</v>
      </c>
      <c r="G893" s="5">
        <v>0.1</v>
      </c>
      <c r="H893" s="5">
        <v>0.4</v>
      </c>
      <c r="I893" s="5">
        <v>0.05</v>
      </c>
      <c r="J893" s="6">
        <v>0.65151515151515149</v>
      </c>
      <c r="K893" s="6">
        <v>0.76744186046511609</v>
      </c>
      <c r="L893" s="6">
        <v>0.65727780189660845</v>
      </c>
      <c r="M893" s="4" t="s">
        <v>19</v>
      </c>
      <c r="N893" s="5">
        <v>1</v>
      </c>
      <c r="O893" s="4">
        <v>1</v>
      </c>
    </row>
    <row r="894" spans="1:15" x14ac:dyDescent="0.3">
      <c r="A894" s="4">
        <v>298</v>
      </c>
      <c r="B894" s="4">
        <v>298000</v>
      </c>
      <c r="C894" s="4" t="s">
        <v>15</v>
      </c>
      <c r="D894" s="4" t="s">
        <v>161</v>
      </c>
      <c r="E894" s="4" t="s">
        <v>17</v>
      </c>
      <c r="F894" s="4" t="s">
        <v>18</v>
      </c>
      <c r="G894" s="5">
        <v>0.54444444444444451</v>
      </c>
      <c r="H894" s="5">
        <v>0.8</v>
      </c>
      <c r="I894" s="5">
        <v>0.05</v>
      </c>
      <c r="J894" s="6">
        <v>0.5</v>
      </c>
      <c r="K894" s="6">
        <v>0.87121212121212088</v>
      </c>
      <c r="L894" s="6">
        <v>0.79792145371605483</v>
      </c>
      <c r="M894" s="4" t="s">
        <v>19</v>
      </c>
      <c r="N894" s="5">
        <v>1</v>
      </c>
      <c r="O894" s="4">
        <v>1</v>
      </c>
    </row>
    <row r="895" spans="1:15" x14ac:dyDescent="0.3">
      <c r="A895" s="4">
        <v>298</v>
      </c>
      <c r="B895" s="4">
        <v>298000</v>
      </c>
      <c r="C895" s="4" t="s">
        <v>15</v>
      </c>
      <c r="D895" s="4" t="s">
        <v>162</v>
      </c>
      <c r="E895" s="4" t="s">
        <v>17</v>
      </c>
      <c r="F895" s="4" t="s">
        <v>18</v>
      </c>
      <c r="G895" s="5">
        <v>0.9</v>
      </c>
      <c r="H895" s="5">
        <v>0.8</v>
      </c>
      <c r="I895" s="5">
        <v>0.05</v>
      </c>
      <c r="J895" s="6">
        <v>0.39393939393939392</v>
      </c>
      <c r="K895" s="6">
        <v>0.89423076923076894</v>
      </c>
      <c r="L895" s="6">
        <v>0.70970269339459502</v>
      </c>
      <c r="M895" s="4" t="s">
        <v>19</v>
      </c>
      <c r="N895" s="5">
        <v>1</v>
      </c>
      <c r="O895" s="4">
        <v>1</v>
      </c>
    </row>
    <row r="896" spans="1:15" x14ac:dyDescent="0.3">
      <c r="A896" s="4">
        <v>299</v>
      </c>
      <c r="B896" s="4">
        <v>299000</v>
      </c>
      <c r="C896" s="4" t="s">
        <v>15</v>
      </c>
      <c r="D896" s="4" t="s">
        <v>16</v>
      </c>
      <c r="E896" s="4" t="s">
        <v>17</v>
      </c>
      <c r="F896" s="4" t="s">
        <v>18</v>
      </c>
      <c r="G896" s="5">
        <v>0.1</v>
      </c>
      <c r="H896" s="5">
        <v>0.4</v>
      </c>
      <c r="I896" s="5">
        <v>0.05</v>
      </c>
      <c r="J896" s="6">
        <v>0.6901408450704225</v>
      </c>
      <c r="K896" s="6">
        <v>0.73795918367346947</v>
      </c>
      <c r="L896" s="6">
        <v>0.63368595058798383</v>
      </c>
      <c r="M896" s="4" t="s">
        <v>19</v>
      </c>
      <c r="N896" s="5">
        <v>1</v>
      </c>
      <c r="O896" s="4">
        <v>1</v>
      </c>
    </row>
    <row r="897" spans="1:15" x14ac:dyDescent="0.3">
      <c r="A897" s="4">
        <v>299</v>
      </c>
      <c r="B897" s="4">
        <v>299000</v>
      </c>
      <c r="C897" s="4" t="s">
        <v>15</v>
      </c>
      <c r="D897" s="4" t="s">
        <v>161</v>
      </c>
      <c r="E897" s="4" t="s">
        <v>17</v>
      </c>
      <c r="F897" s="4" t="s">
        <v>18</v>
      </c>
      <c r="G897" s="5">
        <v>0.54444444444444451</v>
      </c>
      <c r="H897" s="5">
        <v>0.60000000000000009</v>
      </c>
      <c r="I897" s="5">
        <v>0.05</v>
      </c>
      <c r="J897" s="6">
        <v>0.52112676056338025</v>
      </c>
      <c r="K897" s="6">
        <v>0.83945945945945932</v>
      </c>
      <c r="L897" s="6">
        <v>0.78635697028039853</v>
      </c>
      <c r="M897" s="4" t="s">
        <v>19</v>
      </c>
      <c r="N897" s="5">
        <v>1</v>
      </c>
      <c r="O897" s="4">
        <v>1</v>
      </c>
    </row>
    <row r="898" spans="1:15" x14ac:dyDescent="0.3">
      <c r="A898" s="4">
        <v>299</v>
      </c>
      <c r="B898" s="4">
        <v>299000</v>
      </c>
      <c r="C898" s="4" t="s">
        <v>15</v>
      </c>
      <c r="D898" s="4" t="s">
        <v>162</v>
      </c>
      <c r="E898" s="4" t="s">
        <v>17</v>
      </c>
      <c r="F898" s="4" t="s">
        <v>18</v>
      </c>
      <c r="G898" s="5">
        <v>0.81111111111111112</v>
      </c>
      <c r="H898" s="5">
        <v>0.60000000000000009</v>
      </c>
      <c r="I898" s="5">
        <v>0.05</v>
      </c>
      <c r="J898" s="6">
        <v>0.43661971830985907</v>
      </c>
      <c r="K898" s="6">
        <v>0.86548387096774149</v>
      </c>
      <c r="L898" s="6">
        <v>0.76735803010578485</v>
      </c>
      <c r="M898" s="4" t="s">
        <v>19</v>
      </c>
      <c r="N898" s="5">
        <v>1</v>
      </c>
      <c r="O898" s="4">
        <v>1</v>
      </c>
    </row>
    <row r="899" spans="1:15" x14ac:dyDescent="0.3">
      <c r="A899" s="4">
        <v>300</v>
      </c>
      <c r="B899" s="4">
        <v>300000</v>
      </c>
      <c r="C899" s="4" t="s">
        <v>15</v>
      </c>
      <c r="D899" s="4" t="s">
        <v>16</v>
      </c>
      <c r="E899" s="4" t="s">
        <v>17</v>
      </c>
      <c r="F899" s="4" t="s">
        <v>18</v>
      </c>
      <c r="G899" s="5">
        <v>0.1</v>
      </c>
      <c r="H899" s="5">
        <v>0.4</v>
      </c>
      <c r="I899" s="5">
        <v>0.05</v>
      </c>
      <c r="J899" s="6">
        <v>0.69565217391304346</v>
      </c>
      <c r="K899" s="6">
        <v>0.72125000000000006</v>
      </c>
      <c r="L899" s="6">
        <v>0.54652572762827378</v>
      </c>
      <c r="M899" s="4" t="s">
        <v>65</v>
      </c>
      <c r="N899" s="5">
        <v>0.13596725121229489</v>
      </c>
      <c r="O899" s="4">
        <v>0</v>
      </c>
    </row>
    <row r="900" spans="1:15" x14ac:dyDescent="0.3">
      <c r="A900" s="4">
        <v>300</v>
      </c>
      <c r="B900" s="4">
        <v>300000</v>
      </c>
      <c r="C900" s="4" t="s">
        <v>15</v>
      </c>
      <c r="D900" s="4" t="s">
        <v>161</v>
      </c>
      <c r="E900" s="4" t="s">
        <v>17</v>
      </c>
      <c r="F900" s="4" t="s">
        <v>18</v>
      </c>
      <c r="G900" s="5">
        <v>0.54444444444444451</v>
      </c>
      <c r="H900" s="5">
        <v>0.60000000000000009</v>
      </c>
      <c r="I900" s="5">
        <v>0.05</v>
      </c>
      <c r="J900" s="6">
        <v>0.50724637681159424</v>
      </c>
      <c r="K900" s="6">
        <v>0.84314285714285708</v>
      </c>
      <c r="L900" s="6">
        <v>0.74561234371928586</v>
      </c>
      <c r="M900" s="4" t="s">
        <v>65</v>
      </c>
      <c r="N900" s="5">
        <v>0.13596725121229489</v>
      </c>
      <c r="O900" s="4">
        <v>0</v>
      </c>
    </row>
    <row r="901" spans="1:15" x14ac:dyDescent="0.3">
      <c r="A901" s="4">
        <v>300</v>
      </c>
      <c r="B901" s="4">
        <v>300000</v>
      </c>
      <c r="C901" s="4" t="s">
        <v>15</v>
      </c>
      <c r="D901" s="4" t="s">
        <v>162</v>
      </c>
      <c r="E901" s="4" t="s">
        <v>17</v>
      </c>
      <c r="F901" s="4" t="s">
        <v>18</v>
      </c>
      <c r="G901" s="5">
        <v>0.81111111111111112</v>
      </c>
      <c r="H901" s="5">
        <v>0.60000000000000009</v>
      </c>
      <c r="I901" s="5">
        <v>0.05</v>
      </c>
      <c r="J901" s="6">
        <v>0.46376811594202899</v>
      </c>
      <c r="K901" s="6">
        <v>0.85437499999999988</v>
      </c>
      <c r="L901" s="6">
        <v>0.71381388668419665</v>
      </c>
      <c r="M901" s="4" t="s">
        <v>65</v>
      </c>
      <c r="N901" s="5">
        <v>0.13596725121229489</v>
      </c>
      <c r="O901" s="4">
        <v>0</v>
      </c>
    </row>
    <row r="902" spans="1:15" x14ac:dyDescent="0.3">
      <c r="A902" s="4">
        <v>301</v>
      </c>
      <c r="B902" s="4">
        <v>301000</v>
      </c>
      <c r="C902" s="4" t="s">
        <v>15</v>
      </c>
      <c r="D902" s="4" t="s">
        <v>16</v>
      </c>
      <c r="E902" s="4" t="s">
        <v>17</v>
      </c>
      <c r="F902" s="4" t="s">
        <v>18</v>
      </c>
      <c r="G902" s="5">
        <v>0.1</v>
      </c>
      <c r="H902" s="5">
        <v>0.4</v>
      </c>
      <c r="I902" s="5">
        <v>0.05</v>
      </c>
      <c r="J902" s="6">
        <v>0.67692307692307696</v>
      </c>
      <c r="K902" s="6">
        <v>0.75909090909090904</v>
      </c>
      <c r="L902" s="6">
        <v>0.70599574967224232</v>
      </c>
      <c r="M902" s="4" t="s">
        <v>34</v>
      </c>
      <c r="N902" s="5">
        <v>0.14257593306233721</v>
      </c>
      <c r="O902" s="4">
        <v>0</v>
      </c>
    </row>
    <row r="903" spans="1:15" x14ac:dyDescent="0.3">
      <c r="A903" s="4">
        <v>301</v>
      </c>
      <c r="B903" s="4">
        <v>301000</v>
      </c>
      <c r="C903" s="4" t="s">
        <v>15</v>
      </c>
      <c r="D903" s="4" t="s">
        <v>161</v>
      </c>
      <c r="E903" s="4" t="s">
        <v>17</v>
      </c>
      <c r="F903" s="4" t="s">
        <v>18</v>
      </c>
      <c r="G903" s="5">
        <v>0.54444444444444451</v>
      </c>
      <c r="H903" s="5">
        <v>0.60000000000000009</v>
      </c>
      <c r="I903" s="5">
        <v>0.05</v>
      </c>
      <c r="J903" s="6">
        <v>0.55384615384615388</v>
      </c>
      <c r="K903" s="6">
        <v>0.83611111111111103</v>
      </c>
      <c r="L903" s="6">
        <v>0.75828835796703431</v>
      </c>
      <c r="M903" s="4" t="s">
        <v>34</v>
      </c>
      <c r="N903" s="5">
        <v>0.14257593306233721</v>
      </c>
      <c r="O903" s="4">
        <v>0</v>
      </c>
    </row>
    <row r="904" spans="1:15" x14ac:dyDescent="0.3">
      <c r="A904" s="4">
        <v>301</v>
      </c>
      <c r="B904" s="4">
        <v>301000</v>
      </c>
      <c r="C904" s="4" t="s">
        <v>15</v>
      </c>
      <c r="D904" s="4" t="s">
        <v>162</v>
      </c>
      <c r="E904" s="4" t="s">
        <v>17</v>
      </c>
      <c r="F904" s="4" t="s">
        <v>18</v>
      </c>
      <c r="G904" s="5">
        <v>0.81111111111111112</v>
      </c>
      <c r="H904" s="5">
        <v>0.60000000000000009</v>
      </c>
      <c r="I904" s="5">
        <v>0.05</v>
      </c>
      <c r="J904" s="6">
        <v>0.46153846153846162</v>
      </c>
      <c r="K904" s="6">
        <v>0.85533333333333306</v>
      </c>
      <c r="L904" s="6">
        <v>0.67567477526164477</v>
      </c>
      <c r="M904" s="4" t="s">
        <v>34</v>
      </c>
      <c r="N904" s="5">
        <v>0.14257593306233721</v>
      </c>
      <c r="O904" s="4">
        <v>0</v>
      </c>
    </row>
    <row r="905" spans="1:15" x14ac:dyDescent="0.3">
      <c r="A905" s="4">
        <v>302</v>
      </c>
      <c r="B905" s="4">
        <v>302000</v>
      </c>
      <c r="C905" s="4" t="s">
        <v>15</v>
      </c>
      <c r="D905" s="4" t="s">
        <v>16</v>
      </c>
      <c r="E905" s="4" t="s">
        <v>17</v>
      </c>
      <c r="F905" s="4" t="s">
        <v>18</v>
      </c>
      <c r="G905" s="5">
        <v>0.1</v>
      </c>
      <c r="H905" s="5">
        <v>0.4</v>
      </c>
      <c r="I905" s="5">
        <v>0.05</v>
      </c>
      <c r="J905" s="6">
        <v>0.71186440677966101</v>
      </c>
      <c r="K905" s="6">
        <v>0.76047619047619042</v>
      </c>
      <c r="L905" s="6">
        <v>0.73112237527572432</v>
      </c>
      <c r="M905" s="4" t="s">
        <v>131</v>
      </c>
      <c r="N905" s="5">
        <v>0.2393604514748528</v>
      </c>
      <c r="O905" s="4">
        <v>1</v>
      </c>
    </row>
    <row r="906" spans="1:15" x14ac:dyDescent="0.3">
      <c r="A906" s="4">
        <v>302</v>
      </c>
      <c r="B906" s="4">
        <v>302000</v>
      </c>
      <c r="C906" s="4" t="s">
        <v>15</v>
      </c>
      <c r="D906" s="4" t="s">
        <v>161</v>
      </c>
      <c r="E906" s="4" t="s">
        <v>17</v>
      </c>
      <c r="F906" s="4" t="s">
        <v>18</v>
      </c>
      <c r="G906" s="5">
        <v>0.4555555555555556</v>
      </c>
      <c r="H906" s="5">
        <v>0.4</v>
      </c>
      <c r="I906" s="5">
        <v>0.05</v>
      </c>
      <c r="J906" s="6">
        <v>0.67796610169491522</v>
      </c>
      <c r="K906" s="6">
        <v>0.78349999999999986</v>
      </c>
      <c r="L906" s="6">
        <v>0.76692218729050932</v>
      </c>
      <c r="M906" s="4" t="s">
        <v>131</v>
      </c>
      <c r="N906" s="5">
        <v>0.2393604514748528</v>
      </c>
      <c r="O906" s="4">
        <v>1</v>
      </c>
    </row>
    <row r="907" spans="1:15" x14ac:dyDescent="0.3">
      <c r="A907" s="4">
        <v>302</v>
      </c>
      <c r="B907" s="4">
        <v>302000</v>
      </c>
      <c r="C907" s="4" t="s">
        <v>15</v>
      </c>
      <c r="D907" s="4" t="s">
        <v>162</v>
      </c>
      <c r="E907" s="4" t="s">
        <v>17</v>
      </c>
      <c r="F907" s="4" t="s">
        <v>18</v>
      </c>
      <c r="G907" s="5">
        <v>0.81111111111111112</v>
      </c>
      <c r="H907" s="5">
        <v>0.4</v>
      </c>
      <c r="I907" s="5">
        <v>0.05</v>
      </c>
      <c r="J907" s="6">
        <v>0.50847457627118642</v>
      </c>
      <c r="K907" s="6">
        <v>0.84966666666666657</v>
      </c>
      <c r="L907" s="6">
        <v>0.68031495232231542</v>
      </c>
      <c r="M907" s="4" t="s">
        <v>131</v>
      </c>
      <c r="N907" s="5">
        <v>0.2393604514748528</v>
      </c>
      <c r="O907" s="4">
        <v>1</v>
      </c>
    </row>
    <row r="908" spans="1:15" x14ac:dyDescent="0.3">
      <c r="A908" s="4">
        <v>303</v>
      </c>
      <c r="B908" s="4">
        <v>303000</v>
      </c>
      <c r="C908" s="4" t="s">
        <v>15</v>
      </c>
      <c r="D908" s="4" t="s">
        <v>16</v>
      </c>
      <c r="E908" s="4" t="s">
        <v>17</v>
      </c>
      <c r="F908" s="4" t="s">
        <v>18</v>
      </c>
      <c r="G908" s="5">
        <v>0.1</v>
      </c>
      <c r="H908" s="5">
        <v>0.4</v>
      </c>
      <c r="I908" s="5">
        <v>0.05</v>
      </c>
      <c r="J908" s="6">
        <v>0.63492063492063489</v>
      </c>
      <c r="K908" s="6">
        <v>0.7912499999999999</v>
      </c>
      <c r="L908" s="6">
        <v>0.77235139223413884</v>
      </c>
      <c r="M908" s="4" t="s">
        <v>19</v>
      </c>
      <c r="N908" s="5">
        <v>1</v>
      </c>
      <c r="O908" s="4">
        <v>1</v>
      </c>
    </row>
    <row r="909" spans="1:15" x14ac:dyDescent="0.3">
      <c r="A909" s="4">
        <v>303</v>
      </c>
      <c r="B909" s="4">
        <v>303000</v>
      </c>
      <c r="C909" s="4" t="s">
        <v>15</v>
      </c>
      <c r="D909" s="4" t="s">
        <v>161</v>
      </c>
      <c r="E909" s="4" t="s">
        <v>17</v>
      </c>
      <c r="F909" s="4" t="s">
        <v>18</v>
      </c>
      <c r="G909" s="5">
        <v>0.18888888888888891</v>
      </c>
      <c r="H909" s="5">
        <v>0.4</v>
      </c>
      <c r="I909" s="5">
        <v>0.05</v>
      </c>
      <c r="J909" s="6">
        <v>0.61904761904761907</v>
      </c>
      <c r="K909" s="6">
        <v>0.80820512820512813</v>
      </c>
      <c r="L909" s="6">
        <v>0.77769898581702646</v>
      </c>
      <c r="M909" s="4" t="s">
        <v>19</v>
      </c>
      <c r="N909" s="5">
        <v>1</v>
      </c>
      <c r="O909" s="4">
        <v>1</v>
      </c>
    </row>
    <row r="910" spans="1:15" x14ac:dyDescent="0.3">
      <c r="A910" s="4">
        <v>303</v>
      </c>
      <c r="B910" s="4">
        <v>303000</v>
      </c>
      <c r="C910" s="4" t="s">
        <v>15</v>
      </c>
      <c r="D910" s="4" t="s">
        <v>162</v>
      </c>
      <c r="E910" s="4" t="s">
        <v>17</v>
      </c>
      <c r="F910" s="4" t="s">
        <v>18</v>
      </c>
      <c r="G910" s="5">
        <v>0.81111111111111112</v>
      </c>
      <c r="H910" s="5">
        <v>0.4</v>
      </c>
      <c r="I910" s="5">
        <v>0.05</v>
      </c>
      <c r="J910" s="6">
        <v>0.49206349206349198</v>
      </c>
      <c r="K910" s="6">
        <v>0.8606451612903222</v>
      </c>
      <c r="L910" s="6">
        <v>0.70358484287214873</v>
      </c>
      <c r="M910" s="4" t="s">
        <v>19</v>
      </c>
      <c r="N910" s="5">
        <v>1</v>
      </c>
      <c r="O910" s="4">
        <v>1</v>
      </c>
    </row>
    <row r="911" spans="1:15" x14ac:dyDescent="0.3">
      <c r="A911" s="4">
        <v>304</v>
      </c>
      <c r="B911" s="4">
        <v>304000</v>
      </c>
      <c r="C911" s="4" t="s">
        <v>15</v>
      </c>
      <c r="D911" s="4" t="s">
        <v>16</v>
      </c>
      <c r="E911" s="4" t="s">
        <v>17</v>
      </c>
      <c r="F911" s="4" t="s">
        <v>18</v>
      </c>
      <c r="G911" s="5">
        <v>0.1</v>
      </c>
      <c r="H911" s="5">
        <v>0.4</v>
      </c>
      <c r="I911" s="5">
        <v>0.05</v>
      </c>
      <c r="J911" s="6">
        <v>0.7</v>
      </c>
      <c r="K911" s="6">
        <v>0.78999999999999981</v>
      </c>
      <c r="L911" s="6">
        <v>0.65283121400245958</v>
      </c>
      <c r="M911" s="4" t="s">
        <v>19</v>
      </c>
      <c r="N911" s="5">
        <v>1</v>
      </c>
      <c r="O911" s="4">
        <v>1</v>
      </c>
    </row>
    <row r="912" spans="1:15" x14ac:dyDescent="0.3">
      <c r="A912" s="4">
        <v>304</v>
      </c>
      <c r="B912" s="4">
        <v>304000</v>
      </c>
      <c r="C912" s="4" t="s">
        <v>15</v>
      </c>
      <c r="D912" s="4" t="s">
        <v>161</v>
      </c>
      <c r="E912" s="4" t="s">
        <v>17</v>
      </c>
      <c r="F912" s="4" t="s">
        <v>18</v>
      </c>
      <c r="G912" s="5">
        <v>0.54444444444444451</v>
      </c>
      <c r="H912" s="5">
        <v>0.4</v>
      </c>
      <c r="I912" s="5">
        <v>0.05</v>
      </c>
      <c r="J912" s="6">
        <v>0.56666666666666665</v>
      </c>
      <c r="K912" s="6">
        <v>0.86382352941176466</v>
      </c>
      <c r="L912" s="6">
        <v>0.75804974465034913</v>
      </c>
      <c r="M912" s="4" t="s">
        <v>19</v>
      </c>
      <c r="N912" s="5">
        <v>1</v>
      </c>
      <c r="O912" s="4">
        <v>1</v>
      </c>
    </row>
    <row r="913" spans="1:15" x14ac:dyDescent="0.3">
      <c r="A913" s="4">
        <v>304</v>
      </c>
      <c r="B913" s="4">
        <v>304000</v>
      </c>
      <c r="C913" s="4" t="s">
        <v>15</v>
      </c>
      <c r="D913" s="4" t="s">
        <v>162</v>
      </c>
      <c r="E913" s="4" t="s">
        <v>17</v>
      </c>
      <c r="F913" s="4" t="s">
        <v>18</v>
      </c>
      <c r="G913" s="5">
        <v>0.9</v>
      </c>
      <c r="H913" s="5">
        <v>0.4</v>
      </c>
      <c r="I913" s="5">
        <v>0.05</v>
      </c>
      <c r="J913" s="6">
        <v>0.38333333333333341</v>
      </c>
      <c r="K913" s="6">
        <v>0.88826086956521721</v>
      </c>
      <c r="L913" s="6">
        <v>0.60231054348543278</v>
      </c>
      <c r="M913" s="4" t="s">
        <v>19</v>
      </c>
      <c r="N913" s="5">
        <v>1</v>
      </c>
      <c r="O913" s="4">
        <v>1</v>
      </c>
    </row>
    <row r="914" spans="1:15" x14ac:dyDescent="0.3">
      <c r="A914" s="4">
        <v>305</v>
      </c>
      <c r="B914" s="4">
        <v>305000</v>
      </c>
      <c r="C914" s="4" t="s">
        <v>15</v>
      </c>
      <c r="D914" s="4" t="s">
        <v>16</v>
      </c>
      <c r="E914" s="4" t="s">
        <v>17</v>
      </c>
      <c r="F914" s="4" t="s">
        <v>18</v>
      </c>
      <c r="G914" s="5">
        <v>0.1</v>
      </c>
      <c r="H914" s="5">
        <v>0.4</v>
      </c>
      <c r="I914" s="5">
        <v>0.05</v>
      </c>
      <c r="J914" s="6">
        <v>0.69354838709677424</v>
      </c>
      <c r="K914" s="6">
        <v>0.78372093023255807</v>
      </c>
      <c r="L914" s="6">
        <v>0.66117731756970499</v>
      </c>
      <c r="M914" s="4" t="s">
        <v>119</v>
      </c>
      <c r="N914" s="5">
        <v>0.14520682781370431</v>
      </c>
      <c r="O914" s="4">
        <v>0</v>
      </c>
    </row>
    <row r="915" spans="1:15" x14ac:dyDescent="0.3">
      <c r="A915" s="4">
        <v>305</v>
      </c>
      <c r="B915" s="4">
        <v>305000</v>
      </c>
      <c r="C915" s="4" t="s">
        <v>15</v>
      </c>
      <c r="D915" s="4" t="s">
        <v>161</v>
      </c>
      <c r="E915" s="4" t="s">
        <v>17</v>
      </c>
      <c r="F915" s="4" t="s">
        <v>18</v>
      </c>
      <c r="G915" s="5">
        <v>0.54444444444444451</v>
      </c>
      <c r="H915" s="5">
        <v>0.4</v>
      </c>
      <c r="I915" s="5">
        <v>0.05</v>
      </c>
      <c r="J915" s="6">
        <v>0.58064516129032262</v>
      </c>
      <c r="K915" s="6">
        <v>0.8438888888888888</v>
      </c>
      <c r="L915" s="6">
        <v>0.75235107683066138</v>
      </c>
      <c r="M915" s="4" t="s">
        <v>119</v>
      </c>
      <c r="N915" s="5">
        <v>0.14520682781370431</v>
      </c>
      <c r="O915" s="4">
        <v>0</v>
      </c>
    </row>
    <row r="916" spans="1:15" x14ac:dyDescent="0.3">
      <c r="A916" s="4">
        <v>305</v>
      </c>
      <c r="B916" s="4">
        <v>305000</v>
      </c>
      <c r="C916" s="4" t="s">
        <v>15</v>
      </c>
      <c r="D916" s="4" t="s">
        <v>162</v>
      </c>
      <c r="E916" s="4" t="s">
        <v>17</v>
      </c>
      <c r="F916" s="4" t="s">
        <v>18</v>
      </c>
      <c r="G916" s="5">
        <v>0.9</v>
      </c>
      <c r="H916" s="5">
        <v>0.4</v>
      </c>
      <c r="I916" s="5">
        <v>0.05</v>
      </c>
      <c r="J916" s="6">
        <v>0.41935483870967738</v>
      </c>
      <c r="K916" s="6">
        <v>0.8603846153846153</v>
      </c>
      <c r="L916" s="6">
        <v>0.68380458786783993</v>
      </c>
      <c r="M916" s="4" t="s">
        <v>119</v>
      </c>
      <c r="N916" s="5">
        <v>0.14520682781370431</v>
      </c>
      <c r="O916" s="4">
        <v>0</v>
      </c>
    </row>
    <row r="917" spans="1:15" x14ac:dyDescent="0.3">
      <c r="A917" s="4">
        <v>306</v>
      </c>
      <c r="B917" s="4">
        <v>306000</v>
      </c>
      <c r="C917" s="4" t="s">
        <v>15</v>
      </c>
      <c r="D917" s="4" t="s">
        <v>16</v>
      </c>
      <c r="E917" s="4" t="s">
        <v>17</v>
      </c>
      <c r="F917" s="4" t="s">
        <v>18</v>
      </c>
      <c r="G917" s="5">
        <v>0.1</v>
      </c>
      <c r="H917" s="5">
        <v>0.4</v>
      </c>
      <c r="I917" s="5">
        <v>0.05</v>
      </c>
      <c r="J917" s="6">
        <v>0.70769230769230773</v>
      </c>
      <c r="K917" s="6">
        <v>0.76260869565217393</v>
      </c>
      <c r="L917" s="6">
        <v>0.69071377690819957</v>
      </c>
      <c r="M917" s="4" t="s">
        <v>132</v>
      </c>
      <c r="N917" s="5">
        <v>0.2040543471557166</v>
      </c>
      <c r="O917" s="4">
        <v>1</v>
      </c>
    </row>
    <row r="918" spans="1:15" x14ac:dyDescent="0.3">
      <c r="A918" s="4">
        <v>306</v>
      </c>
      <c r="B918" s="4">
        <v>306000</v>
      </c>
      <c r="C918" s="4" t="s">
        <v>15</v>
      </c>
      <c r="D918" s="4" t="s">
        <v>161</v>
      </c>
      <c r="E918" s="4" t="s">
        <v>17</v>
      </c>
      <c r="F918" s="4" t="s">
        <v>18</v>
      </c>
      <c r="G918" s="5">
        <v>0.54444444444444451</v>
      </c>
      <c r="H918" s="5">
        <v>0.4</v>
      </c>
      <c r="I918" s="5">
        <v>0.05</v>
      </c>
      <c r="J918" s="6">
        <v>0.56923076923076921</v>
      </c>
      <c r="K918" s="6">
        <v>0.84297297297297291</v>
      </c>
      <c r="L918" s="6">
        <v>0.81368331973177488</v>
      </c>
      <c r="M918" s="4" t="s">
        <v>132</v>
      </c>
      <c r="N918" s="5">
        <v>0.2040543471557166</v>
      </c>
      <c r="O918" s="4">
        <v>1</v>
      </c>
    </row>
    <row r="919" spans="1:15" x14ac:dyDescent="0.3">
      <c r="A919" s="4">
        <v>306</v>
      </c>
      <c r="B919" s="4">
        <v>306000</v>
      </c>
      <c r="C919" s="4" t="s">
        <v>15</v>
      </c>
      <c r="D919" s="4" t="s">
        <v>162</v>
      </c>
      <c r="E919" s="4" t="s">
        <v>17</v>
      </c>
      <c r="F919" s="4" t="s">
        <v>18</v>
      </c>
      <c r="G919" s="5">
        <v>0.9</v>
      </c>
      <c r="H919" s="5">
        <v>0.4</v>
      </c>
      <c r="I919" s="5">
        <v>0.05</v>
      </c>
      <c r="J919" s="6">
        <v>0.41538461538461541</v>
      </c>
      <c r="K919" s="6">
        <v>0.86185185185185176</v>
      </c>
      <c r="L919" s="6">
        <v>0.69852048561739599</v>
      </c>
      <c r="M919" s="4" t="s">
        <v>132</v>
      </c>
      <c r="N919" s="5">
        <v>0.2040543471557166</v>
      </c>
      <c r="O919" s="4">
        <v>1</v>
      </c>
    </row>
    <row r="920" spans="1:15" x14ac:dyDescent="0.3">
      <c r="A920" s="4">
        <v>307</v>
      </c>
      <c r="B920" s="4">
        <v>307000</v>
      </c>
      <c r="C920" s="4" t="s">
        <v>15</v>
      </c>
      <c r="D920" s="4" t="s">
        <v>16</v>
      </c>
      <c r="E920" s="4" t="s">
        <v>17</v>
      </c>
      <c r="F920" s="4" t="s">
        <v>18</v>
      </c>
      <c r="G920" s="5">
        <v>0.1</v>
      </c>
      <c r="H920" s="5">
        <v>0.4</v>
      </c>
      <c r="I920" s="5">
        <v>0.05</v>
      </c>
      <c r="J920" s="6">
        <v>0.734375</v>
      </c>
      <c r="K920" s="6">
        <v>0.78085106382978731</v>
      </c>
      <c r="L920" s="6">
        <v>0.69800634939853123</v>
      </c>
      <c r="M920" s="4" t="s">
        <v>19</v>
      </c>
      <c r="N920" s="5">
        <v>1</v>
      </c>
      <c r="O920" s="4">
        <v>1</v>
      </c>
    </row>
    <row r="921" spans="1:15" x14ac:dyDescent="0.3">
      <c r="A921" s="4">
        <v>307</v>
      </c>
      <c r="B921" s="4">
        <v>307000</v>
      </c>
      <c r="C921" s="4" t="s">
        <v>15</v>
      </c>
      <c r="D921" s="4" t="s">
        <v>161</v>
      </c>
      <c r="E921" s="4" t="s">
        <v>17</v>
      </c>
      <c r="F921" s="4" t="s">
        <v>18</v>
      </c>
      <c r="G921" s="5">
        <v>0.72222222222222221</v>
      </c>
      <c r="H921" s="5">
        <v>0.4</v>
      </c>
      <c r="I921" s="5">
        <v>0.05</v>
      </c>
      <c r="J921" s="6">
        <v>0.5625</v>
      </c>
      <c r="K921" s="6">
        <v>0.85333333333333306</v>
      </c>
      <c r="L921" s="6">
        <v>0.83156310985653492</v>
      </c>
      <c r="M921" s="4" t="s">
        <v>19</v>
      </c>
      <c r="N921" s="5">
        <v>1</v>
      </c>
      <c r="O921" s="4">
        <v>1</v>
      </c>
    </row>
    <row r="922" spans="1:15" x14ac:dyDescent="0.3">
      <c r="A922" s="4">
        <v>307</v>
      </c>
      <c r="B922" s="4">
        <v>307000</v>
      </c>
      <c r="C922" s="4" t="s">
        <v>15</v>
      </c>
      <c r="D922" s="4" t="s">
        <v>162</v>
      </c>
      <c r="E922" s="4" t="s">
        <v>17</v>
      </c>
      <c r="F922" s="4" t="s">
        <v>18</v>
      </c>
      <c r="G922" s="5">
        <v>0.81111111111111112</v>
      </c>
      <c r="H922" s="5">
        <v>0.4</v>
      </c>
      <c r="I922" s="5">
        <v>0.05</v>
      </c>
      <c r="J922" s="6">
        <v>0.515625</v>
      </c>
      <c r="K922" s="6">
        <v>0.86272727272727245</v>
      </c>
      <c r="L922" s="6">
        <v>0.80261178205751071</v>
      </c>
      <c r="M922" s="4" t="s">
        <v>19</v>
      </c>
      <c r="N922" s="5">
        <v>1</v>
      </c>
      <c r="O922" s="4">
        <v>1</v>
      </c>
    </row>
    <row r="923" spans="1:15" x14ac:dyDescent="0.3">
      <c r="A923" s="4">
        <v>308</v>
      </c>
      <c r="B923" s="4">
        <v>308000</v>
      </c>
      <c r="C923" s="4" t="s">
        <v>15</v>
      </c>
      <c r="D923" s="4" t="s">
        <v>16</v>
      </c>
      <c r="E923" s="4" t="s">
        <v>17</v>
      </c>
      <c r="F923" s="4" t="s">
        <v>18</v>
      </c>
      <c r="G923" s="5">
        <v>0.1</v>
      </c>
      <c r="H923" s="5">
        <v>0.4</v>
      </c>
      <c r="I923" s="5">
        <v>0.05</v>
      </c>
      <c r="J923" s="6">
        <v>0.74626865671641796</v>
      </c>
      <c r="K923" s="6">
        <v>0.74639999999999995</v>
      </c>
      <c r="L923" s="6">
        <v>0.64093950515040266</v>
      </c>
      <c r="M923" s="4" t="s">
        <v>19</v>
      </c>
      <c r="N923" s="5">
        <v>1</v>
      </c>
      <c r="O923" s="4">
        <v>1</v>
      </c>
    </row>
    <row r="924" spans="1:15" x14ac:dyDescent="0.3">
      <c r="A924" s="4">
        <v>308</v>
      </c>
      <c r="B924" s="4">
        <v>308000</v>
      </c>
      <c r="C924" s="4" t="s">
        <v>15</v>
      </c>
      <c r="D924" s="4" t="s">
        <v>161</v>
      </c>
      <c r="E924" s="4" t="s">
        <v>17</v>
      </c>
      <c r="F924" s="4" t="s">
        <v>18</v>
      </c>
      <c r="G924" s="5">
        <v>0.54444444444444451</v>
      </c>
      <c r="H924" s="5">
        <v>0.4</v>
      </c>
      <c r="I924" s="5">
        <v>0.05</v>
      </c>
      <c r="J924" s="6">
        <v>0.58208955223880599</v>
      </c>
      <c r="K924" s="6">
        <v>0.8325641025641024</v>
      </c>
      <c r="L924" s="6">
        <v>0.84512931504182542</v>
      </c>
      <c r="M924" s="4" t="s">
        <v>19</v>
      </c>
      <c r="N924" s="5">
        <v>1</v>
      </c>
      <c r="O924" s="4">
        <v>1</v>
      </c>
    </row>
    <row r="925" spans="1:15" x14ac:dyDescent="0.3">
      <c r="A925" s="4">
        <v>308</v>
      </c>
      <c r="B925" s="4">
        <v>308000</v>
      </c>
      <c r="C925" s="4" t="s">
        <v>15</v>
      </c>
      <c r="D925" s="4" t="s">
        <v>162</v>
      </c>
      <c r="E925" s="4" t="s">
        <v>17</v>
      </c>
      <c r="F925" s="4" t="s">
        <v>18</v>
      </c>
      <c r="G925" s="5">
        <v>0.81111111111111112</v>
      </c>
      <c r="H925" s="5">
        <v>0.4</v>
      </c>
      <c r="I925" s="5">
        <v>0.05</v>
      </c>
      <c r="J925" s="6">
        <v>0.4925373134328358</v>
      </c>
      <c r="K925" s="6">
        <v>0.8596969696969694</v>
      </c>
      <c r="L925" s="6">
        <v>0.7956966716180689</v>
      </c>
      <c r="M925" s="4" t="s">
        <v>19</v>
      </c>
      <c r="N925" s="5">
        <v>1</v>
      </c>
      <c r="O925" s="4">
        <v>1</v>
      </c>
    </row>
    <row r="926" spans="1:15" x14ac:dyDescent="0.3">
      <c r="A926" s="4">
        <v>309</v>
      </c>
      <c r="B926" s="4">
        <v>309000</v>
      </c>
      <c r="C926" s="4" t="s">
        <v>15</v>
      </c>
      <c r="D926" s="4" t="s">
        <v>16</v>
      </c>
      <c r="E926" s="4" t="s">
        <v>17</v>
      </c>
      <c r="F926" s="4" t="s">
        <v>18</v>
      </c>
      <c r="G926" s="5">
        <v>0.1</v>
      </c>
      <c r="H926" s="5">
        <v>0.4</v>
      </c>
      <c r="I926" s="5">
        <v>0.05</v>
      </c>
      <c r="J926" s="6">
        <v>0.7846153846153846</v>
      </c>
      <c r="K926" s="6">
        <v>0.75</v>
      </c>
      <c r="L926" s="6">
        <v>0.77171611855460875</v>
      </c>
      <c r="M926" s="4" t="s">
        <v>118</v>
      </c>
      <c r="N926" s="5">
        <v>8.6601513360103438E-2</v>
      </c>
      <c r="O926" s="4">
        <v>0</v>
      </c>
    </row>
    <row r="927" spans="1:15" x14ac:dyDescent="0.3">
      <c r="A927" s="4">
        <v>309</v>
      </c>
      <c r="B927" s="4">
        <v>309000</v>
      </c>
      <c r="C927" s="4" t="s">
        <v>15</v>
      </c>
      <c r="D927" s="4" t="s">
        <v>161</v>
      </c>
      <c r="E927" s="4" t="s">
        <v>17</v>
      </c>
      <c r="F927" s="4" t="s">
        <v>18</v>
      </c>
      <c r="G927" s="5">
        <v>0.54444444444444451</v>
      </c>
      <c r="H927" s="5">
        <v>0.4</v>
      </c>
      <c r="I927" s="5">
        <v>0.05</v>
      </c>
      <c r="J927" s="6">
        <v>0.58461538461538465</v>
      </c>
      <c r="K927" s="6">
        <v>0.83605263157894727</v>
      </c>
      <c r="L927" s="6">
        <v>0.83176192363385937</v>
      </c>
      <c r="M927" s="4" t="s">
        <v>118</v>
      </c>
      <c r="N927" s="5">
        <v>8.6601513360103438E-2</v>
      </c>
      <c r="O927" s="4">
        <v>0</v>
      </c>
    </row>
    <row r="928" spans="1:15" x14ac:dyDescent="0.3">
      <c r="A928" s="4">
        <v>309</v>
      </c>
      <c r="B928" s="4">
        <v>309000</v>
      </c>
      <c r="C928" s="4" t="s">
        <v>15</v>
      </c>
      <c r="D928" s="4" t="s">
        <v>162</v>
      </c>
      <c r="E928" s="4" t="s">
        <v>17</v>
      </c>
      <c r="F928" s="4" t="s">
        <v>18</v>
      </c>
      <c r="G928" s="5">
        <v>0.81111111111111112</v>
      </c>
      <c r="H928" s="5">
        <v>0.4</v>
      </c>
      <c r="I928" s="5">
        <v>0.05</v>
      </c>
      <c r="J928" s="6">
        <v>0.49230769230769228</v>
      </c>
      <c r="K928" s="6">
        <v>0.8581249999999998</v>
      </c>
      <c r="L928" s="6">
        <v>0.76623812489402388</v>
      </c>
      <c r="M928" s="4" t="s">
        <v>118</v>
      </c>
      <c r="N928" s="5">
        <v>8.6601513360103438E-2</v>
      </c>
      <c r="O928" s="4">
        <v>0</v>
      </c>
    </row>
    <row r="929" spans="1:15" x14ac:dyDescent="0.3">
      <c r="A929" s="4">
        <v>310</v>
      </c>
      <c r="B929" s="4">
        <v>310000</v>
      </c>
      <c r="C929" s="4" t="s">
        <v>15</v>
      </c>
      <c r="D929" s="4" t="s">
        <v>16</v>
      </c>
      <c r="E929" s="4" t="s">
        <v>17</v>
      </c>
      <c r="F929" s="4" t="s">
        <v>18</v>
      </c>
      <c r="G929" s="5">
        <v>0.1</v>
      </c>
      <c r="H929" s="5">
        <v>0.4</v>
      </c>
      <c r="I929" s="5">
        <v>0.05</v>
      </c>
      <c r="J929" s="6">
        <v>0.73333333333333328</v>
      </c>
      <c r="K929" s="6">
        <v>0.73999999999999977</v>
      </c>
      <c r="L929" s="6">
        <v>0.72023648495051407</v>
      </c>
      <c r="M929" s="4" t="s">
        <v>19</v>
      </c>
      <c r="N929" s="5">
        <v>1</v>
      </c>
      <c r="O929" s="4">
        <v>1</v>
      </c>
    </row>
    <row r="930" spans="1:15" x14ac:dyDescent="0.3">
      <c r="A930" s="4">
        <v>310</v>
      </c>
      <c r="B930" s="4">
        <v>310000</v>
      </c>
      <c r="C930" s="4" t="s">
        <v>15</v>
      </c>
      <c r="D930" s="4" t="s">
        <v>161</v>
      </c>
      <c r="E930" s="4" t="s">
        <v>17</v>
      </c>
      <c r="F930" s="4" t="s">
        <v>18</v>
      </c>
      <c r="G930" s="5">
        <v>0.4555555555555556</v>
      </c>
      <c r="H930" s="5">
        <v>0.60000000000000009</v>
      </c>
      <c r="I930" s="5">
        <v>0.05</v>
      </c>
      <c r="J930" s="6">
        <v>0.68333333333333335</v>
      </c>
      <c r="K930" s="6">
        <v>0.78048780487804847</v>
      </c>
      <c r="L930" s="6">
        <v>0.81877210244954635</v>
      </c>
      <c r="M930" s="4" t="s">
        <v>19</v>
      </c>
      <c r="N930" s="5">
        <v>1</v>
      </c>
      <c r="O930" s="4">
        <v>1</v>
      </c>
    </row>
    <row r="931" spans="1:15" x14ac:dyDescent="0.3">
      <c r="A931" s="4">
        <v>310</v>
      </c>
      <c r="B931" s="4">
        <v>310000</v>
      </c>
      <c r="C931" s="4" t="s">
        <v>15</v>
      </c>
      <c r="D931" s="4" t="s">
        <v>162</v>
      </c>
      <c r="E931" s="4" t="s">
        <v>17</v>
      </c>
      <c r="F931" s="4" t="s">
        <v>18</v>
      </c>
      <c r="G931" s="5">
        <v>0.81111111111111112</v>
      </c>
      <c r="H931" s="5">
        <v>0.60000000000000009</v>
      </c>
      <c r="I931" s="5">
        <v>0.05</v>
      </c>
      <c r="J931" s="6">
        <v>0.5</v>
      </c>
      <c r="K931" s="6">
        <v>0.85099999999999953</v>
      </c>
      <c r="L931" s="6">
        <v>0.75865489605124448</v>
      </c>
      <c r="M931" s="4" t="s">
        <v>19</v>
      </c>
      <c r="N931" s="5">
        <v>1</v>
      </c>
      <c r="O931" s="4">
        <v>1</v>
      </c>
    </row>
    <row r="932" spans="1:15" x14ac:dyDescent="0.3">
      <c r="A932" s="4">
        <v>311</v>
      </c>
      <c r="B932" s="4">
        <v>311000</v>
      </c>
      <c r="C932" s="4" t="s">
        <v>15</v>
      </c>
      <c r="D932" s="4" t="s">
        <v>16</v>
      </c>
      <c r="E932" s="4" t="s">
        <v>17</v>
      </c>
      <c r="F932" s="4" t="s">
        <v>18</v>
      </c>
      <c r="G932" s="5">
        <v>0.1</v>
      </c>
      <c r="H932" s="5">
        <v>0.4</v>
      </c>
      <c r="I932" s="5">
        <v>0.05</v>
      </c>
      <c r="J932" s="6">
        <v>0.67241379310344829</v>
      </c>
      <c r="K932" s="6">
        <v>0.78179487179487162</v>
      </c>
      <c r="L932" s="6">
        <v>0.76357393467263179</v>
      </c>
      <c r="M932" s="4" t="s">
        <v>106</v>
      </c>
      <c r="N932" s="5">
        <v>8.2345268924873413E-2</v>
      </c>
      <c r="O932" s="4">
        <v>0</v>
      </c>
    </row>
    <row r="933" spans="1:15" x14ac:dyDescent="0.3">
      <c r="A933" s="4">
        <v>311</v>
      </c>
      <c r="B933" s="4">
        <v>311000</v>
      </c>
      <c r="C933" s="4" t="s">
        <v>15</v>
      </c>
      <c r="D933" s="4" t="s">
        <v>161</v>
      </c>
      <c r="E933" s="4" t="s">
        <v>17</v>
      </c>
      <c r="F933" s="4" t="s">
        <v>18</v>
      </c>
      <c r="G933" s="5">
        <v>0.4555555555555556</v>
      </c>
      <c r="H933" s="5">
        <v>0.60000000000000009</v>
      </c>
      <c r="I933" s="5">
        <v>0.05</v>
      </c>
      <c r="J933" s="6">
        <v>0.63793103448275867</v>
      </c>
      <c r="K933" s="6">
        <v>0.81162162162162155</v>
      </c>
      <c r="L933" s="6">
        <v>0.81624858098043018</v>
      </c>
      <c r="M933" s="4" t="s">
        <v>106</v>
      </c>
      <c r="N933" s="5">
        <v>8.2345268924873413E-2</v>
      </c>
      <c r="O933" s="4">
        <v>0</v>
      </c>
    </row>
    <row r="934" spans="1:15" x14ac:dyDescent="0.3">
      <c r="A934" s="4">
        <v>311</v>
      </c>
      <c r="B934" s="4">
        <v>311000</v>
      </c>
      <c r="C934" s="4" t="s">
        <v>15</v>
      </c>
      <c r="D934" s="4" t="s">
        <v>162</v>
      </c>
      <c r="E934" s="4" t="s">
        <v>17</v>
      </c>
      <c r="F934" s="4" t="s">
        <v>18</v>
      </c>
      <c r="G934" s="5">
        <v>0.81111111111111112</v>
      </c>
      <c r="H934" s="5">
        <v>0.60000000000000009</v>
      </c>
      <c r="I934" s="5">
        <v>0.05</v>
      </c>
      <c r="J934" s="6">
        <v>0.51724137931034486</v>
      </c>
      <c r="K934" s="6">
        <v>0.85299999999999976</v>
      </c>
      <c r="L934" s="6">
        <v>0.6898789252101386</v>
      </c>
      <c r="M934" s="4" t="s">
        <v>106</v>
      </c>
      <c r="N934" s="5">
        <v>8.2345268924873413E-2</v>
      </c>
      <c r="O934" s="4">
        <v>0</v>
      </c>
    </row>
    <row r="935" spans="1:15" x14ac:dyDescent="0.3">
      <c r="A935" s="4">
        <v>312</v>
      </c>
      <c r="B935" s="4">
        <v>312000</v>
      </c>
      <c r="C935" s="4" t="s">
        <v>15</v>
      </c>
      <c r="D935" s="4" t="s">
        <v>16</v>
      </c>
      <c r="E935" s="4" t="s">
        <v>17</v>
      </c>
      <c r="F935" s="4" t="s">
        <v>18</v>
      </c>
      <c r="G935" s="5">
        <v>0.1</v>
      </c>
      <c r="H935" s="5">
        <v>0.4</v>
      </c>
      <c r="I935" s="5">
        <v>0.05</v>
      </c>
      <c r="J935" s="6">
        <v>0.7</v>
      </c>
      <c r="K935" s="6">
        <v>0.76333333333333353</v>
      </c>
      <c r="L935" s="6">
        <v>0.6217866553089062</v>
      </c>
      <c r="M935" s="4" t="s">
        <v>19</v>
      </c>
      <c r="N935" s="5">
        <v>1</v>
      </c>
      <c r="O935" s="4">
        <v>1</v>
      </c>
    </row>
    <row r="936" spans="1:15" x14ac:dyDescent="0.3">
      <c r="A936" s="4">
        <v>312</v>
      </c>
      <c r="B936" s="4">
        <v>312000</v>
      </c>
      <c r="C936" s="4" t="s">
        <v>15</v>
      </c>
      <c r="D936" s="4" t="s">
        <v>161</v>
      </c>
      <c r="E936" s="4" t="s">
        <v>17</v>
      </c>
      <c r="F936" s="4" t="s">
        <v>18</v>
      </c>
      <c r="G936" s="5">
        <v>0.54444444444444451</v>
      </c>
      <c r="H936" s="5">
        <v>0.8</v>
      </c>
      <c r="I936" s="5">
        <v>0.05</v>
      </c>
      <c r="J936" s="6">
        <v>0.6</v>
      </c>
      <c r="K936" s="6">
        <v>0.83972222222222237</v>
      </c>
      <c r="L936" s="6">
        <v>0.83331482213119068</v>
      </c>
      <c r="M936" s="4" t="s">
        <v>19</v>
      </c>
      <c r="N936" s="5">
        <v>1</v>
      </c>
      <c r="O936" s="4">
        <v>1</v>
      </c>
    </row>
    <row r="937" spans="1:15" x14ac:dyDescent="0.3">
      <c r="A937" s="4">
        <v>312</v>
      </c>
      <c r="B937" s="4">
        <v>312000</v>
      </c>
      <c r="C937" s="4" t="s">
        <v>15</v>
      </c>
      <c r="D937" s="4" t="s">
        <v>162</v>
      </c>
      <c r="E937" s="4" t="s">
        <v>17</v>
      </c>
      <c r="F937" s="4" t="s">
        <v>18</v>
      </c>
      <c r="G937" s="5">
        <v>0.9</v>
      </c>
      <c r="H937" s="5">
        <v>0.8</v>
      </c>
      <c r="I937" s="5">
        <v>0.05</v>
      </c>
      <c r="J937" s="6">
        <v>0.4</v>
      </c>
      <c r="K937" s="6">
        <v>0.88416666666666666</v>
      </c>
      <c r="L937" s="6">
        <v>0.59799293768091788</v>
      </c>
      <c r="M937" s="4" t="s">
        <v>19</v>
      </c>
      <c r="N937" s="5">
        <v>1</v>
      </c>
      <c r="O937" s="4">
        <v>1</v>
      </c>
    </row>
    <row r="938" spans="1:15" x14ac:dyDescent="0.3">
      <c r="A938" s="4">
        <v>313</v>
      </c>
      <c r="B938" s="4">
        <v>313000</v>
      </c>
      <c r="C938" s="4" t="s">
        <v>15</v>
      </c>
      <c r="D938" s="4" t="s">
        <v>16</v>
      </c>
      <c r="E938" s="4" t="s">
        <v>17</v>
      </c>
      <c r="F938" s="4" t="s">
        <v>18</v>
      </c>
      <c r="G938" s="5">
        <v>0.1</v>
      </c>
      <c r="H938" s="5">
        <v>0.4</v>
      </c>
      <c r="I938" s="5">
        <v>0.05</v>
      </c>
      <c r="J938" s="6">
        <v>0.65573770491803274</v>
      </c>
      <c r="K938" s="6">
        <v>0.78699999999999992</v>
      </c>
      <c r="L938" s="6">
        <v>0.6048056405983292</v>
      </c>
      <c r="M938" s="4" t="s">
        <v>39</v>
      </c>
      <c r="N938" s="5">
        <v>9.3495810206658786E-2</v>
      </c>
      <c r="O938" s="4">
        <v>0</v>
      </c>
    </row>
    <row r="939" spans="1:15" x14ac:dyDescent="0.3">
      <c r="A939" s="4">
        <v>313</v>
      </c>
      <c r="B939" s="4">
        <v>313000</v>
      </c>
      <c r="C939" s="4" t="s">
        <v>15</v>
      </c>
      <c r="D939" s="4" t="s">
        <v>161</v>
      </c>
      <c r="E939" s="4" t="s">
        <v>17</v>
      </c>
      <c r="F939" s="4" t="s">
        <v>18</v>
      </c>
      <c r="G939" s="5">
        <v>0.54444444444444451</v>
      </c>
      <c r="H939" s="5">
        <v>0.8</v>
      </c>
      <c r="I939" s="5">
        <v>0.05</v>
      </c>
      <c r="J939" s="6">
        <v>0.57377049180327866</v>
      </c>
      <c r="K939" s="6">
        <v>0.83342857142857141</v>
      </c>
      <c r="L939" s="6">
        <v>0.78224289284588022</v>
      </c>
      <c r="M939" s="4" t="s">
        <v>39</v>
      </c>
      <c r="N939" s="5">
        <v>9.3495810206658786E-2</v>
      </c>
      <c r="O939" s="4">
        <v>0</v>
      </c>
    </row>
    <row r="940" spans="1:15" x14ac:dyDescent="0.3">
      <c r="A940" s="4">
        <v>313</v>
      </c>
      <c r="B940" s="4">
        <v>313000</v>
      </c>
      <c r="C940" s="4" t="s">
        <v>15</v>
      </c>
      <c r="D940" s="4" t="s">
        <v>162</v>
      </c>
      <c r="E940" s="4" t="s">
        <v>17</v>
      </c>
      <c r="F940" s="4" t="s">
        <v>18</v>
      </c>
      <c r="G940" s="5">
        <v>0.9</v>
      </c>
      <c r="H940" s="5">
        <v>0.8</v>
      </c>
      <c r="I940" s="5">
        <v>0.05</v>
      </c>
      <c r="J940" s="6">
        <v>0.4098360655737705</v>
      </c>
      <c r="K940" s="6">
        <v>0.85279999999999978</v>
      </c>
      <c r="L940" s="6">
        <v>0.59992746128418262</v>
      </c>
      <c r="M940" s="4" t="s">
        <v>39</v>
      </c>
      <c r="N940" s="5">
        <v>9.3495810206658786E-2</v>
      </c>
      <c r="O940" s="4">
        <v>0</v>
      </c>
    </row>
    <row r="941" spans="1:15" x14ac:dyDescent="0.3">
      <c r="A941" s="4">
        <v>314</v>
      </c>
      <c r="B941" s="4">
        <v>314000</v>
      </c>
      <c r="C941" s="4" t="s">
        <v>15</v>
      </c>
      <c r="D941" s="4" t="s">
        <v>16</v>
      </c>
      <c r="E941" s="4" t="s">
        <v>17</v>
      </c>
      <c r="F941" s="4" t="s">
        <v>18</v>
      </c>
      <c r="G941" s="5">
        <v>0.1</v>
      </c>
      <c r="H941" s="5">
        <v>0.4</v>
      </c>
      <c r="I941" s="5">
        <v>0.05</v>
      </c>
      <c r="J941" s="6">
        <v>0.68253968253968256</v>
      </c>
      <c r="K941" s="6">
        <v>0.76255813953488372</v>
      </c>
      <c r="L941" s="6">
        <v>0.62372494113485388</v>
      </c>
      <c r="M941" s="4" t="s">
        <v>19</v>
      </c>
      <c r="N941" s="5">
        <v>1</v>
      </c>
      <c r="O941" s="4">
        <v>1</v>
      </c>
    </row>
    <row r="942" spans="1:15" x14ac:dyDescent="0.3">
      <c r="A942" s="4">
        <v>314</v>
      </c>
      <c r="B942" s="4">
        <v>314000</v>
      </c>
      <c r="C942" s="4" t="s">
        <v>15</v>
      </c>
      <c r="D942" s="4" t="s">
        <v>161</v>
      </c>
      <c r="E942" s="4" t="s">
        <v>17</v>
      </c>
      <c r="F942" s="4" t="s">
        <v>18</v>
      </c>
      <c r="G942" s="5">
        <v>0.54444444444444451</v>
      </c>
      <c r="H942" s="5">
        <v>0.4</v>
      </c>
      <c r="I942" s="5">
        <v>0.05</v>
      </c>
      <c r="J942" s="6">
        <v>0.5714285714285714</v>
      </c>
      <c r="K942" s="6">
        <v>0.82499999999999984</v>
      </c>
      <c r="L942" s="6">
        <v>0.79771462477387711</v>
      </c>
      <c r="M942" s="4" t="s">
        <v>19</v>
      </c>
      <c r="N942" s="5">
        <v>1</v>
      </c>
      <c r="O942" s="4">
        <v>1</v>
      </c>
    </row>
    <row r="943" spans="1:15" x14ac:dyDescent="0.3">
      <c r="A943" s="4">
        <v>314</v>
      </c>
      <c r="B943" s="4">
        <v>314000</v>
      </c>
      <c r="C943" s="4" t="s">
        <v>15</v>
      </c>
      <c r="D943" s="4" t="s">
        <v>162</v>
      </c>
      <c r="E943" s="4" t="s">
        <v>17</v>
      </c>
      <c r="F943" s="4" t="s">
        <v>18</v>
      </c>
      <c r="G943" s="5">
        <v>0.9</v>
      </c>
      <c r="H943" s="5">
        <v>0.4</v>
      </c>
      <c r="I943" s="5">
        <v>0.05</v>
      </c>
      <c r="J943" s="6">
        <v>0.41269841269841268</v>
      </c>
      <c r="K943" s="6">
        <v>0.85423076923076902</v>
      </c>
      <c r="L943" s="6">
        <v>0.60419332184145291</v>
      </c>
      <c r="M943" s="4" t="s">
        <v>19</v>
      </c>
      <c r="N943" s="5">
        <v>1</v>
      </c>
      <c r="O943" s="4">
        <v>1</v>
      </c>
    </row>
    <row r="944" spans="1:15" x14ac:dyDescent="0.3">
      <c r="A944" s="4">
        <v>315</v>
      </c>
      <c r="B944" s="4">
        <v>315000</v>
      </c>
      <c r="C944" s="4" t="s">
        <v>15</v>
      </c>
      <c r="D944" s="4" t="s">
        <v>16</v>
      </c>
      <c r="E944" s="4" t="s">
        <v>17</v>
      </c>
      <c r="F944" s="4" t="s">
        <v>18</v>
      </c>
      <c r="G944" s="5">
        <v>0.1</v>
      </c>
      <c r="H944" s="5">
        <v>0.4</v>
      </c>
      <c r="I944" s="5">
        <v>0.05</v>
      </c>
      <c r="J944" s="6">
        <v>0.70149253731343286</v>
      </c>
      <c r="K944" s="6">
        <v>0.77446808510638299</v>
      </c>
      <c r="L944" s="6">
        <v>0.69246200319414886</v>
      </c>
      <c r="M944" s="4" t="s">
        <v>50</v>
      </c>
      <c r="N944" s="5">
        <v>8.5289610691416121E-2</v>
      </c>
      <c r="O944" s="4">
        <v>0</v>
      </c>
    </row>
    <row r="945" spans="1:15" x14ac:dyDescent="0.3">
      <c r="A945" s="4">
        <v>315</v>
      </c>
      <c r="B945" s="4">
        <v>315000</v>
      </c>
      <c r="C945" s="4" t="s">
        <v>15</v>
      </c>
      <c r="D945" s="4" t="s">
        <v>161</v>
      </c>
      <c r="E945" s="4" t="s">
        <v>17</v>
      </c>
      <c r="F945" s="4" t="s">
        <v>18</v>
      </c>
      <c r="G945" s="5">
        <v>0.54444444444444451</v>
      </c>
      <c r="H945" s="5">
        <v>0.4</v>
      </c>
      <c r="I945" s="5">
        <v>0.05</v>
      </c>
      <c r="J945" s="6">
        <v>0.59701492537313428</v>
      </c>
      <c r="K945" s="6">
        <v>0.8317500000000001</v>
      </c>
      <c r="L945" s="6">
        <v>0.72219540155254736</v>
      </c>
      <c r="M945" s="4" t="s">
        <v>50</v>
      </c>
      <c r="N945" s="5">
        <v>8.5289610691416121E-2</v>
      </c>
      <c r="O945" s="4">
        <v>0</v>
      </c>
    </row>
    <row r="946" spans="1:15" x14ac:dyDescent="0.3">
      <c r="A946" s="4">
        <v>315</v>
      </c>
      <c r="B946" s="4">
        <v>315000</v>
      </c>
      <c r="C946" s="4" t="s">
        <v>15</v>
      </c>
      <c r="D946" s="4" t="s">
        <v>162</v>
      </c>
      <c r="E946" s="4" t="s">
        <v>17</v>
      </c>
      <c r="F946" s="4" t="s">
        <v>18</v>
      </c>
      <c r="G946" s="5">
        <v>0.9</v>
      </c>
      <c r="H946" s="5">
        <v>0.4</v>
      </c>
      <c r="I946" s="5">
        <v>0.05</v>
      </c>
      <c r="J946" s="6">
        <v>0.41791044776119401</v>
      </c>
      <c r="K946" s="6">
        <v>0.85928571428571399</v>
      </c>
      <c r="L946" s="6">
        <v>0.697383842381747</v>
      </c>
      <c r="M946" s="4" t="s">
        <v>50</v>
      </c>
      <c r="N946" s="5">
        <v>8.5289610691416121E-2</v>
      </c>
      <c r="O946" s="4">
        <v>0</v>
      </c>
    </row>
    <row r="947" spans="1:15" x14ac:dyDescent="0.3">
      <c r="A947" s="4">
        <v>316</v>
      </c>
      <c r="B947" s="4">
        <v>316000</v>
      </c>
      <c r="C947" s="4" t="s">
        <v>15</v>
      </c>
      <c r="D947" s="4" t="s">
        <v>16</v>
      </c>
      <c r="E947" s="4" t="s">
        <v>17</v>
      </c>
      <c r="F947" s="4" t="s">
        <v>18</v>
      </c>
      <c r="G947" s="5">
        <v>0.1</v>
      </c>
      <c r="H947" s="5">
        <v>0.4</v>
      </c>
      <c r="I947" s="5">
        <v>0.05</v>
      </c>
      <c r="J947" s="6">
        <v>0.70769230769230773</v>
      </c>
      <c r="K947" s="6">
        <v>0.7797826086956523</v>
      </c>
      <c r="L947" s="6">
        <v>0.665188359380817</v>
      </c>
      <c r="M947" s="4" t="s">
        <v>80</v>
      </c>
      <c r="N947" s="5">
        <v>0.14974312293088529</v>
      </c>
      <c r="O947" s="4">
        <v>0</v>
      </c>
    </row>
    <row r="948" spans="1:15" x14ac:dyDescent="0.3">
      <c r="A948" s="4">
        <v>316</v>
      </c>
      <c r="B948" s="4">
        <v>316000</v>
      </c>
      <c r="C948" s="4" t="s">
        <v>15</v>
      </c>
      <c r="D948" s="4" t="s">
        <v>161</v>
      </c>
      <c r="E948" s="4" t="s">
        <v>17</v>
      </c>
      <c r="F948" s="4" t="s">
        <v>18</v>
      </c>
      <c r="G948" s="5">
        <v>0.54444444444444451</v>
      </c>
      <c r="H948" s="5">
        <v>0.4</v>
      </c>
      <c r="I948" s="5">
        <v>0.05</v>
      </c>
      <c r="J948" s="6">
        <v>0.61538461538461542</v>
      </c>
      <c r="K948" s="6">
        <v>0.82599999999999996</v>
      </c>
      <c r="L948" s="6">
        <v>0.80307552420648454</v>
      </c>
      <c r="M948" s="4" t="s">
        <v>80</v>
      </c>
      <c r="N948" s="5">
        <v>0.14974312293088529</v>
      </c>
      <c r="O948" s="4">
        <v>0</v>
      </c>
    </row>
    <row r="949" spans="1:15" x14ac:dyDescent="0.3">
      <c r="A949" s="4">
        <v>316</v>
      </c>
      <c r="B949" s="4">
        <v>316000</v>
      </c>
      <c r="C949" s="4" t="s">
        <v>15</v>
      </c>
      <c r="D949" s="4" t="s">
        <v>162</v>
      </c>
      <c r="E949" s="4" t="s">
        <v>17</v>
      </c>
      <c r="F949" s="4" t="s">
        <v>18</v>
      </c>
      <c r="G949" s="5">
        <v>0.9</v>
      </c>
      <c r="H949" s="5">
        <v>0.4</v>
      </c>
      <c r="I949" s="5">
        <v>0.05</v>
      </c>
      <c r="J949" s="6">
        <v>0.41538461538461541</v>
      </c>
      <c r="K949" s="6">
        <v>0.85444444444444434</v>
      </c>
      <c r="L949" s="6">
        <v>0.73791982076230334</v>
      </c>
      <c r="M949" s="4" t="s">
        <v>80</v>
      </c>
      <c r="N949" s="5">
        <v>0.14974312293088529</v>
      </c>
      <c r="O949" s="4">
        <v>0</v>
      </c>
    </row>
    <row r="950" spans="1:15" x14ac:dyDescent="0.3">
      <c r="A950" s="4">
        <v>317</v>
      </c>
      <c r="B950" s="4">
        <v>317000</v>
      </c>
      <c r="C950" s="4" t="s">
        <v>15</v>
      </c>
      <c r="D950" s="4" t="s">
        <v>16</v>
      </c>
      <c r="E950" s="4" t="s">
        <v>17</v>
      </c>
      <c r="F950" s="4" t="s">
        <v>18</v>
      </c>
      <c r="G950" s="5">
        <v>0.1</v>
      </c>
      <c r="H950" s="5">
        <v>0.4</v>
      </c>
      <c r="I950" s="5">
        <v>0.05</v>
      </c>
      <c r="J950" s="6">
        <v>0.703125</v>
      </c>
      <c r="K950" s="6">
        <v>0.77422222222222226</v>
      </c>
      <c r="L950" s="6">
        <v>0.61821669006715174</v>
      </c>
      <c r="M950" s="4" t="s">
        <v>19</v>
      </c>
      <c r="N950" s="5">
        <v>1</v>
      </c>
      <c r="O950" s="4">
        <v>1</v>
      </c>
    </row>
    <row r="951" spans="1:15" x14ac:dyDescent="0.3">
      <c r="A951" s="4">
        <v>317</v>
      </c>
      <c r="B951" s="4">
        <v>317000</v>
      </c>
      <c r="C951" s="4" t="s">
        <v>15</v>
      </c>
      <c r="D951" s="4" t="s">
        <v>161</v>
      </c>
      <c r="E951" s="4" t="s">
        <v>17</v>
      </c>
      <c r="F951" s="4" t="s">
        <v>18</v>
      </c>
      <c r="G951" s="5">
        <v>0.54444444444444451</v>
      </c>
      <c r="H951" s="5">
        <v>0.4</v>
      </c>
      <c r="I951" s="5">
        <v>0.05</v>
      </c>
      <c r="J951" s="6">
        <v>0.59375</v>
      </c>
      <c r="K951" s="6">
        <v>0.8392105263157893</v>
      </c>
      <c r="L951" s="6">
        <v>0.7961859793854148</v>
      </c>
      <c r="M951" s="4" t="s">
        <v>19</v>
      </c>
      <c r="N951" s="5">
        <v>1</v>
      </c>
      <c r="O951" s="4">
        <v>1</v>
      </c>
    </row>
    <row r="952" spans="1:15" x14ac:dyDescent="0.3">
      <c r="A952" s="4">
        <v>317</v>
      </c>
      <c r="B952" s="4">
        <v>317000</v>
      </c>
      <c r="C952" s="4" t="s">
        <v>15</v>
      </c>
      <c r="D952" s="4" t="s">
        <v>162</v>
      </c>
      <c r="E952" s="4" t="s">
        <v>17</v>
      </c>
      <c r="F952" s="4" t="s">
        <v>18</v>
      </c>
      <c r="G952" s="5">
        <v>0.81111111111111112</v>
      </c>
      <c r="H952" s="5">
        <v>0.4</v>
      </c>
      <c r="I952" s="5">
        <v>0.05</v>
      </c>
      <c r="J952" s="6">
        <v>0.515625</v>
      </c>
      <c r="K952" s="6">
        <v>0.85363636363636342</v>
      </c>
      <c r="L952" s="6">
        <v>0.73910946301988412</v>
      </c>
      <c r="M952" s="4" t="s">
        <v>19</v>
      </c>
      <c r="N952" s="5">
        <v>1</v>
      </c>
      <c r="O952" s="4">
        <v>1</v>
      </c>
    </row>
    <row r="953" spans="1:15" x14ac:dyDescent="0.3">
      <c r="A953" s="4">
        <v>318</v>
      </c>
      <c r="B953" s="4">
        <v>318000</v>
      </c>
      <c r="C953" s="4" t="s">
        <v>15</v>
      </c>
      <c r="D953" s="4" t="s">
        <v>16</v>
      </c>
      <c r="E953" s="4" t="s">
        <v>17</v>
      </c>
      <c r="F953" s="4" t="s">
        <v>18</v>
      </c>
      <c r="G953" s="5">
        <v>0.1</v>
      </c>
      <c r="H953" s="5">
        <v>0.4</v>
      </c>
      <c r="I953" s="5">
        <v>0.05</v>
      </c>
      <c r="J953" s="6">
        <v>0.81034482758620685</v>
      </c>
      <c r="K953" s="6">
        <v>0.76106382978723408</v>
      </c>
      <c r="L953" s="6">
        <v>0.68401287131632982</v>
      </c>
      <c r="M953" s="4" t="s">
        <v>32</v>
      </c>
      <c r="N953" s="5">
        <v>0.13208507430464769</v>
      </c>
      <c r="O953" s="4">
        <v>0</v>
      </c>
    </row>
    <row r="954" spans="1:15" x14ac:dyDescent="0.3">
      <c r="A954" s="4">
        <v>318</v>
      </c>
      <c r="B954" s="4">
        <v>318000</v>
      </c>
      <c r="C954" s="4" t="s">
        <v>15</v>
      </c>
      <c r="D954" s="4" t="s">
        <v>161</v>
      </c>
      <c r="E954" s="4" t="s">
        <v>17</v>
      </c>
      <c r="F954" s="4" t="s">
        <v>18</v>
      </c>
      <c r="G954" s="5">
        <v>0.54444444444444451</v>
      </c>
      <c r="H954" s="5">
        <v>0.4</v>
      </c>
      <c r="I954" s="5">
        <v>0.05</v>
      </c>
      <c r="J954" s="6">
        <v>0.67241379310344829</v>
      </c>
      <c r="K954" s="6">
        <v>0.82820512820512815</v>
      </c>
      <c r="L954" s="6">
        <v>0.7607287422541833</v>
      </c>
      <c r="M954" s="4" t="s">
        <v>32</v>
      </c>
      <c r="N954" s="5">
        <v>0.13208507430464769</v>
      </c>
      <c r="O954" s="4">
        <v>0</v>
      </c>
    </row>
    <row r="955" spans="1:15" x14ac:dyDescent="0.3">
      <c r="A955" s="4">
        <v>318</v>
      </c>
      <c r="B955" s="4">
        <v>318000</v>
      </c>
      <c r="C955" s="4" t="s">
        <v>15</v>
      </c>
      <c r="D955" s="4" t="s">
        <v>162</v>
      </c>
      <c r="E955" s="4" t="s">
        <v>17</v>
      </c>
      <c r="F955" s="4" t="s">
        <v>18</v>
      </c>
      <c r="G955" s="5">
        <v>0.81111111111111112</v>
      </c>
      <c r="H955" s="5">
        <v>0.4</v>
      </c>
      <c r="I955" s="5">
        <v>0.05</v>
      </c>
      <c r="J955" s="6">
        <v>0.55172413793103448</v>
      </c>
      <c r="K955" s="6">
        <v>0.85624999999999973</v>
      </c>
      <c r="L955" s="6">
        <v>0.6756944776012791</v>
      </c>
      <c r="M955" s="4" t="s">
        <v>32</v>
      </c>
      <c r="N955" s="5">
        <v>0.13208507430464769</v>
      </c>
      <c r="O955" s="4">
        <v>0</v>
      </c>
    </row>
    <row r="956" spans="1:15" x14ac:dyDescent="0.3">
      <c r="A956" s="4">
        <v>319</v>
      </c>
      <c r="B956" s="4">
        <v>319000</v>
      </c>
      <c r="C956" s="4" t="s">
        <v>15</v>
      </c>
      <c r="D956" s="4" t="s">
        <v>16</v>
      </c>
      <c r="E956" s="4" t="s">
        <v>17</v>
      </c>
      <c r="F956" s="4" t="s">
        <v>18</v>
      </c>
      <c r="G956" s="5">
        <v>0.1</v>
      </c>
      <c r="H956" s="5">
        <v>0.4</v>
      </c>
      <c r="I956" s="5">
        <v>0.05</v>
      </c>
      <c r="J956" s="6">
        <v>0.7142857142857143</v>
      </c>
      <c r="K956" s="6">
        <v>0.77111111111111119</v>
      </c>
      <c r="L956" s="6">
        <v>0.66504103332732489</v>
      </c>
      <c r="M956" s="4" t="s">
        <v>58</v>
      </c>
      <c r="N956" s="5">
        <v>0.12453193136172</v>
      </c>
      <c r="O956" s="4">
        <v>0</v>
      </c>
    </row>
    <row r="957" spans="1:15" x14ac:dyDescent="0.3">
      <c r="A957" s="4">
        <v>319</v>
      </c>
      <c r="B957" s="4">
        <v>319000</v>
      </c>
      <c r="C957" s="4" t="s">
        <v>15</v>
      </c>
      <c r="D957" s="4" t="s">
        <v>161</v>
      </c>
      <c r="E957" s="4" t="s">
        <v>17</v>
      </c>
      <c r="F957" s="4" t="s">
        <v>18</v>
      </c>
      <c r="G957" s="5">
        <v>0.54444444444444451</v>
      </c>
      <c r="H957" s="5">
        <v>0.4</v>
      </c>
      <c r="I957" s="5">
        <v>0.05</v>
      </c>
      <c r="J957" s="6">
        <v>0.61904761904761907</v>
      </c>
      <c r="K957" s="6">
        <v>0.82538461538461527</v>
      </c>
      <c r="L957" s="6">
        <v>0.79034269968038495</v>
      </c>
      <c r="M957" s="4" t="s">
        <v>58</v>
      </c>
      <c r="N957" s="5">
        <v>0.12453193136172</v>
      </c>
      <c r="O957" s="4">
        <v>0</v>
      </c>
    </row>
    <row r="958" spans="1:15" x14ac:dyDescent="0.3">
      <c r="A958" s="4">
        <v>319</v>
      </c>
      <c r="B958" s="4">
        <v>319000</v>
      </c>
      <c r="C958" s="4" t="s">
        <v>15</v>
      </c>
      <c r="D958" s="4" t="s">
        <v>162</v>
      </c>
      <c r="E958" s="4" t="s">
        <v>17</v>
      </c>
      <c r="F958" s="4" t="s">
        <v>18</v>
      </c>
      <c r="G958" s="5">
        <v>0.81111111111111112</v>
      </c>
      <c r="H958" s="5">
        <v>0.4</v>
      </c>
      <c r="I958" s="5">
        <v>0.05</v>
      </c>
      <c r="J958" s="6">
        <v>0.50793650793650791</v>
      </c>
      <c r="K958" s="6">
        <v>0.8553124999999997</v>
      </c>
      <c r="L958" s="6">
        <v>0.67606329523540187</v>
      </c>
      <c r="M958" s="4" t="s">
        <v>58</v>
      </c>
      <c r="N958" s="5">
        <v>0.12453193136172</v>
      </c>
      <c r="O958" s="4">
        <v>0</v>
      </c>
    </row>
    <row r="959" spans="1:15" x14ac:dyDescent="0.3">
      <c r="A959" s="4">
        <v>320</v>
      </c>
      <c r="B959" s="4">
        <v>320000</v>
      </c>
      <c r="C959" s="4" t="s">
        <v>15</v>
      </c>
      <c r="D959" s="4" t="s">
        <v>16</v>
      </c>
      <c r="E959" s="4" t="s">
        <v>17</v>
      </c>
      <c r="F959" s="4" t="s">
        <v>18</v>
      </c>
      <c r="G959" s="5">
        <v>0.1</v>
      </c>
      <c r="H959" s="5">
        <v>0.4</v>
      </c>
      <c r="I959" s="5">
        <v>0.05</v>
      </c>
      <c r="J959" s="6">
        <v>0.734375</v>
      </c>
      <c r="K959" s="6">
        <v>0.75617021276595753</v>
      </c>
      <c r="L959" s="6">
        <v>0.5480417743683037</v>
      </c>
      <c r="M959" s="4" t="s">
        <v>133</v>
      </c>
      <c r="N959" s="5">
        <v>0.15335086087846311</v>
      </c>
      <c r="O959" s="4">
        <v>1</v>
      </c>
    </row>
    <row r="960" spans="1:15" x14ac:dyDescent="0.3">
      <c r="A960" s="4">
        <v>320</v>
      </c>
      <c r="B960" s="4">
        <v>320000</v>
      </c>
      <c r="C960" s="4" t="s">
        <v>15</v>
      </c>
      <c r="D960" s="4" t="s">
        <v>161</v>
      </c>
      <c r="E960" s="4" t="s">
        <v>17</v>
      </c>
      <c r="F960" s="4" t="s">
        <v>18</v>
      </c>
      <c r="G960" s="5">
        <v>0.72222222222222221</v>
      </c>
      <c r="H960" s="5">
        <v>0.4</v>
      </c>
      <c r="I960" s="5">
        <v>0.05</v>
      </c>
      <c r="J960" s="6">
        <v>0.546875</v>
      </c>
      <c r="K960" s="6">
        <v>0.8485714285714282</v>
      </c>
      <c r="L960" s="6">
        <v>0.7640629932980546</v>
      </c>
      <c r="M960" s="4" t="s">
        <v>133</v>
      </c>
      <c r="N960" s="5">
        <v>0.15335086087846311</v>
      </c>
      <c r="O960" s="4">
        <v>1</v>
      </c>
    </row>
    <row r="961" spans="1:15" x14ac:dyDescent="0.3">
      <c r="A961" s="4">
        <v>320</v>
      </c>
      <c r="B961" s="4">
        <v>320000</v>
      </c>
      <c r="C961" s="4" t="s">
        <v>15</v>
      </c>
      <c r="D961" s="4" t="s">
        <v>162</v>
      </c>
      <c r="E961" s="4" t="s">
        <v>17</v>
      </c>
      <c r="F961" s="4" t="s">
        <v>18</v>
      </c>
      <c r="G961" s="5">
        <v>0.81111111111111112</v>
      </c>
      <c r="H961" s="5">
        <v>0.4</v>
      </c>
      <c r="I961" s="5">
        <v>0.05</v>
      </c>
      <c r="J961" s="6">
        <v>0.5</v>
      </c>
      <c r="K961" s="6">
        <v>0.85624999999999973</v>
      </c>
      <c r="L961" s="6">
        <v>0.70507874162256834</v>
      </c>
      <c r="M961" s="4" t="s">
        <v>133</v>
      </c>
      <c r="N961" s="5">
        <v>0.15335086087846311</v>
      </c>
      <c r="O961" s="4">
        <v>1</v>
      </c>
    </row>
    <row r="962" spans="1:15" x14ac:dyDescent="0.3">
      <c r="A962" s="4">
        <v>321</v>
      </c>
      <c r="B962" s="4">
        <v>321000</v>
      </c>
      <c r="C962" s="4" t="s">
        <v>15</v>
      </c>
      <c r="D962" s="4" t="s">
        <v>16</v>
      </c>
      <c r="E962" s="4" t="s">
        <v>17</v>
      </c>
      <c r="F962" s="4" t="s">
        <v>18</v>
      </c>
      <c r="G962" s="5">
        <v>0.1</v>
      </c>
      <c r="H962" s="5">
        <v>0.4</v>
      </c>
      <c r="I962" s="5">
        <v>0.05</v>
      </c>
      <c r="J962" s="6">
        <v>0.69565217391304346</v>
      </c>
      <c r="K962" s="6">
        <v>0.75312500000000027</v>
      </c>
      <c r="L962" s="6">
        <v>0.59448611636504423</v>
      </c>
      <c r="M962" s="4" t="s">
        <v>85</v>
      </c>
      <c r="N962" s="5">
        <v>0.119931860566675</v>
      </c>
      <c r="O962" s="4">
        <v>0</v>
      </c>
    </row>
    <row r="963" spans="1:15" x14ac:dyDescent="0.3">
      <c r="A963" s="4">
        <v>321</v>
      </c>
      <c r="B963" s="4">
        <v>321000</v>
      </c>
      <c r="C963" s="4" t="s">
        <v>15</v>
      </c>
      <c r="D963" s="4" t="s">
        <v>161</v>
      </c>
      <c r="E963" s="4" t="s">
        <v>17</v>
      </c>
      <c r="F963" s="4" t="s">
        <v>18</v>
      </c>
      <c r="G963" s="5">
        <v>0.72222222222222221</v>
      </c>
      <c r="H963" s="5">
        <v>0.4</v>
      </c>
      <c r="I963" s="5">
        <v>0.05</v>
      </c>
      <c r="J963" s="6">
        <v>0.46376811594202899</v>
      </c>
      <c r="K963" s="6">
        <v>0.84906249999999983</v>
      </c>
      <c r="L963" s="6">
        <v>0.72514517983857152</v>
      </c>
      <c r="M963" s="4" t="s">
        <v>85</v>
      </c>
      <c r="N963" s="5">
        <v>0.119931860566675</v>
      </c>
      <c r="O963" s="4">
        <v>0</v>
      </c>
    </row>
    <row r="964" spans="1:15" x14ac:dyDescent="0.3">
      <c r="A964" s="4">
        <v>321</v>
      </c>
      <c r="B964" s="4">
        <v>321000</v>
      </c>
      <c r="C964" s="4" t="s">
        <v>15</v>
      </c>
      <c r="D964" s="4" t="s">
        <v>162</v>
      </c>
      <c r="E964" s="4" t="s">
        <v>17</v>
      </c>
      <c r="F964" s="4" t="s">
        <v>18</v>
      </c>
      <c r="G964" s="5">
        <v>0.81111111111111112</v>
      </c>
      <c r="H964" s="5">
        <v>0.4</v>
      </c>
      <c r="I964" s="5">
        <v>0.05</v>
      </c>
      <c r="J964" s="6">
        <v>0.43478260869565222</v>
      </c>
      <c r="K964" s="6">
        <v>0.85333333333333328</v>
      </c>
      <c r="L964" s="6">
        <v>0.69064263020705852</v>
      </c>
      <c r="M964" s="4" t="s">
        <v>85</v>
      </c>
      <c r="N964" s="5">
        <v>0.119931860566675</v>
      </c>
      <c r="O964" s="4">
        <v>0</v>
      </c>
    </row>
    <row r="965" spans="1:15" x14ac:dyDescent="0.3">
      <c r="A965" s="4">
        <v>322</v>
      </c>
      <c r="B965" s="4">
        <v>322000</v>
      </c>
      <c r="C965" s="4" t="s">
        <v>15</v>
      </c>
      <c r="D965" s="4" t="s">
        <v>16</v>
      </c>
      <c r="E965" s="4" t="s">
        <v>17</v>
      </c>
      <c r="F965" s="4" t="s">
        <v>18</v>
      </c>
      <c r="G965" s="5">
        <v>0.1</v>
      </c>
      <c r="H965" s="5">
        <v>0.4</v>
      </c>
      <c r="I965" s="5">
        <v>0.05</v>
      </c>
      <c r="J965" s="6">
        <v>0.734375</v>
      </c>
      <c r="K965" s="6">
        <v>0.76489361702127678</v>
      </c>
      <c r="L965" s="6">
        <v>0.55914836720535388</v>
      </c>
      <c r="M965" s="4" t="s">
        <v>68</v>
      </c>
      <c r="N965" s="5">
        <v>0.11813989719446211</v>
      </c>
      <c r="O965" s="4">
        <v>0</v>
      </c>
    </row>
    <row r="966" spans="1:15" x14ac:dyDescent="0.3">
      <c r="A966" s="4">
        <v>322</v>
      </c>
      <c r="B966" s="4">
        <v>322000</v>
      </c>
      <c r="C966" s="4" t="s">
        <v>15</v>
      </c>
      <c r="D966" s="4" t="s">
        <v>161</v>
      </c>
      <c r="E966" s="4" t="s">
        <v>17</v>
      </c>
      <c r="F966" s="4" t="s">
        <v>18</v>
      </c>
      <c r="G966" s="5">
        <v>0.72222222222222221</v>
      </c>
      <c r="H966" s="5">
        <v>0.4</v>
      </c>
      <c r="I966" s="5">
        <v>0.05</v>
      </c>
      <c r="J966" s="6">
        <v>0.515625</v>
      </c>
      <c r="K966" s="6">
        <v>0.84484848484848452</v>
      </c>
      <c r="L966" s="6">
        <v>0.73722168009733102</v>
      </c>
      <c r="M966" s="4" t="s">
        <v>68</v>
      </c>
      <c r="N966" s="5">
        <v>0.11813989719446211</v>
      </c>
      <c r="O966" s="4">
        <v>0</v>
      </c>
    </row>
    <row r="967" spans="1:15" x14ac:dyDescent="0.3">
      <c r="A967" s="4">
        <v>322</v>
      </c>
      <c r="B967" s="4">
        <v>322000</v>
      </c>
      <c r="C967" s="4" t="s">
        <v>15</v>
      </c>
      <c r="D967" s="4" t="s">
        <v>162</v>
      </c>
      <c r="E967" s="4" t="s">
        <v>17</v>
      </c>
      <c r="F967" s="4" t="s">
        <v>18</v>
      </c>
      <c r="G967" s="5">
        <v>0.81111111111111112</v>
      </c>
      <c r="H967" s="5">
        <v>0.4</v>
      </c>
      <c r="I967" s="5">
        <v>0.05</v>
      </c>
      <c r="J967" s="6">
        <v>0.453125</v>
      </c>
      <c r="K967" s="6">
        <v>0.85310344827586182</v>
      </c>
      <c r="L967" s="6">
        <v>0.71375322371225136</v>
      </c>
      <c r="M967" s="4" t="s">
        <v>68</v>
      </c>
      <c r="N967" s="5">
        <v>0.11813989719446211</v>
      </c>
      <c r="O967" s="4">
        <v>0</v>
      </c>
    </row>
    <row r="968" spans="1:15" x14ac:dyDescent="0.3">
      <c r="A968" s="4">
        <v>323</v>
      </c>
      <c r="B968" s="4">
        <v>323000</v>
      </c>
      <c r="C968" s="4" t="s">
        <v>15</v>
      </c>
      <c r="D968" s="4" t="s">
        <v>16</v>
      </c>
      <c r="E968" s="4" t="s">
        <v>17</v>
      </c>
      <c r="F968" s="4" t="s">
        <v>18</v>
      </c>
      <c r="G968" s="5">
        <v>0.1</v>
      </c>
      <c r="H968" s="5">
        <v>0.4</v>
      </c>
      <c r="I968" s="5">
        <v>0.05</v>
      </c>
      <c r="J968" s="6">
        <v>0.72413793103448276</v>
      </c>
      <c r="K968" s="6">
        <v>0.78095238095238106</v>
      </c>
      <c r="L968" s="6">
        <v>0.69117376709042311</v>
      </c>
      <c r="M968" s="4" t="s">
        <v>19</v>
      </c>
      <c r="N968" s="5">
        <v>1</v>
      </c>
      <c r="O968" s="4">
        <v>1</v>
      </c>
    </row>
    <row r="969" spans="1:15" x14ac:dyDescent="0.3">
      <c r="A969" s="4">
        <v>323</v>
      </c>
      <c r="B969" s="4">
        <v>323000</v>
      </c>
      <c r="C969" s="4" t="s">
        <v>15</v>
      </c>
      <c r="D969" s="4" t="s">
        <v>161</v>
      </c>
      <c r="E969" s="4" t="s">
        <v>17</v>
      </c>
      <c r="F969" s="4" t="s">
        <v>18</v>
      </c>
      <c r="G969" s="5">
        <v>0.18888888888888891</v>
      </c>
      <c r="H969" s="5">
        <v>0.4</v>
      </c>
      <c r="I969" s="5">
        <v>0.05</v>
      </c>
      <c r="J969" s="6">
        <v>0.7068965517241379</v>
      </c>
      <c r="K969" s="6">
        <v>0.79585365853658541</v>
      </c>
      <c r="L969" s="6">
        <v>0.7215055817025976</v>
      </c>
      <c r="M969" s="4" t="s">
        <v>19</v>
      </c>
      <c r="N969" s="5">
        <v>1</v>
      </c>
      <c r="O969" s="4">
        <v>1</v>
      </c>
    </row>
    <row r="970" spans="1:15" x14ac:dyDescent="0.3">
      <c r="A970" s="4">
        <v>323</v>
      </c>
      <c r="B970" s="4">
        <v>323000</v>
      </c>
      <c r="C970" s="4" t="s">
        <v>15</v>
      </c>
      <c r="D970" s="4" t="s">
        <v>162</v>
      </c>
      <c r="E970" s="4" t="s">
        <v>17</v>
      </c>
      <c r="F970" s="4" t="s">
        <v>18</v>
      </c>
      <c r="G970" s="5">
        <v>0.9</v>
      </c>
      <c r="H970" s="5">
        <v>0.4</v>
      </c>
      <c r="I970" s="5">
        <v>0.05</v>
      </c>
      <c r="J970" s="6">
        <v>0.43103448275862072</v>
      </c>
      <c r="K970" s="6">
        <v>0.85079999999999989</v>
      </c>
      <c r="L970" s="6">
        <v>0.62681981584054458</v>
      </c>
      <c r="M970" s="4" t="s">
        <v>19</v>
      </c>
      <c r="N970" s="5">
        <v>1</v>
      </c>
      <c r="O970" s="4">
        <v>1</v>
      </c>
    </row>
    <row r="971" spans="1:15" x14ac:dyDescent="0.3">
      <c r="A971" s="4">
        <v>324</v>
      </c>
      <c r="B971" s="4">
        <v>324000</v>
      </c>
      <c r="C971" s="4" t="s">
        <v>15</v>
      </c>
      <c r="D971" s="4" t="s">
        <v>16</v>
      </c>
      <c r="E971" s="4" t="s">
        <v>17</v>
      </c>
      <c r="F971" s="4" t="s">
        <v>18</v>
      </c>
      <c r="G971" s="5">
        <v>0.1</v>
      </c>
      <c r="H971" s="5">
        <v>0.4</v>
      </c>
      <c r="I971" s="5">
        <v>0.05</v>
      </c>
      <c r="J971" s="6">
        <v>0.77777777777777779</v>
      </c>
      <c r="K971" s="6">
        <v>0.74979591836734694</v>
      </c>
      <c r="L971" s="6">
        <v>0.76805195910712409</v>
      </c>
      <c r="M971" s="4" t="s">
        <v>19</v>
      </c>
      <c r="N971" s="5">
        <v>1</v>
      </c>
      <c r="O971" s="4">
        <v>1</v>
      </c>
    </row>
    <row r="972" spans="1:15" x14ac:dyDescent="0.3">
      <c r="A972" s="4">
        <v>324</v>
      </c>
      <c r="B972" s="4">
        <v>324000</v>
      </c>
      <c r="C972" s="4" t="s">
        <v>15</v>
      </c>
      <c r="D972" s="4" t="s">
        <v>161</v>
      </c>
      <c r="E972" s="4" t="s">
        <v>17</v>
      </c>
      <c r="F972" s="4" t="s">
        <v>18</v>
      </c>
      <c r="G972" s="5">
        <v>0.3666666666666667</v>
      </c>
      <c r="H972" s="5">
        <v>0.4</v>
      </c>
      <c r="I972" s="5">
        <v>0.05</v>
      </c>
      <c r="J972" s="6">
        <v>0.76190476190476186</v>
      </c>
      <c r="K972" s="6">
        <v>0.75875000000000015</v>
      </c>
      <c r="L972" s="6">
        <v>0.7708936755038277</v>
      </c>
      <c r="M972" s="4" t="s">
        <v>19</v>
      </c>
      <c r="N972" s="5">
        <v>1</v>
      </c>
      <c r="O972" s="4">
        <v>1</v>
      </c>
    </row>
    <row r="973" spans="1:15" x14ac:dyDescent="0.3">
      <c r="A973" s="4">
        <v>324</v>
      </c>
      <c r="B973" s="4">
        <v>324000</v>
      </c>
      <c r="C973" s="4" t="s">
        <v>15</v>
      </c>
      <c r="D973" s="4" t="s">
        <v>162</v>
      </c>
      <c r="E973" s="4" t="s">
        <v>17</v>
      </c>
      <c r="F973" s="4" t="s">
        <v>18</v>
      </c>
      <c r="G973" s="5">
        <v>0.81111111111111112</v>
      </c>
      <c r="H973" s="5">
        <v>0.4</v>
      </c>
      <c r="I973" s="5">
        <v>0.05</v>
      </c>
      <c r="J973" s="6">
        <v>0.44444444444444442</v>
      </c>
      <c r="K973" s="6">
        <v>0.84857142857142842</v>
      </c>
      <c r="L973" s="6">
        <v>0.71703907286498081</v>
      </c>
      <c r="M973" s="4" t="s">
        <v>19</v>
      </c>
      <c r="N973" s="5">
        <v>1</v>
      </c>
      <c r="O973" s="4">
        <v>1</v>
      </c>
    </row>
    <row r="974" spans="1:15" x14ac:dyDescent="0.3">
      <c r="A974" s="4">
        <v>325</v>
      </c>
      <c r="B974" s="4">
        <v>325000</v>
      </c>
      <c r="C974" s="4" t="s">
        <v>15</v>
      </c>
      <c r="D974" s="4" t="s">
        <v>16</v>
      </c>
      <c r="E974" s="4" t="s">
        <v>17</v>
      </c>
      <c r="F974" s="4" t="s">
        <v>18</v>
      </c>
      <c r="G974" s="5">
        <v>0.1</v>
      </c>
      <c r="H974" s="5">
        <v>0.4</v>
      </c>
      <c r="I974" s="5">
        <v>0.05</v>
      </c>
      <c r="J974" s="6">
        <v>0.69117647058823528</v>
      </c>
      <c r="K974" s="6">
        <v>0.72489361702127642</v>
      </c>
      <c r="L974" s="6">
        <v>0.66718620266540063</v>
      </c>
      <c r="M974" s="4" t="s">
        <v>63</v>
      </c>
      <c r="N974" s="5">
        <v>0.1106860800782261</v>
      </c>
      <c r="O974" s="4">
        <v>0</v>
      </c>
    </row>
    <row r="975" spans="1:15" x14ac:dyDescent="0.3">
      <c r="A975" s="4">
        <v>325</v>
      </c>
      <c r="B975" s="4">
        <v>325000</v>
      </c>
      <c r="C975" s="4" t="s">
        <v>15</v>
      </c>
      <c r="D975" s="4" t="s">
        <v>161</v>
      </c>
      <c r="E975" s="4" t="s">
        <v>17</v>
      </c>
      <c r="F975" s="4" t="s">
        <v>18</v>
      </c>
      <c r="G975" s="5">
        <v>0.3666666666666667</v>
      </c>
      <c r="H975" s="5">
        <v>0.4</v>
      </c>
      <c r="I975" s="5">
        <v>0.05</v>
      </c>
      <c r="J975" s="6">
        <v>0.66176470588235292</v>
      </c>
      <c r="K975" s="6">
        <v>0.74911111111111095</v>
      </c>
      <c r="L975" s="6">
        <v>0.69077538710006281</v>
      </c>
      <c r="M975" s="4" t="s">
        <v>63</v>
      </c>
      <c r="N975" s="5">
        <v>0.1106860800782261</v>
      </c>
      <c r="O975" s="4">
        <v>0</v>
      </c>
    </row>
    <row r="976" spans="1:15" x14ac:dyDescent="0.3">
      <c r="A976" s="4">
        <v>325</v>
      </c>
      <c r="B976" s="4">
        <v>325000</v>
      </c>
      <c r="C976" s="4" t="s">
        <v>15</v>
      </c>
      <c r="D976" s="4" t="s">
        <v>162</v>
      </c>
      <c r="E976" s="4" t="s">
        <v>17</v>
      </c>
      <c r="F976" s="4" t="s">
        <v>18</v>
      </c>
      <c r="G976" s="5">
        <v>0.81111111111111112</v>
      </c>
      <c r="H976" s="5">
        <v>0.4</v>
      </c>
      <c r="I976" s="5">
        <v>0.05</v>
      </c>
      <c r="J976" s="6">
        <v>0.4264705882352941</v>
      </c>
      <c r="K976" s="6">
        <v>0.81793103448275861</v>
      </c>
      <c r="L976" s="6">
        <v>0.61681209284363359</v>
      </c>
      <c r="M976" s="4" t="s">
        <v>63</v>
      </c>
      <c r="N976" s="5">
        <v>0.1106860800782261</v>
      </c>
      <c r="O976" s="4">
        <v>0</v>
      </c>
    </row>
    <row r="977" spans="1:15" x14ac:dyDescent="0.3">
      <c r="A977" s="4">
        <v>326</v>
      </c>
      <c r="B977" s="4">
        <v>326000</v>
      </c>
      <c r="C977" s="4" t="s">
        <v>15</v>
      </c>
      <c r="D977" s="4" t="s">
        <v>16</v>
      </c>
      <c r="E977" s="4" t="s">
        <v>17</v>
      </c>
      <c r="F977" s="4" t="s">
        <v>18</v>
      </c>
      <c r="G977" s="5">
        <v>0.1</v>
      </c>
      <c r="H977" s="5">
        <v>0.4</v>
      </c>
      <c r="I977" s="5">
        <v>0.05</v>
      </c>
      <c r="J977" s="6">
        <v>0.69444444444444442</v>
      </c>
      <c r="K977" s="6">
        <v>0.7322000000000003</v>
      </c>
      <c r="L977" s="6">
        <v>0.67960232590609415</v>
      </c>
      <c r="M977" s="4" t="s">
        <v>85</v>
      </c>
      <c r="N977" s="5">
        <v>0.1199546128160885</v>
      </c>
      <c r="O977" s="4">
        <v>0</v>
      </c>
    </row>
    <row r="978" spans="1:15" x14ac:dyDescent="0.3">
      <c r="A978" s="4">
        <v>326</v>
      </c>
      <c r="B978" s="4">
        <v>326000</v>
      </c>
      <c r="C978" s="4" t="s">
        <v>15</v>
      </c>
      <c r="D978" s="4" t="s">
        <v>161</v>
      </c>
      <c r="E978" s="4" t="s">
        <v>17</v>
      </c>
      <c r="F978" s="4" t="s">
        <v>18</v>
      </c>
      <c r="G978" s="5">
        <v>0.3666666666666667</v>
      </c>
      <c r="H978" s="5">
        <v>0.4</v>
      </c>
      <c r="I978" s="5">
        <v>0.05</v>
      </c>
      <c r="J978" s="6">
        <v>0.68055555555555558</v>
      </c>
      <c r="K978" s="6">
        <v>0.74408163265306138</v>
      </c>
      <c r="L978" s="6">
        <v>0.68741314254044006</v>
      </c>
      <c r="M978" s="4" t="s">
        <v>85</v>
      </c>
      <c r="N978" s="5">
        <v>0.1199546128160885</v>
      </c>
      <c r="O978" s="4">
        <v>0</v>
      </c>
    </row>
    <row r="979" spans="1:15" x14ac:dyDescent="0.3">
      <c r="A979" s="4">
        <v>326</v>
      </c>
      <c r="B979" s="4">
        <v>326000</v>
      </c>
      <c r="C979" s="4" t="s">
        <v>15</v>
      </c>
      <c r="D979" s="4" t="s">
        <v>162</v>
      </c>
      <c r="E979" s="4" t="s">
        <v>17</v>
      </c>
      <c r="F979" s="4" t="s">
        <v>18</v>
      </c>
      <c r="G979" s="5">
        <v>0.81111111111111112</v>
      </c>
      <c r="H979" s="5">
        <v>0.4</v>
      </c>
      <c r="I979" s="5">
        <v>0.05</v>
      </c>
      <c r="J979" s="6">
        <v>0.43055555555555558</v>
      </c>
      <c r="K979" s="6">
        <v>0.82258064516129026</v>
      </c>
      <c r="L979" s="6">
        <v>0.65554015447402891</v>
      </c>
      <c r="M979" s="4" t="s">
        <v>85</v>
      </c>
      <c r="N979" s="5">
        <v>0.1199546128160885</v>
      </c>
      <c r="O979" s="4">
        <v>0</v>
      </c>
    </row>
    <row r="980" spans="1:15" x14ac:dyDescent="0.3">
      <c r="A980" s="4">
        <v>327</v>
      </c>
      <c r="B980" s="4">
        <v>327000</v>
      </c>
      <c r="C980" s="4" t="s">
        <v>15</v>
      </c>
      <c r="D980" s="4" t="s">
        <v>16</v>
      </c>
      <c r="E980" s="4" t="s">
        <v>17</v>
      </c>
      <c r="F980" s="4" t="s">
        <v>18</v>
      </c>
      <c r="G980" s="5">
        <v>0.1</v>
      </c>
      <c r="H980" s="5">
        <v>0.4</v>
      </c>
      <c r="I980" s="5">
        <v>0.05</v>
      </c>
      <c r="J980" s="6">
        <v>0.69565217391304346</v>
      </c>
      <c r="K980" s="6">
        <v>0.73458333333333314</v>
      </c>
      <c r="L980" s="6">
        <v>0.62597623261850133</v>
      </c>
      <c r="M980" s="4" t="s">
        <v>134</v>
      </c>
      <c r="N980" s="5">
        <v>0.16855122979040671</v>
      </c>
      <c r="O980" s="4">
        <v>1</v>
      </c>
    </row>
    <row r="981" spans="1:15" x14ac:dyDescent="0.3">
      <c r="A981" s="4">
        <v>327</v>
      </c>
      <c r="B981" s="4">
        <v>327000</v>
      </c>
      <c r="C981" s="4" t="s">
        <v>15</v>
      </c>
      <c r="D981" s="4" t="s">
        <v>161</v>
      </c>
      <c r="E981" s="4" t="s">
        <v>17</v>
      </c>
      <c r="F981" s="4" t="s">
        <v>18</v>
      </c>
      <c r="G981" s="5">
        <v>0.72222222222222221</v>
      </c>
      <c r="H981" s="5">
        <v>0.60000000000000009</v>
      </c>
      <c r="I981" s="5">
        <v>0.05</v>
      </c>
      <c r="J981" s="6">
        <v>0.50724637681159424</v>
      </c>
      <c r="K981" s="6">
        <v>0.83457142857142852</v>
      </c>
      <c r="L981" s="6">
        <v>0.75651002861512773</v>
      </c>
      <c r="M981" s="4" t="s">
        <v>134</v>
      </c>
      <c r="N981" s="5">
        <v>0.16855122979040671</v>
      </c>
      <c r="O981" s="4">
        <v>1</v>
      </c>
    </row>
    <row r="982" spans="1:15" x14ac:dyDescent="0.3">
      <c r="A982" s="4">
        <v>327</v>
      </c>
      <c r="B982" s="4">
        <v>327000</v>
      </c>
      <c r="C982" s="4" t="s">
        <v>15</v>
      </c>
      <c r="D982" s="4" t="s">
        <v>162</v>
      </c>
      <c r="E982" s="4" t="s">
        <v>17</v>
      </c>
      <c r="F982" s="4" t="s">
        <v>18</v>
      </c>
      <c r="G982" s="5">
        <v>0.81111111111111112</v>
      </c>
      <c r="H982" s="5">
        <v>0.60000000000000009</v>
      </c>
      <c r="I982" s="5">
        <v>0.05</v>
      </c>
      <c r="J982" s="6">
        <v>0.43478260869565222</v>
      </c>
      <c r="K982" s="6">
        <v>0.84533333333333316</v>
      </c>
      <c r="L982" s="6">
        <v>0.69074794890559754</v>
      </c>
      <c r="M982" s="4" t="s">
        <v>134</v>
      </c>
      <c r="N982" s="5">
        <v>0.16855122979040671</v>
      </c>
      <c r="O982" s="4">
        <v>1</v>
      </c>
    </row>
    <row r="983" spans="1:15" x14ac:dyDescent="0.3">
      <c r="A983" s="4">
        <v>328</v>
      </c>
      <c r="B983" s="4">
        <v>328000</v>
      </c>
      <c r="C983" s="4" t="s">
        <v>15</v>
      </c>
      <c r="D983" s="4" t="s">
        <v>16</v>
      </c>
      <c r="E983" s="4" t="s">
        <v>17</v>
      </c>
      <c r="F983" s="4" t="s">
        <v>18</v>
      </c>
      <c r="G983" s="5">
        <v>0.1</v>
      </c>
      <c r="H983" s="5">
        <v>0.4</v>
      </c>
      <c r="I983" s="5">
        <v>0.05</v>
      </c>
      <c r="J983" s="6">
        <v>0.7384615384615385</v>
      </c>
      <c r="K983" s="6">
        <v>0.73854166666666676</v>
      </c>
      <c r="L983" s="6">
        <v>0.69377717383335491</v>
      </c>
      <c r="M983" s="4" t="s">
        <v>78</v>
      </c>
      <c r="N983" s="5">
        <v>9.6429370624937671E-2</v>
      </c>
      <c r="O983" s="4">
        <v>0</v>
      </c>
    </row>
    <row r="984" spans="1:15" x14ac:dyDescent="0.3">
      <c r="A984" s="4">
        <v>328</v>
      </c>
      <c r="B984" s="4">
        <v>328000</v>
      </c>
      <c r="C984" s="4" t="s">
        <v>15</v>
      </c>
      <c r="D984" s="4" t="s">
        <v>161</v>
      </c>
      <c r="E984" s="4" t="s">
        <v>17</v>
      </c>
      <c r="F984" s="4" t="s">
        <v>18</v>
      </c>
      <c r="G984" s="5">
        <v>0.72222222222222221</v>
      </c>
      <c r="H984" s="5">
        <v>0.60000000000000009</v>
      </c>
      <c r="I984" s="5">
        <v>0.05</v>
      </c>
      <c r="J984" s="6">
        <v>0.50769230769230766</v>
      </c>
      <c r="K984" s="6">
        <v>0.84</v>
      </c>
      <c r="L984" s="6">
        <v>0.70659279230394756</v>
      </c>
      <c r="M984" s="4" t="s">
        <v>78</v>
      </c>
      <c r="N984" s="5">
        <v>9.6429370624937671E-2</v>
      </c>
      <c r="O984" s="4">
        <v>0</v>
      </c>
    </row>
    <row r="985" spans="1:15" x14ac:dyDescent="0.3">
      <c r="A985" s="4">
        <v>328</v>
      </c>
      <c r="B985" s="4">
        <v>328000</v>
      </c>
      <c r="C985" s="4" t="s">
        <v>15</v>
      </c>
      <c r="D985" s="4" t="s">
        <v>162</v>
      </c>
      <c r="E985" s="4" t="s">
        <v>17</v>
      </c>
      <c r="F985" s="4" t="s">
        <v>18</v>
      </c>
      <c r="G985" s="5">
        <v>0.81111111111111112</v>
      </c>
      <c r="H985" s="5">
        <v>0.60000000000000009</v>
      </c>
      <c r="I985" s="5">
        <v>0.05</v>
      </c>
      <c r="J985" s="6">
        <v>0.46153846153846162</v>
      </c>
      <c r="K985" s="6">
        <v>0.84733333333333327</v>
      </c>
      <c r="L985" s="6">
        <v>0.69319702126354465</v>
      </c>
      <c r="M985" s="4" t="s">
        <v>78</v>
      </c>
      <c r="N985" s="5">
        <v>9.6429370624937671E-2</v>
      </c>
      <c r="O985" s="4">
        <v>0</v>
      </c>
    </row>
    <row r="986" spans="1:15" x14ac:dyDescent="0.3">
      <c r="A986" s="4">
        <v>329</v>
      </c>
      <c r="B986" s="4">
        <v>329000</v>
      </c>
      <c r="C986" s="4" t="s">
        <v>15</v>
      </c>
      <c r="D986" s="4" t="s">
        <v>16</v>
      </c>
      <c r="E986" s="4" t="s">
        <v>17</v>
      </c>
      <c r="F986" s="4" t="s">
        <v>18</v>
      </c>
      <c r="G986" s="5">
        <v>0.1</v>
      </c>
      <c r="H986" s="5">
        <v>0.4</v>
      </c>
      <c r="I986" s="5">
        <v>0.05</v>
      </c>
      <c r="J986" s="6">
        <v>0.74137931034482762</v>
      </c>
      <c r="K986" s="6">
        <v>0.74418604651162779</v>
      </c>
      <c r="L986" s="6">
        <v>0.5375507815046493</v>
      </c>
      <c r="M986" s="4" t="s">
        <v>51</v>
      </c>
      <c r="N986" s="5">
        <v>0.1596690330701854</v>
      </c>
      <c r="O986" s="4">
        <v>1</v>
      </c>
    </row>
    <row r="987" spans="1:15" x14ac:dyDescent="0.3">
      <c r="A987" s="4">
        <v>329</v>
      </c>
      <c r="B987" s="4">
        <v>329000</v>
      </c>
      <c r="C987" s="4" t="s">
        <v>15</v>
      </c>
      <c r="D987" s="4" t="s">
        <v>161</v>
      </c>
      <c r="E987" s="4" t="s">
        <v>17</v>
      </c>
      <c r="F987" s="4" t="s">
        <v>18</v>
      </c>
      <c r="G987" s="5">
        <v>0.9</v>
      </c>
      <c r="H987" s="5">
        <v>0.60000000000000009</v>
      </c>
      <c r="I987" s="5">
        <v>0.05</v>
      </c>
      <c r="J987" s="6">
        <v>0.44827586206896552</v>
      </c>
      <c r="K987" s="6">
        <v>0.8538461538461537</v>
      </c>
      <c r="L987" s="6">
        <v>0.69473138781201915</v>
      </c>
      <c r="M987" s="4" t="s">
        <v>51</v>
      </c>
      <c r="N987" s="5">
        <v>0.1596690330701854</v>
      </c>
      <c r="O987" s="4">
        <v>1</v>
      </c>
    </row>
    <row r="988" spans="1:15" x14ac:dyDescent="0.3">
      <c r="A988" s="4">
        <v>329</v>
      </c>
      <c r="B988" s="4">
        <v>329000</v>
      </c>
      <c r="C988" s="4" t="s">
        <v>15</v>
      </c>
      <c r="D988" s="4" t="s">
        <v>162</v>
      </c>
      <c r="E988" s="4" t="s">
        <v>17</v>
      </c>
      <c r="F988" s="4" t="s">
        <v>18</v>
      </c>
      <c r="G988" s="5">
        <v>0.9</v>
      </c>
      <c r="H988" s="5">
        <v>0.8</v>
      </c>
      <c r="I988" s="5">
        <v>0.05</v>
      </c>
      <c r="J988" s="6">
        <v>0.43103448275862072</v>
      </c>
      <c r="K988" s="6">
        <v>0.88799999999999979</v>
      </c>
      <c r="L988" s="6">
        <v>0.69473138781201915</v>
      </c>
      <c r="M988" s="4" t="s">
        <v>51</v>
      </c>
      <c r="N988" s="5">
        <v>0.1596690330701854</v>
      </c>
      <c r="O988" s="4">
        <v>1</v>
      </c>
    </row>
    <row r="989" spans="1:15" x14ac:dyDescent="0.3">
      <c r="A989" s="4">
        <v>330</v>
      </c>
      <c r="B989" s="4">
        <v>330000</v>
      </c>
      <c r="C989" s="4" t="s">
        <v>15</v>
      </c>
      <c r="D989" s="4" t="s">
        <v>16</v>
      </c>
      <c r="E989" s="4" t="s">
        <v>17</v>
      </c>
      <c r="F989" s="4" t="s">
        <v>18</v>
      </c>
      <c r="G989" s="5">
        <v>0.1</v>
      </c>
      <c r="H989" s="5">
        <v>0.4</v>
      </c>
      <c r="I989" s="5">
        <v>0.05</v>
      </c>
      <c r="J989" s="6">
        <v>0.7192982456140351</v>
      </c>
      <c r="K989" s="6">
        <v>0.76390243902439026</v>
      </c>
      <c r="L989" s="6">
        <v>0.62460215663569629</v>
      </c>
      <c r="M989" s="4" t="s">
        <v>19</v>
      </c>
      <c r="N989" s="5">
        <v>1</v>
      </c>
      <c r="O989" s="4">
        <v>1</v>
      </c>
    </row>
    <row r="990" spans="1:15" x14ac:dyDescent="0.3">
      <c r="A990" s="4">
        <v>330</v>
      </c>
      <c r="B990" s="4">
        <v>330000</v>
      </c>
      <c r="C990" s="4" t="s">
        <v>15</v>
      </c>
      <c r="D990" s="4" t="s">
        <v>161</v>
      </c>
      <c r="E990" s="4" t="s">
        <v>17</v>
      </c>
      <c r="F990" s="4" t="s">
        <v>18</v>
      </c>
      <c r="G990" s="5">
        <v>0.72222222222222221</v>
      </c>
      <c r="H990" s="5">
        <v>0.60000000000000009</v>
      </c>
      <c r="I990" s="5">
        <v>0.05</v>
      </c>
      <c r="J990" s="6">
        <v>0.52631578947368418</v>
      </c>
      <c r="K990" s="6">
        <v>0.8783333333333333</v>
      </c>
      <c r="L990" s="6">
        <v>0.74820256874925117</v>
      </c>
      <c r="M990" s="4" t="s">
        <v>19</v>
      </c>
      <c r="N990" s="5">
        <v>1</v>
      </c>
      <c r="O990" s="4">
        <v>1</v>
      </c>
    </row>
    <row r="991" spans="1:15" x14ac:dyDescent="0.3">
      <c r="A991" s="4">
        <v>330</v>
      </c>
      <c r="B991" s="4">
        <v>330000</v>
      </c>
      <c r="C991" s="4" t="s">
        <v>15</v>
      </c>
      <c r="D991" s="4" t="s">
        <v>162</v>
      </c>
      <c r="E991" s="4" t="s">
        <v>17</v>
      </c>
      <c r="F991" s="4" t="s">
        <v>18</v>
      </c>
      <c r="G991" s="5">
        <v>0.9</v>
      </c>
      <c r="H991" s="5">
        <v>0.60000000000000009</v>
      </c>
      <c r="I991" s="5">
        <v>0.05</v>
      </c>
      <c r="J991" s="6">
        <v>0.40350877192982448</v>
      </c>
      <c r="K991" s="6">
        <v>0.88565217391304341</v>
      </c>
      <c r="L991" s="6">
        <v>0.61173210834798897</v>
      </c>
      <c r="M991" s="4" t="s">
        <v>19</v>
      </c>
      <c r="N991" s="5">
        <v>1</v>
      </c>
      <c r="O991" s="4">
        <v>1</v>
      </c>
    </row>
    <row r="992" spans="1:15" x14ac:dyDescent="0.3">
      <c r="A992" s="4">
        <v>331</v>
      </c>
      <c r="B992" s="4">
        <v>331000</v>
      </c>
      <c r="C992" s="4" t="s">
        <v>15</v>
      </c>
      <c r="D992" s="4" t="s">
        <v>16</v>
      </c>
      <c r="E992" s="4" t="s">
        <v>17</v>
      </c>
      <c r="F992" s="4" t="s">
        <v>18</v>
      </c>
      <c r="G992" s="5">
        <v>0.1</v>
      </c>
      <c r="H992" s="5">
        <v>0.4</v>
      </c>
      <c r="I992" s="5">
        <v>0.05</v>
      </c>
      <c r="J992" s="6">
        <v>0.72131147540983609</v>
      </c>
      <c r="K992" s="6">
        <v>0.77454545454545465</v>
      </c>
      <c r="L992" s="6">
        <v>0.57149587929949786</v>
      </c>
      <c r="M992" s="4" t="s">
        <v>28</v>
      </c>
      <c r="N992" s="5">
        <v>0.1013152440363425</v>
      </c>
      <c r="O992" s="4">
        <v>0</v>
      </c>
    </row>
    <row r="993" spans="1:15" x14ac:dyDescent="0.3">
      <c r="A993" s="4">
        <v>331</v>
      </c>
      <c r="B993" s="4">
        <v>331000</v>
      </c>
      <c r="C993" s="4" t="s">
        <v>15</v>
      </c>
      <c r="D993" s="4" t="s">
        <v>161</v>
      </c>
      <c r="E993" s="4" t="s">
        <v>17</v>
      </c>
      <c r="F993" s="4" t="s">
        <v>18</v>
      </c>
      <c r="G993" s="5">
        <v>0.72222222222222221</v>
      </c>
      <c r="H993" s="5">
        <v>0.60000000000000009</v>
      </c>
      <c r="I993" s="5">
        <v>0.05</v>
      </c>
      <c r="J993" s="6">
        <v>0.55737704918032782</v>
      </c>
      <c r="K993" s="6">
        <v>0.87382352941176478</v>
      </c>
      <c r="L993" s="6">
        <v>0.81251999832920196</v>
      </c>
      <c r="M993" s="4" t="s">
        <v>28</v>
      </c>
      <c r="N993" s="5">
        <v>0.1013152440363425</v>
      </c>
      <c r="O993" s="4">
        <v>0</v>
      </c>
    </row>
    <row r="994" spans="1:15" x14ac:dyDescent="0.3">
      <c r="A994" s="4">
        <v>331</v>
      </c>
      <c r="B994" s="4">
        <v>331000</v>
      </c>
      <c r="C994" s="4" t="s">
        <v>15</v>
      </c>
      <c r="D994" s="4" t="s">
        <v>162</v>
      </c>
      <c r="E994" s="4" t="s">
        <v>17</v>
      </c>
      <c r="F994" s="4" t="s">
        <v>18</v>
      </c>
      <c r="G994" s="5">
        <v>0.9</v>
      </c>
      <c r="H994" s="5">
        <v>0.60000000000000009</v>
      </c>
      <c r="I994" s="5">
        <v>0.05</v>
      </c>
      <c r="J994" s="6">
        <v>0.4098360655737705</v>
      </c>
      <c r="K994" s="6">
        <v>0.88719999999999988</v>
      </c>
      <c r="L994" s="6">
        <v>0.68277409223065855</v>
      </c>
      <c r="M994" s="4" t="s">
        <v>28</v>
      </c>
      <c r="N994" s="5">
        <v>0.1013152440363425</v>
      </c>
      <c r="O994" s="4">
        <v>0</v>
      </c>
    </row>
    <row r="995" spans="1:15" x14ac:dyDescent="0.3">
      <c r="A995" s="4">
        <v>332</v>
      </c>
      <c r="B995" s="4">
        <v>332000</v>
      </c>
      <c r="C995" s="4" t="s">
        <v>15</v>
      </c>
      <c r="D995" s="4" t="s">
        <v>16</v>
      </c>
      <c r="E995" s="4" t="s">
        <v>17</v>
      </c>
      <c r="F995" s="4" t="s">
        <v>18</v>
      </c>
      <c r="G995" s="5">
        <v>0.1</v>
      </c>
      <c r="H995" s="5">
        <v>0.4</v>
      </c>
      <c r="I995" s="5">
        <v>0.05</v>
      </c>
      <c r="J995" s="6">
        <v>0.7321428571428571</v>
      </c>
      <c r="K995" s="6">
        <v>0.79536585365853663</v>
      </c>
      <c r="L995" s="6">
        <v>0.70113995940957718</v>
      </c>
      <c r="M995" s="4" t="s">
        <v>19</v>
      </c>
      <c r="N995" s="5">
        <v>1</v>
      </c>
      <c r="O995" s="4">
        <v>1</v>
      </c>
    </row>
    <row r="996" spans="1:15" x14ac:dyDescent="0.3">
      <c r="A996" s="4">
        <v>332</v>
      </c>
      <c r="B996" s="4">
        <v>332000</v>
      </c>
      <c r="C996" s="4" t="s">
        <v>15</v>
      </c>
      <c r="D996" s="4" t="s">
        <v>161</v>
      </c>
      <c r="E996" s="4" t="s">
        <v>17</v>
      </c>
      <c r="F996" s="4" t="s">
        <v>18</v>
      </c>
      <c r="G996" s="5">
        <v>0.6333333333333333</v>
      </c>
      <c r="H996" s="5">
        <v>0.4</v>
      </c>
      <c r="I996" s="5">
        <v>0.05</v>
      </c>
      <c r="J996" s="6">
        <v>0.6607142857142857</v>
      </c>
      <c r="K996" s="6">
        <v>0.83540540540540553</v>
      </c>
      <c r="L996" s="6">
        <v>0.81493320009612991</v>
      </c>
      <c r="M996" s="4" t="s">
        <v>19</v>
      </c>
      <c r="N996" s="5">
        <v>1</v>
      </c>
      <c r="O996" s="4">
        <v>1</v>
      </c>
    </row>
    <row r="997" spans="1:15" x14ac:dyDescent="0.3">
      <c r="A997" s="4">
        <v>332</v>
      </c>
      <c r="B997" s="4">
        <v>332000</v>
      </c>
      <c r="C997" s="4" t="s">
        <v>15</v>
      </c>
      <c r="D997" s="4" t="s">
        <v>162</v>
      </c>
      <c r="E997" s="4" t="s">
        <v>17</v>
      </c>
      <c r="F997" s="4" t="s">
        <v>18</v>
      </c>
      <c r="G997" s="5">
        <v>0.81111111111111112</v>
      </c>
      <c r="H997" s="5">
        <v>0.4</v>
      </c>
      <c r="I997" s="5">
        <v>0.05</v>
      </c>
      <c r="J997" s="6">
        <v>0.5357142857142857</v>
      </c>
      <c r="K997" s="6">
        <v>0.85333333333333328</v>
      </c>
      <c r="L997" s="6">
        <v>0.77488509366822511</v>
      </c>
      <c r="M997" s="4" t="s">
        <v>19</v>
      </c>
      <c r="N997" s="5">
        <v>1</v>
      </c>
      <c r="O997" s="4">
        <v>1</v>
      </c>
    </row>
    <row r="998" spans="1:15" x14ac:dyDescent="0.3">
      <c r="A998" s="4">
        <v>333</v>
      </c>
      <c r="B998" s="4">
        <v>333000</v>
      </c>
      <c r="C998" s="4" t="s">
        <v>15</v>
      </c>
      <c r="D998" s="4" t="s">
        <v>16</v>
      </c>
      <c r="E998" s="4" t="s">
        <v>17</v>
      </c>
      <c r="F998" s="4" t="s">
        <v>18</v>
      </c>
      <c r="G998" s="5">
        <v>0.1</v>
      </c>
      <c r="H998" s="5">
        <v>0.4</v>
      </c>
      <c r="I998" s="5">
        <v>0.05</v>
      </c>
      <c r="J998" s="6">
        <v>0.68181818181818177</v>
      </c>
      <c r="K998" s="6">
        <v>0.77200000000000002</v>
      </c>
      <c r="L998" s="6">
        <v>0.59163996530386498</v>
      </c>
      <c r="M998" s="4" t="s">
        <v>19</v>
      </c>
      <c r="N998" s="5">
        <v>1</v>
      </c>
      <c r="O998" s="4">
        <v>1</v>
      </c>
    </row>
    <row r="999" spans="1:15" x14ac:dyDescent="0.3">
      <c r="A999" s="4">
        <v>333</v>
      </c>
      <c r="B999" s="4">
        <v>333000</v>
      </c>
      <c r="C999" s="4" t="s">
        <v>15</v>
      </c>
      <c r="D999" s="4" t="s">
        <v>161</v>
      </c>
      <c r="E999" s="4" t="s">
        <v>17</v>
      </c>
      <c r="F999" s="4" t="s">
        <v>18</v>
      </c>
      <c r="G999" s="5">
        <v>0.54444444444444451</v>
      </c>
      <c r="H999" s="5">
        <v>0.4</v>
      </c>
      <c r="I999" s="5">
        <v>0.05</v>
      </c>
      <c r="J999" s="6">
        <v>0.5757575757575758</v>
      </c>
      <c r="K999" s="6">
        <v>0.84000000000000008</v>
      </c>
      <c r="L999" s="6">
        <v>0.8002563700979014</v>
      </c>
      <c r="M999" s="4" t="s">
        <v>19</v>
      </c>
      <c r="N999" s="5">
        <v>1</v>
      </c>
      <c r="O999" s="4">
        <v>1</v>
      </c>
    </row>
    <row r="1000" spans="1:15" x14ac:dyDescent="0.3">
      <c r="A1000" s="4">
        <v>333</v>
      </c>
      <c r="B1000" s="4">
        <v>333000</v>
      </c>
      <c r="C1000" s="4" t="s">
        <v>15</v>
      </c>
      <c r="D1000" s="4" t="s">
        <v>162</v>
      </c>
      <c r="E1000" s="4" t="s">
        <v>17</v>
      </c>
      <c r="F1000" s="4" t="s">
        <v>18</v>
      </c>
      <c r="G1000" s="5">
        <v>0.81111111111111112</v>
      </c>
      <c r="H1000" s="5">
        <v>0.4</v>
      </c>
      <c r="I1000" s="5">
        <v>0.05</v>
      </c>
      <c r="J1000" s="6">
        <v>0.48484848484848492</v>
      </c>
      <c r="K1000" s="6">
        <v>0.85468749999999993</v>
      </c>
      <c r="L1000" s="6">
        <v>0.76757444341014303</v>
      </c>
      <c r="M1000" s="4" t="s">
        <v>19</v>
      </c>
      <c r="N1000" s="5">
        <v>1</v>
      </c>
      <c r="O1000" s="4">
        <v>1</v>
      </c>
    </row>
    <row r="1001" spans="1:15" x14ac:dyDescent="0.3">
      <c r="A1001" s="4">
        <v>334</v>
      </c>
      <c r="B1001" s="4">
        <v>334000</v>
      </c>
      <c r="C1001" s="4" t="s">
        <v>15</v>
      </c>
      <c r="D1001" s="4" t="s">
        <v>16</v>
      </c>
      <c r="E1001" s="4" t="s">
        <v>17</v>
      </c>
      <c r="F1001" s="4" t="s">
        <v>18</v>
      </c>
      <c r="G1001" s="5">
        <v>0.1</v>
      </c>
      <c r="H1001" s="5">
        <v>0.4</v>
      </c>
      <c r="I1001" s="5">
        <v>0.05</v>
      </c>
      <c r="J1001" s="6">
        <v>0.71212121212121215</v>
      </c>
      <c r="K1001" s="6">
        <v>0.75893617021276583</v>
      </c>
      <c r="L1001" s="6">
        <v>0.5781850174693326</v>
      </c>
      <c r="M1001" s="4" t="s">
        <v>135</v>
      </c>
      <c r="N1001" s="5">
        <v>0.1439518872392492</v>
      </c>
      <c r="O1001" s="4">
        <v>0</v>
      </c>
    </row>
    <row r="1002" spans="1:15" x14ac:dyDescent="0.3">
      <c r="A1002" s="4">
        <v>334</v>
      </c>
      <c r="B1002" s="4">
        <v>334000</v>
      </c>
      <c r="C1002" s="4" t="s">
        <v>15</v>
      </c>
      <c r="D1002" s="4" t="s">
        <v>161</v>
      </c>
      <c r="E1002" s="4" t="s">
        <v>17</v>
      </c>
      <c r="F1002" s="4" t="s">
        <v>18</v>
      </c>
      <c r="G1002" s="5">
        <v>0.54444444444444451</v>
      </c>
      <c r="H1002" s="5">
        <v>0.4</v>
      </c>
      <c r="I1002" s="5">
        <v>0.05</v>
      </c>
      <c r="J1002" s="6">
        <v>0.60606060606060608</v>
      </c>
      <c r="K1002" s="6">
        <v>0.81599999999999984</v>
      </c>
      <c r="L1002" s="6">
        <v>0.71975215986206909</v>
      </c>
      <c r="M1002" s="4" t="s">
        <v>135</v>
      </c>
      <c r="N1002" s="5">
        <v>0.1439518872392492</v>
      </c>
      <c r="O1002" s="4">
        <v>0</v>
      </c>
    </row>
    <row r="1003" spans="1:15" x14ac:dyDescent="0.3">
      <c r="A1003" s="4">
        <v>334</v>
      </c>
      <c r="B1003" s="4">
        <v>334000</v>
      </c>
      <c r="C1003" s="4" t="s">
        <v>15</v>
      </c>
      <c r="D1003" s="4" t="s">
        <v>162</v>
      </c>
      <c r="E1003" s="4" t="s">
        <v>17</v>
      </c>
      <c r="F1003" s="4" t="s">
        <v>18</v>
      </c>
      <c r="G1003" s="5">
        <v>0.81111111111111112</v>
      </c>
      <c r="H1003" s="5">
        <v>0.4</v>
      </c>
      <c r="I1003" s="5">
        <v>0.05</v>
      </c>
      <c r="J1003" s="6">
        <v>0.45454545454545447</v>
      </c>
      <c r="K1003" s="6">
        <v>0.84166666666666634</v>
      </c>
      <c r="L1003" s="6">
        <v>0.75912626569748864</v>
      </c>
      <c r="M1003" s="4" t="s">
        <v>135</v>
      </c>
      <c r="N1003" s="5">
        <v>0.1439518872392492</v>
      </c>
      <c r="O1003" s="4">
        <v>0</v>
      </c>
    </row>
    <row r="1004" spans="1:15" x14ac:dyDescent="0.3">
      <c r="A1004" s="4">
        <v>335</v>
      </c>
      <c r="B1004" s="4">
        <v>335000</v>
      </c>
      <c r="C1004" s="4" t="s">
        <v>15</v>
      </c>
      <c r="D1004" s="4" t="s">
        <v>16</v>
      </c>
      <c r="E1004" s="4" t="s">
        <v>17</v>
      </c>
      <c r="F1004" s="4" t="s">
        <v>18</v>
      </c>
      <c r="G1004" s="5">
        <v>0.1</v>
      </c>
      <c r="H1004" s="5">
        <v>0.4</v>
      </c>
      <c r="I1004" s="5">
        <v>0.05</v>
      </c>
      <c r="J1004" s="6">
        <v>0.72881355932203384</v>
      </c>
      <c r="K1004" s="6">
        <v>0.80837209302325563</v>
      </c>
      <c r="L1004" s="6">
        <v>0.70762505441385637</v>
      </c>
      <c r="M1004" s="4" t="s">
        <v>65</v>
      </c>
      <c r="N1004" s="5">
        <v>0.1357387987551987</v>
      </c>
      <c r="O1004" s="4">
        <v>0</v>
      </c>
    </row>
    <row r="1005" spans="1:15" x14ac:dyDescent="0.3">
      <c r="A1005" s="4">
        <v>335</v>
      </c>
      <c r="B1005" s="4">
        <v>335000</v>
      </c>
      <c r="C1005" s="4" t="s">
        <v>15</v>
      </c>
      <c r="D1005" s="4" t="s">
        <v>161</v>
      </c>
      <c r="E1005" s="4" t="s">
        <v>17</v>
      </c>
      <c r="F1005" s="4" t="s">
        <v>18</v>
      </c>
      <c r="G1005" s="5">
        <v>0.54444444444444451</v>
      </c>
      <c r="H1005" s="5">
        <v>0.4</v>
      </c>
      <c r="I1005" s="5">
        <v>0.05</v>
      </c>
      <c r="J1005" s="6">
        <v>0.69491525423728817</v>
      </c>
      <c r="K1005" s="6">
        <v>0.82634146341463399</v>
      </c>
      <c r="L1005" s="6">
        <v>0.7213944689897227</v>
      </c>
      <c r="M1005" s="4" t="s">
        <v>65</v>
      </c>
      <c r="N1005" s="5">
        <v>0.1357387987551987</v>
      </c>
      <c r="O1005" s="4">
        <v>0</v>
      </c>
    </row>
    <row r="1006" spans="1:15" x14ac:dyDescent="0.3">
      <c r="A1006" s="4">
        <v>335</v>
      </c>
      <c r="B1006" s="4">
        <v>335000</v>
      </c>
      <c r="C1006" s="4" t="s">
        <v>15</v>
      </c>
      <c r="D1006" s="4" t="s">
        <v>162</v>
      </c>
      <c r="E1006" s="4" t="s">
        <v>17</v>
      </c>
      <c r="F1006" s="4" t="s">
        <v>18</v>
      </c>
      <c r="G1006" s="5">
        <v>0.81111111111111112</v>
      </c>
      <c r="H1006" s="5">
        <v>0.4</v>
      </c>
      <c r="I1006" s="5">
        <v>0.05</v>
      </c>
      <c r="J1006" s="6">
        <v>0.5423728813559322</v>
      </c>
      <c r="K1006" s="6">
        <v>0.84999999999999976</v>
      </c>
      <c r="L1006" s="6">
        <v>0.75960142802612873</v>
      </c>
      <c r="M1006" s="4" t="s">
        <v>65</v>
      </c>
      <c r="N1006" s="5">
        <v>0.1357387987551987</v>
      </c>
      <c r="O1006" s="4">
        <v>0</v>
      </c>
    </row>
    <row r="1007" spans="1:15" x14ac:dyDescent="0.3">
      <c r="A1007" s="4">
        <v>336</v>
      </c>
      <c r="B1007" s="4">
        <v>336000</v>
      </c>
      <c r="C1007" s="4" t="s">
        <v>15</v>
      </c>
      <c r="D1007" s="4" t="s">
        <v>16</v>
      </c>
      <c r="E1007" s="4" t="s">
        <v>17</v>
      </c>
      <c r="F1007" s="4" t="s">
        <v>18</v>
      </c>
      <c r="G1007" s="5">
        <v>0.1</v>
      </c>
      <c r="H1007" s="5">
        <v>0.4</v>
      </c>
      <c r="I1007" s="5">
        <v>0.05</v>
      </c>
      <c r="J1007" s="6">
        <v>0.7142857142857143</v>
      </c>
      <c r="K1007" s="6">
        <v>0.77266666666666661</v>
      </c>
      <c r="L1007" s="6">
        <v>0.5983009556984088</v>
      </c>
      <c r="M1007" s="4" t="s">
        <v>19</v>
      </c>
      <c r="N1007" s="5">
        <v>1</v>
      </c>
      <c r="O1007" s="4">
        <v>1</v>
      </c>
    </row>
    <row r="1008" spans="1:15" x14ac:dyDescent="0.3">
      <c r="A1008" s="4">
        <v>336</v>
      </c>
      <c r="B1008" s="4">
        <v>336000</v>
      </c>
      <c r="C1008" s="4" t="s">
        <v>15</v>
      </c>
      <c r="D1008" s="4" t="s">
        <v>161</v>
      </c>
      <c r="E1008" s="4" t="s">
        <v>17</v>
      </c>
      <c r="F1008" s="4" t="s">
        <v>18</v>
      </c>
      <c r="G1008" s="5">
        <v>0.72222222222222221</v>
      </c>
      <c r="H1008" s="5">
        <v>0.8</v>
      </c>
      <c r="I1008" s="5">
        <v>0.05</v>
      </c>
      <c r="J1008" s="6">
        <v>0.53968253968253965</v>
      </c>
      <c r="K1008" s="6">
        <v>0.86205882352941177</v>
      </c>
      <c r="L1008" s="6">
        <v>0.77940992228458716</v>
      </c>
      <c r="M1008" s="4" t="s">
        <v>19</v>
      </c>
      <c r="N1008" s="5">
        <v>1</v>
      </c>
      <c r="O1008" s="4">
        <v>1</v>
      </c>
    </row>
    <row r="1009" spans="1:15" x14ac:dyDescent="0.3">
      <c r="A1009" s="4">
        <v>336</v>
      </c>
      <c r="B1009" s="4">
        <v>336000</v>
      </c>
      <c r="C1009" s="4" t="s">
        <v>15</v>
      </c>
      <c r="D1009" s="4" t="s">
        <v>162</v>
      </c>
      <c r="E1009" s="4" t="s">
        <v>17</v>
      </c>
      <c r="F1009" s="4" t="s">
        <v>18</v>
      </c>
      <c r="G1009" s="5">
        <v>0.9</v>
      </c>
      <c r="H1009" s="5">
        <v>0.8</v>
      </c>
      <c r="I1009" s="5">
        <v>0.05</v>
      </c>
      <c r="J1009" s="6">
        <v>0.36507936507936511</v>
      </c>
      <c r="K1009" s="6">
        <v>0.88130434782608691</v>
      </c>
      <c r="L1009" s="6">
        <v>0.66011645722893453</v>
      </c>
      <c r="M1009" s="4" t="s">
        <v>19</v>
      </c>
      <c r="N1009" s="5">
        <v>1</v>
      </c>
      <c r="O1009" s="4">
        <v>1</v>
      </c>
    </row>
    <row r="1010" spans="1:15" x14ac:dyDescent="0.3">
      <c r="A1010" s="4">
        <v>337</v>
      </c>
      <c r="B1010" s="4">
        <v>337000</v>
      </c>
      <c r="C1010" s="4" t="s">
        <v>15</v>
      </c>
      <c r="D1010" s="4" t="s">
        <v>16</v>
      </c>
      <c r="E1010" s="4" t="s">
        <v>17</v>
      </c>
      <c r="F1010" s="4" t="s">
        <v>18</v>
      </c>
      <c r="G1010" s="5">
        <v>0.1</v>
      </c>
      <c r="H1010" s="5">
        <v>0.4</v>
      </c>
      <c r="I1010" s="5">
        <v>0.05</v>
      </c>
      <c r="J1010" s="6">
        <v>0.75757575757575757</v>
      </c>
      <c r="K1010" s="6">
        <v>0.77639999999999998</v>
      </c>
      <c r="L1010" s="6">
        <v>0.69604049652098443</v>
      </c>
      <c r="M1010" s="4" t="s">
        <v>85</v>
      </c>
      <c r="N1010" s="5">
        <v>0.120430585242166</v>
      </c>
      <c r="O1010" s="4">
        <v>0</v>
      </c>
    </row>
    <row r="1011" spans="1:15" x14ac:dyDescent="0.3">
      <c r="A1011" s="4">
        <v>337</v>
      </c>
      <c r="B1011" s="4">
        <v>337000</v>
      </c>
      <c r="C1011" s="4" t="s">
        <v>15</v>
      </c>
      <c r="D1011" s="4" t="s">
        <v>161</v>
      </c>
      <c r="E1011" s="4" t="s">
        <v>17</v>
      </c>
      <c r="F1011" s="4" t="s">
        <v>18</v>
      </c>
      <c r="G1011" s="5">
        <v>0.72222222222222221</v>
      </c>
      <c r="H1011" s="5">
        <v>0.8</v>
      </c>
      <c r="I1011" s="5">
        <v>0.05</v>
      </c>
      <c r="J1011" s="6">
        <v>0.5757575757575758</v>
      </c>
      <c r="K1011" s="6">
        <v>0.84578947368421054</v>
      </c>
      <c r="L1011" s="6">
        <v>0.77579125045397579</v>
      </c>
      <c r="M1011" s="4" t="s">
        <v>85</v>
      </c>
      <c r="N1011" s="5">
        <v>0.120430585242166</v>
      </c>
      <c r="O1011" s="4">
        <v>0</v>
      </c>
    </row>
    <row r="1012" spans="1:15" x14ac:dyDescent="0.3">
      <c r="A1012" s="4">
        <v>337</v>
      </c>
      <c r="B1012" s="4">
        <v>337000</v>
      </c>
      <c r="C1012" s="4" t="s">
        <v>15</v>
      </c>
      <c r="D1012" s="4" t="s">
        <v>162</v>
      </c>
      <c r="E1012" s="4" t="s">
        <v>17</v>
      </c>
      <c r="F1012" s="4" t="s">
        <v>18</v>
      </c>
      <c r="G1012" s="5">
        <v>0.9</v>
      </c>
      <c r="H1012" s="5">
        <v>0.8</v>
      </c>
      <c r="I1012" s="5">
        <v>0.05</v>
      </c>
      <c r="J1012" s="6">
        <v>0.42424242424242431</v>
      </c>
      <c r="K1012" s="6">
        <v>0.85678571428571426</v>
      </c>
      <c r="L1012" s="6">
        <v>0.69706138115436089</v>
      </c>
      <c r="M1012" s="4" t="s">
        <v>85</v>
      </c>
      <c r="N1012" s="5">
        <v>0.120430585242166</v>
      </c>
      <c r="O1012" s="4">
        <v>0</v>
      </c>
    </row>
    <row r="1013" spans="1:15" x14ac:dyDescent="0.3">
      <c r="A1013" s="4">
        <v>338</v>
      </c>
      <c r="B1013" s="4">
        <v>338000</v>
      </c>
      <c r="C1013" s="4" t="s">
        <v>15</v>
      </c>
      <c r="D1013" s="4" t="s">
        <v>16</v>
      </c>
      <c r="E1013" s="4" t="s">
        <v>17</v>
      </c>
      <c r="F1013" s="4" t="s">
        <v>18</v>
      </c>
      <c r="G1013" s="5">
        <v>0.1</v>
      </c>
      <c r="H1013" s="5">
        <v>0.4</v>
      </c>
      <c r="I1013" s="5">
        <v>0.05</v>
      </c>
      <c r="J1013" s="6">
        <v>0.73134328358208955</v>
      </c>
      <c r="K1013" s="6">
        <v>0.76204081632653053</v>
      </c>
      <c r="L1013" s="6">
        <v>0.64779322401315353</v>
      </c>
      <c r="M1013" s="4" t="s">
        <v>90</v>
      </c>
      <c r="N1013" s="5">
        <v>0.1579178361997777</v>
      </c>
      <c r="O1013" s="4">
        <v>1</v>
      </c>
    </row>
    <row r="1014" spans="1:15" x14ac:dyDescent="0.3">
      <c r="A1014" s="4">
        <v>338</v>
      </c>
      <c r="B1014" s="4">
        <v>338000</v>
      </c>
      <c r="C1014" s="4" t="s">
        <v>15</v>
      </c>
      <c r="D1014" s="4" t="s">
        <v>161</v>
      </c>
      <c r="E1014" s="4" t="s">
        <v>17</v>
      </c>
      <c r="F1014" s="4" t="s">
        <v>18</v>
      </c>
      <c r="G1014" s="5">
        <v>0.6333333333333333</v>
      </c>
      <c r="H1014" s="5">
        <v>0.4</v>
      </c>
      <c r="I1014" s="5">
        <v>0.05</v>
      </c>
      <c r="J1014" s="6">
        <v>0.58208955223880599</v>
      </c>
      <c r="K1014" s="6">
        <v>0.83153846153846167</v>
      </c>
      <c r="L1014" s="6">
        <v>0.7756398031047208</v>
      </c>
      <c r="M1014" s="4" t="s">
        <v>90</v>
      </c>
      <c r="N1014" s="5">
        <v>0.1579178361997777</v>
      </c>
      <c r="O1014" s="4">
        <v>1</v>
      </c>
    </row>
    <row r="1015" spans="1:15" x14ac:dyDescent="0.3">
      <c r="A1015" s="4">
        <v>338</v>
      </c>
      <c r="B1015" s="4">
        <v>338000</v>
      </c>
      <c r="C1015" s="4" t="s">
        <v>15</v>
      </c>
      <c r="D1015" s="4" t="s">
        <v>162</v>
      </c>
      <c r="E1015" s="4" t="s">
        <v>17</v>
      </c>
      <c r="F1015" s="4" t="s">
        <v>18</v>
      </c>
      <c r="G1015" s="5">
        <v>0.81111111111111112</v>
      </c>
      <c r="H1015" s="5">
        <v>0.4</v>
      </c>
      <c r="I1015" s="5">
        <v>0.05</v>
      </c>
      <c r="J1015" s="6">
        <v>0.47761194029850751</v>
      </c>
      <c r="K1015" s="6">
        <v>0.85343750000000007</v>
      </c>
      <c r="L1015" s="6">
        <v>0.7490012189544426</v>
      </c>
      <c r="M1015" s="4" t="s">
        <v>90</v>
      </c>
      <c r="N1015" s="5">
        <v>0.1579178361997777</v>
      </c>
      <c r="O1015" s="4">
        <v>1</v>
      </c>
    </row>
    <row r="1016" spans="1:15" x14ac:dyDescent="0.3">
      <c r="A1016" s="4">
        <v>339</v>
      </c>
      <c r="B1016" s="4">
        <v>339000</v>
      </c>
      <c r="C1016" s="4" t="s">
        <v>15</v>
      </c>
      <c r="D1016" s="4" t="s">
        <v>16</v>
      </c>
      <c r="E1016" s="4" t="s">
        <v>17</v>
      </c>
      <c r="F1016" s="4" t="s">
        <v>18</v>
      </c>
      <c r="G1016" s="5">
        <v>0.1</v>
      </c>
      <c r="H1016" s="5">
        <v>0.4</v>
      </c>
      <c r="I1016" s="5">
        <v>0.05</v>
      </c>
      <c r="J1016" s="6">
        <v>0.73333333333333328</v>
      </c>
      <c r="K1016" s="6">
        <v>0.79863636363636348</v>
      </c>
      <c r="L1016" s="6">
        <v>0.69372923573273526</v>
      </c>
      <c r="M1016" s="4" t="s">
        <v>136</v>
      </c>
      <c r="N1016" s="5">
        <v>0.1058648006655078</v>
      </c>
      <c r="O1016" s="4">
        <v>0</v>
      </c>
    </row>
    <row r="1017" spans="1:15" x14ac:dyDescent="0.3">
      <c r="A1017" s="4">
        <v>339</v>
      </c>
      <c r="B1017" s="4">
        <v>339000</v>
      </c>
      <c r="C1017" s="4" t="s">
        <v>15</v>
      </c>
      <c r="D1017" s="4" t="s">
        <v>161</v>
      </c>
      <c r="E1017" s="4" t="s">
        <v>17</v>
      </c>
      <c r="F1017" s="4" t="s">
        <v>18</v>
      </c>
      <c r="G1017" s="5">
        <v>0.6333333333333333</v>
      </c>
      <c r="H1017" s="5">
        <v>0.4</v>
      </c>
      <c r="I1017" s="5">
        <v>0.05</v>
      </c>
      <c r="J1017" s="6">
        <v>0.6166666666666667</v>
      </c>
      <c r="K1017" s="6">
        <v>0.85162162162162125</v>
      </c>
      <c r="L1017" s="6">
        <v>0.78958115679704743</v>
      </c>
      <c r="M1017" s="4" t="s">
        <v>136</v>
      </c>
      <c r="N1017" s="5">
        <v>0.1058648006655078</v>
      </c>
      <c r="O1017" s="4">
        <v>0</v>
      </c>
    </row>
    <row r="1018" spans="1:15" x14ac:dyDescent="0.3">
      <c r="A1018" s="4">
        <v>339</v>
      </c>
      <c r="B1018" s="4">
        <v>339000</v>
      </c>
      <c r="C1018" s="4" t="s">
        <v>15</v>
      </c>
      <c r="D1018" s="4" t="s">
        <v>162</v>
      </c>
      <c r="E1018" s="4" t="s">
        <v>17</v>
      </c>
      <c r="F1018" s="4" t="s">
        <v>18</v>
      </c>
      <c r="G1018" s="5">
        <v>0.81111111111111112</v>
      </c>
      <c r="H1018" s="5">
        <v>0.4</v>
      </c>
      <c r="I1018" s="5">
        <v>0.05</v>
      </c>
      <c r="J1018" s="6">
        <v>0.58333333333333337</v>
      </c>
      <c r="K1018" s="6">
        <v>0.85742857142857121</v>
      </c>
      <c r="L1018" s="6">
        <v>0.76249738815645685</v>
      </c>
      <c r="M1018" s="4" t="s">
        <v>136</v>
      </c>
      <c r="N1018" s="5">
        <v>0.1058648006655078</v>
      </c>
      <c r="O1018" s="4">
        <v>0</v>
      </c>
    </row>
    <row r="1019" spans="1:15" x14ac:dyDescent="0.3">
      <c r="A1019" s="4">
        <v>340</v>
      </c>
      <c r="B1019" s="4">
        <v>340000</v>
      </c>
      <c r="C1019" s="4" t="s">
        <v>15</v>
      </c>
      <c r="D1019" s="4" t="s">
        <v>16</v>
      </c>
      <c r="E1019" s="4" t="s">
        <v>17</v>
      </c>
      <c r="F1019" s="4" t="s">
        <v>18</v>
      </c>
      <c r="G1019" s="5">
        <v>0.1</v>
      </c>
      <c r="H1019" s="5">
        <v>0.4</v>
      </c>
      <c r="I1019" s="5">
        <v>0.05</v>
      </c>
      <c r="J1019" s="6">
        <v>0.74193548387096775</v>
      </c>
      <c r="K1019" s="6">
        <v>0.76565217391304363</v>
      </c>
      <c r="L1019" s="6">
        <v>0.6936689045857668</v>
      </c>
      <c r="M1019" s="4" t="s">
        <v>19</v>
      </c>
      <c r="N1019" s="5">
        <v>1</v>
      </c>
      <c r="O1019" s="4">
        <v>1</v>
      </c>
    </row>
    <row r="1020" spans="1:15" x14ac:dyDescent="0.3">
      <c r="A1020" s="4">
        <v>340</v>
      </c>
      <c r="B1020" s="4">
        <v>340000</v>
      </c>
      <c r="C1020" s="4" t="s">
        <v>15</v>
      </c>
      <c r="D1020" s="4" t="s">
        <v>161</v>
      </c>
      <c r="E1020" s="4" t="s">
        <v>17</v>
      </c>
      <c r="F1020" s="4" t="s">
        <v>18</v>
      </c>
      <c r="G1020" s="5">
        <v>0.6333333333333333</v>
      </c>
      <c r="H1020" s="5">
        <v>0.8</v>
      </c>
      <c r="I1020" s="5">
        <v>0.05</v>
      </c>
      <c r="J1020" s="6">
        <v>0.58064516129032262</v>
      </c>
      <c r="K1020" s="6">
        <v>0.86499999999999999</v>
      </c>
      <c r="L1020" s="6">
        <v>0.83878245632569903</v>
      </c>
      <c r="M1020" s="4" t="s">
        <v>19</v>
      </c>
      <c r="N1020" s="5">
        <v>1</v>
      </c>
      <c r="O1020" s="4">
        <v>1</v>
      </c>
    </row>
    <row r="1021" spans="1:15" x14ac:dyDescent="0.3">
      <c r="A1021" s="4">
        <v>340</v>
      </c>
      <c r="B1021" s="4">
        <v>340000</v>
      </c>
      <c r="C1021" s="4" t="s">
        <v>15</v>
      </c>
      <c r="D1021" s="4" t="s">
        <v>162</v>
      </c>
      <c r="E1021" s="4" t="s">
        <v>17</v>
      </c>
      <c r="F1021" s="4" t="s">
        <v>18</v>
      </c>
      <c r="G1021" s="5">
        <v>0.9</v>
      </c>
      <c r="H1021" s="5">
        <v>0.8</v>
      </c>
      <c r="I1021" s="5">
        <v>0.05</v>
      </c>
      <c r="J1021" s="6">
        <v>0.41935483870967738</v>
      </c>
      <c r="K1021" s="6">
        <v>0.88884615384615395</v>
      </c>
      <c r="L1021" s="6">
        <v>0.77317329716982142</v>
      </c>
      <c r="M1021" s="4" t="s">
        <v>19</v>
      </c>
      <c r="N1021" s="5">
        <v>1</v>
      </c>
      <c r="O1021" s="4">
        <v>1</v>
      </c>
    </row>
    <row r="1022" spans="1:15" x14ac:dyDescent="0.3">
      <c r="A1022" s="4">
        <v>341</v>
      </c>
      <c r="B1022" s="4">
        <v>341000</v>
      </c>
      <c r="C1022" s="4" t="s">
        <v>15</v>
      </c>
      <c r="D1022" s="4" t="s">
        <v>16</v>
      </c>
      <c r="E1022" s="4" t="s">
        <v>17</v>
      </c>
      <c r="F1022" s="4" t="s">
        <v>18</v>
      </c>
      <c r="G1022" s="5">
        <v>0.1</v>
      </c>
      <c r="H1022" s="5">
        <v>0.4</v>
      </c>
      <c r="I1022" s="5">
        <v>0.05</v>
      </c>
      <c r="J1022" s="6">
        <v>0.6875</v>
      </c>
      <c r="K1022" s="6">
        <v>0.77818181818181842</v>
      </c>
      <c r="L1022" s="6">
        <v>0.65013427526841527</v>
      </c>
      <c r="M1022" s="4" t="s">
        <v>19</v>
      </c>
      <c r="N1022" s="5">
        <v>1</v>
      </c>
      <c r="O1022" s="4">
        <v>1</v>
      </c>
    </row>
    <row r="1023" spans="1:15" x14ac:dyDescent="0.3">
      <c r="A1023" s="4">
        <v>341</v>
      </c>
      <c r="B1023" s="4">
        <v>341000</v>
      </c>
      <c r="C1023" s="4" t="s">
        <v>15</v>
      </c>
      <c r="D1023" s="4" t="s">
        <v>161</v>
      </c>
      <c r="E1023" s="4" t="s">
        <v>17</v>
      </c>
      <c r="F1023" s="4" t="s">
        <v>18</v>
      </c>
      <c r="G1023" s="5">
        <v>0.72222222222222221</v>
      </c>
      <c r="H1023" s="5">
        <v>0.8</v>
      </c>
      <c r="I1023" s="5">
        <v>0.05</v>
      </c>
      <c r="J1023" s="6">
        <v>0.546875</v>
      </c>
      <c r="K1023" s="6">
        <v>0.85228571428571409</v>
      </c>
      <c r="L1023" s="6">
        <v>0.7775730145228682</v>
      </c>
      <c r="M1023" s="4" t="s">
        <v>19</v>
      </c>
      <c r="N1023" s="5">
        <v>1</v>
      </c>
      <c r="O1023" s="4">
        <v>1</v>
      </c>
    </row>
    <row r="1024" spans="1:15" x14ac:dyDescent="0.3">
      <c r="A1024" s="4">
        <v>341</v>
      </c>
      <c r="B1024" s="4">
        <v>341000</v>
      </c>
      <c r="C1024" s="4" t="s">
        <v>15</v>
      </c>
      <c r="D1024" s="4" t="s">
        <v>162</v>
      </c>
      <c r="E1024" s="4" t="s">
        <v>17</v>
      </c>
      <c r="F1024" s="4" t="s">
        <v>18</v>
      </c>
      <c r="G1024" s="5">
        <v>0.81111111111111112</v>
      </c>
      <c r="H1024" s="5">
        <v>0.8</v>
      </c>
      <c r="I1024" s="5">
        <v>0.05</v>
      </c>
      <c r="J1024" s="6">
        <v>0.484375</v>
      </c>
      <c r="K1024" s="6">
        <v>0.86064516129032231</v>
      </c>
      <c r="L1024" s="6">
        <v>0.70931441012045882</v>
      </c>
      <c r="M1024" s="4" t="s">
        <v>19</v>
      </c>
      <c r="N1024" s="5">
        <v>1</v>
      </c>
      <c r="O1024" s="4">
        <v>1</v>
      </c>
    </row>
    <row r="1025" spans="1:15" x14ac:dyDescent="0.3">
      <c r="A1025" s="4">
        <v>342</v>
      </c>
      <c r="B1025" s="4">
        <v>342000</v>
      </c>
      <c r="C1025" s="4" t="s">
        <v>15</v>
      </c>
      <c r="D1025" s="4" t="s">
        <v>16</v>
      </c>
      <c r="E1025" s="4" t="s">
        <v>17</v>
      </c>
      <c r="F1025" s="4" t="s">
        <v>18</v>
      </c>
      <c r="G1025" s="5">
        <v>0.1</v>
      </c>
      <c r="H1025" s="5">
        <v>0.4</v>
      </c>
      <c r="I1025" s="5">
        <v>0.05</v>
      </c>
      <c r="J1025" s="6">
        <v>0.69230769230769229</v>
      </c>
      <c r="K1025" s="6">
        <v>0.77177777777777767</v>
      </c>
      <c r="L1025" s="6">
        <v>0.70186116971264967</v>
      </c>
      <c r="M1025" s="4" t="s">
        <v>59</v>
      </c>
      <c r="N1025" s="5">
        <v>9.0895124080130424E-2</v>
      </c>
      <c r="O1025" s="4">
        <v>0</v>
      </c>
    </row>
    <row r="1026" spans="1:15" x14ac:dyDescent="0.3">
      <c r="A1026" s="4">
        <v>342</v>
      </c>
      <c r="B1026" s="4">
        <v>342000</v>
      </c>
      <c r="C1026" s="4" t="s">
        <v>15</v>
      </c>
      <c r="D1026" s="4" t="s">
        <v>161</v>
      </c>
      <c r="E1026" s="4" t="s">
        <v>17</v>
      </c>
      <c r="F1026" s="4" t="s">
        <v>18</v>
      </c>
      <c r="G1026" s="5">
        <v>0.72222222222222221</v>
      </c>
      <c r="H1026" s="5">
        <v>0.8</v>
      </c>
      <c r="I1026" s="5">
        <v>0.05</v>
      </c>
      <c r="J1026" s="6">
        <v>0.53846153846153844</v>
      </c>
      <c r="K1026" s="6">
        <v>0.85314285714285698</v>
      </c>
      <c r="L1026" s="6">
        <v>0.77711298857297628</v>
      </c>
      <c r="M1026" s="4" t="s">
        <v>59</v>
      </c>
      <c r="N1026" s="5">
        <v>9.0895124080130424E-2</v>
      </c>
      <c r="O1026" s="4">
        <v>0</v>
      </c>
    </row>
    <row r="1027" spans="1:15" x14ac:dyDescent="0.3">
      <c r="A1027" s="4">
        <v>342</v>
      </c>
      <c r="B1027" s="4">
        <v>342000</v>
      </c>
      <c r="C1027" s="4" t="s">
        <v>15</v>
      </c>
      <c r="D1027" s="4" t="s">
        <v>162</v>
      </c>
      <c r="E1027" s="4" t="s">
        <v>17</v>
      </c>
      <c r="F1027" s="4" t="s">
        <v>18</v>
      </c>
      <c r="G1027" s="5">
        <v>0.81111111111111112</v>
      </c>
      <c r="H1027" s="5">
        <v>0.8</v>
      </c>
      <c r="I1027" s="5">
        <v>0.05</v>
      </c>
      <c r="J1027" s="6">
        <v>0.49230769230769228</v>
      </c>
      <c r="K1027" s="6">
        <v>0.86093749999999991</v>
      </c>
      <c r="L1027" s="6">
        <v>0.76248632446731102</v>
      </c>
      <c r="M1027" s="4" t="s">
        <v>59</v>
      </c>
      <c r="N1027" s="5">
        <v>9.0895124080130424E-2</v>
      </c>
      <c r="O1027" s="4">
        <v>0</v>
      </c>
    </row>
    <row r="1028" spans="1:15" x14ac:dyDescent="0.3">
      <c r="A1028" s="4">
        <v>343</v>
      </c>
      <c r="B1028" s="4">
        <v>343000</v>
      </c>
      <c r="C1028" s="4" t="s">
        <v>15</v>
      </c>
      <c r="D1028" s="4" t="s">
        <v>16</v>
      </c>
      <c r="E1028" s="4" t="s">
        <v>17</v>
      </c>
      <c r="F1028" s="4" t="s">
        <v>18</v>
      </c>
      <c r="G1028" s="5">
        <v>0.1</v>
      </c>
      <c r="H1028" s="5">
        <v>0.4</v>
      </c>
      <c r="I1028" s="5">
        <v>0.05</v>
      </c>
      <c r="J1028" s="6">
        <v>0.70491803278688525</v>
      </c>
      <c r="K1028" s="6">
        <v>0.7806976744186046</v>
      </c>
      <c r="L1028" s="6">
        <v>0.67256834833720747</v>
      </c>
      <c r="M1028" s="4" t="s">
        <v>19</v>
      </c>
      <c r="N1028" s="5">
        <v>1</v>
      </c>
      <c r="O1028" s="4">
        <v>1</v>
      </c>
    </row>
    <row r="1029" spans="1:15" x14ac:dyDescent="0.3">
      <c r="A1029" s="4">
        <v>343</v>
      </c>
      <c r="B1029" s="4">
        <v>343000</v>
      </c>
      <c r="C1029" s="4" t="s">
        <v>15</v>
      </c>
      <c r="D1029" s="4" t="s">
        <v>161</v>
      </c>
      <c r="E1029" s="4" t="s">
        <v>17</v>
      </c>
      <c r="F1029" s="4" t="s">
        <v>18</v>
      </c>
      <c r="G1029" s="5">
        <v>0.54444444444444451</v>
      </c>
      <c r="H1029" s="5">
        <v>0.4</v>
      </c>
      <c r="I1029" s="5">
        <v>0.05</v>
      </c>
      <c r="J1029" s="6">
        <v>0.63934426229508201</v>
      </c>
      <c r="K1029" s="6">
        <v>0.8125641025641025</v>
      </c>
      <c r="L1029" s="6">
        <v>0.77495587207889793</v>
      </c>
      <c r="M1029" s="4" t="s">
        <v>19</v>
      </c>
      <c r="N1029" s="5">
        <v>1</v>
      </c>
      <c r="O1029" s="4">
        <v>1</v>
      </c>
    </row>
    <row r="1030" spans="1:15" x14ac:dyDescent="0.3">
      <c r="A1030" s="4">
        <v>343</v>
      </c>
      <c r="B1030" s="4">
        <v>343000</v>
      </c>
      <c r="C1030" s="4" t="s">
        <v>15</v>
      </c>
      <c r="D1030" s="4" t="s">
        <v>162</v>
      </c>
      <c r="E1030" s="4" t="s">
        <v>17</v>
      </c>
      <c r="F1030" s="4" t="s">
        <v>18</v>
      </c>
      <c r="G1030" s="5">
        <v>0.81111111111111112</v>
      </c>
      <c r="H1030" s="5">
        <v>0.4</v>
      </c>
      <c r="I1030" s="5">
        <v>0.05</v>
      </c>
      <c r="J1030" s="6">
        <v>0.54098360655737709</v>
      </c>
      <c r="K1030" s="6">
        <v>0.83090909090909082</v>
      </c>
      <c r="L1030" s="6">
        <v>0.76006222264643919</v>
      </c>
      <c r="M1030" s="4" t="s">
        <v>19</v>
      </c>
      <c r="N1030" s="5">
        <v>1</v>
      </c>
      <c r="O1030" s="4">
        <v>1</v>
      </c>
    </row>
    <row r="1031" spans="1:15" x14ac:dyDescent="0.3">
      <c r="A1031" s="4">
        <v>344</v>
      </c>
      <c r="B1031" s="4">
        <v>344000</v>
      </c>
      <c r="C1031" s="4" t="s">
        <v>15</v>
      </c>
      <c r="D1031" s="4" t="s">
        <v>16</v>
      </c>
      <c r="E1031" s="4" t="s">
        <v>17</v>
      </c>
      <c r="F1031" s="4" t="s">
        <v>18</v>
      </c>
      <c r="G1031" s="5">
        <v>0.1</v>
      </c>
      <c r="H1031" s="5">
        <v>0.4</v>
      </c>
      <c r="I1031" s="5">
        <v>0.05</v>
      </c>
      <c r="J1031" s="6">
        <v>0.72580645161290325</v>
      </c>
      <c r="K1031" s="6">
        <v>0.77666666666666684</v>
      </c>
      <c r="L1031" s="6">
        <v>0.66397767065459878</v>
      </c>
      <c r="M1031" s="4" t="s">
        <v>19</v>
      </c>
      <c r="N1031" s="5">
        <v>1</v>
      </c>
      <c r="O1031" s="4">
        <v>1</v>
      </c>
    </row>
    <row r="1032" spans="1:15" x14ac:dyDescent="0.3">
      <c r="A1032" s="4">
        <v>344</v>
      </c>
      <c r="B1032" s="4">
        <v>344000</v>
      </c>
      <c r="C1032" s="4" t="s">
        <v>15</v>
      </c>
      <c r="D1032" s="4" t="s">
        <v>161</v>
      </c>
      <c r="E1032" s="4" t="s">
        <v>17</v>
      </c>
      <c r="F1032" s="4" t="s">
        <v>18</v>
      </c>
      <c r="G1032" s="5">
        <v>0.81111111111111112</v>
      </c>
      <c r="H1032" s="5">
        <v>0.4</v>
      </c>
      <c r="I1032" s="5">
        <v>0.05</v>
      </c>
      <c r="J1032" s="6">
        <v>0.532258064516129</v>
      </c>
      <c r="K1032" s="6">
        <v>0.83272727272727254</v>
      </c>
      <c r="L1032" s="6">
        <v>0.74978715767850357</v>
      </c>
      <c r="M1032" s="4" t="s">
        <v>19</v>
      </c>
      <c r="N1032" s="5">
        <v>1</v>
      </c>
      <c r="O1032" s="4">
        <v>1</v>
      </c>
    </row>
    <row r="1033" spans="1:15" x14ac:dyDescent="0.3">
      <c r="A1033" s="4">
        <v>344</v>
      </c>
      <c r="B1033" s="4">
        <v>344000</v>
      </c>
      <c r="C1033" s="4" t="s">
        <v>15</v>
      </c>
      <c r="D1033" s="4" t="s">
        <v>162</v>
      </c>
      <c r="E1033" s="4" t="s">
        <v>17</v>
      </c>
      <c r="F1033" s="4" t="s">
        <v>18</v>
      </c>
      <c r="G1033" s="5">
        <v>0.81111111111111112</v>
      </c>
      <c r="H1033" s="5">
        <v>0.4</v>
      </c>
      <c r="I1033" s="5">
        <v>0.05</v>
      </c>
      <c r="J1033" s="6">
        <v>0.532258064516129</v>
      </c>
      <c r="K1033" s="6">
        <v>0.83272727272727254</v>
      </c>
      <c r="L1033" s="6">
        <v>0.74978715767850357</v>
      </c>
      <c r="M1033" s="4" t="s">
        <v>19</v>
      </c>
      <c r="N1033" s="5">
        <v>1</v>
      </c>
      <c r="O1033" s="4">
        <v>1</v>
      </c>
    </row>
    <row r="1034" spans="1:15" x14ac:dyDescent="0.3">
      <c r="A1034" s="4">
        <v>345</v>
      </c>
      <c r="B1034" s="4">
        <v>345000</v>
      </c>
      <c r="C1034" s="4" t="s">
        <v>15</v>
      </c>
      <c r="D1034" s="4" t="s">
        <v>16</v>
      </c>
      <c r="E1034" s="4" t="s">
        <v>17</v>
      </c>
      <c r="F1034" s="4" t="s">
        <v>18</v>
      </c>
      <c r="G1034" s="5">
        <v>0.1</v>
      </c>
      <c r="H1034" s="5">
        <v>0.4</v>
      </c>
      <c r="I1034" s="5">
        <v>0.05</v>
      </c>
      <c r="J1034" s="6">
        <v>0.72580645161290325</v>
      </c>
      <c r="K1034" s="6">
        <v>0.78000000000000014</v>
      </c>
      <c r="L1034" s="6">
        <v>0.6917257186929936</v>
      </c>
      <c r="M1034" s="4" t="s">
        <v>137</v>
      </c>
      <c r="N1034" s="5">
        <v>0.1372280052508868</v>
      </c>
      <c r="O1034" s="4">
        <v>0</v>
      </c>
    </row>
    <row r="1035" spans="1:15" x14ac:dyDescent="0.3">
      <c r="A1035" s="4">
        <v>345</v>
      </c>
      <c r="B1035" s="4">
        <v>345000</v>
      </c>
      <c r="C1035" s="4" t="s">
        <v>15</v>
      </c>
      <c r="D1035" s="4" t="s">
        <v>161</v>
      </c>
      <c r="E1035" s="4" t="s">
        <v>17</v>
      </c>
      <c r="F1035" s="4" t="s">
        <v>18</v>
      </c>
      <c r="G1035" s="5">
        <v>0.81111111111111112</v>
      </c>
      <c r="H1035" s="5">
        <v>0.4</v>
      </c>
      <c r="I1035" s="5">
        <v>0.05</v>
      </c>
      <c r="J1035" s="6">
        <v>0.532258064516129</v>
      </c>
      <c r="K1035" s="6">
        <v>0.82939393939393924</v>
      </c>
      <c r="L1035" s="6">
        <v>0.72072353729031113</v>
      </c>
      <c r="M1035" s="4" t="s">
        <v>137</v>
      </c>
      <c r="N1035" s="5">
        <v>0.1372280052508868</v>
      </c>
      <c r="O1035" s="4">
        <v>0</v>
      </c>
    </row>
    <row r="1036" spans="1:15" x14ac:dyDescent="0.3">
      <c r="A1036" s="4">
        <v>345</v>
      </c>
      <c r="B1036" s="4">
        <v>345000</v>
      </c>
      <c r="C1036" s="4" t="s">
        <v>15</v>
      </c>
      <c r="D1036" s="4" t="s">
        <v>162</v>
      </c>
      <c r="E1036" s="4" t="s">
        <v>17</v>
      </c>
      <c r="F1036" s="4" t="s">
        <v>18</v>
      </c>
      <c r="G1036" s="5">
        <v>0.81111111111111112</v>
      </c>
      <c r="H1036" s="5">
        <v>0.4</v>
      </c>
      <c r="I1036" s="5">
        <v>0.05</v>
      </c>
      <c r="J1036" s="6">
        <v>0.532258064516129</v>
      </c>
      <c r="K1036" s="6">
        <v>0.82939393939393924</v>
      </c>
      <c r="L1036" s="6">
        <v>0.72072353729031113</v>
      </c>
      <c r="M1036" s="4" t="s">
        <v>137</v>
      </c>
      <c r="N1036" s="5">
        <v>0.1372280052508868</v>
      </c>
      <c r="O1036" s="4">
        <v>0</v>
      </c>
    </row>
    <row r="1037" spans="1:15" x14ac:dyDescent="0.3">
      <c r="A1037" s="4">
        <v>346</v>
      </c>
      <c r="B1037" s="4">
        <v>346000</v>
      </c>
      <c r="C1037" s="4" t="s">
        <v>15</v>
      </c>
      <c r="D1037" s="4" t="s">
        <v>16</v>
      </c>
      <c r="E1037" s="4" t="s">
        <v>17</v>
      </c>
      <c r="F1037" s="4" t="s">
        <v>18</v>
      </c>
      <c r="G1037" s="5">
        <v>0.1</v>
      </c>
      <c r="H1037" s="5">
        <v>0.4</v>
      </c>
      <c r="I1037" s="5">
        <v>0.05</v>
      </c>
      <c r="J1037" s="6">
        <v>0.73770491803278693</v>
      </c>
      <c r="K1037" s="6">
        <v>0.76444444444444426</v>
      </c>
      <c r="L1037" s="6">
        <v>0.60241642274794882</v>
      </c>
      <c r="M1037" s="4" t="s">
        <v>133</v>
      </c>
      <c r="N1037" s="5">
        <v>0.15298124629957061</v>
      </c>
      <c r="O1037" s="4">
        <v>1</v>
      </c>
    </row>
    <row r="1038" spans="1:15" x14ac:dyDescent="0.3">
      <c r="A1038" s="4">
        <v>346</v>
      </c>
      <c r="B1038" s="4">
        <v>346000</v>
      </c>
      <c r="C1038" s="4" t="s">
        <v>15</v>
      </c>
      <c r="D1038" s="4" t="s">
        <v>161</v>
      </c>
      <c r="E1038" s="4" t="s">
        <v>17</v>
      </c>
      <c r="F1038" s="4" t="s">
        <v>18</v>
      </c>
      <c r="G1038" s="5">
        <v>0.9</v>
      </c>
      <c r="H1038" s="5">
        <v>0.4</v>
      </c>
      <c r="I1038" s="5">
        <v>0.1166666666666667</v>
      </c>
      <c r="J1038" s="6">
        <v>0.45901639344262302</v>
      </c>
      <c r="K1038" s="6">
        <v>0.8224999999999999</v>
      </c>
      <c r="L1038" s="6">
        <v>0.69204205135769536</v>
      </c>
      <c r="M1038" s="4" t="s">
        <v>133</v>
      </c>
      <c r="N1038" s="5">
        <v>0.15298124629957061</v>
      </c>
      <c r="O1038" s="4">
        <v>1</v>
      </c>
    </row>
    <row r="1039" spans="1:15" x14ac:dyDescent="0.3">
      <c r="A1039" s="4">
        <v>346</v>
      </c>
      <c r="B1039" s="4">
        <v>346000</v>
      </c>
      <c r="C1039" s="4" t="s">
        <v>15</v>
      </c>
      <c r="D1039" s="4" t="s">
        <v>162</v>
      </c>
      <c r="E1039" s="4" t="s">
        <v>17</v>
      </c>
      <c r="F1039" s="4" t="s">
        <v>18</v>
      </c>
      <c r="G1039" s="5">
        <v>0.9</v>
      </c>
      <c r="H1039" s="5">
        <v>0.8</v>
      </c>
      <c r="I1039" s="5">
        <v>0.05</v>
      </c>
      <c r="J1039" s="6">
        <v>0.45901639344262302</v>
      </c>
      <c r="K1039" s="6">
        <v>0.85571428571428565</v>
      </c>
      <c r="L1039" s="6">
        <v>0.68443901014120878</v>
      </c>
      <c r="M1039" s="4" t="s">
        <v>133</v>
      </c>
      <c r="N1039" s="5">
        <v>0.15298124629957061</v>
      </c>
      <c r="O1039" s="4">
        <v>1</v>
      </c>
    </row>
    <row r="1040" spans="1:15" x14ac:dyDescent="0.3">
      <c r="A1040" s="4">
        <v>347</v>
      </c>
      <c r="B1040" s="4">
        <v>347000</v>
      </c>
      <c r="C1040" s="4" t="s">
        <v>15</v>
      </c>
      <c r="D1040" s="4" t="s">
        <v>16</v>
      </c>
      <c r="E1040" s="4" t="s">
        <v>17</v>
      </c>
      <c r="F1040" s="4" t="s">
        <v>18</v>
      </c>
      <c r="G1040" s="5">
        <v>0.1</v>
      </c>
      <c r="H1040" s="5">
        <v>0.4</v>
      </c>
      <c r="I1040" s="5">
        <v>0.05</v>
      </c>
      <c r="J1040" s="6">
        <v>0.67213114754098358</v>
      </c>
      <c r="K1040" s="6">
        <v>0.77365853658536576</v>
      </c>
      <c r="L1040" s="6">
        <v>0.64390609307810731</v>
      </c>
      <c r="M1040" s="4" t="s">
        <v>97</v>
      </c>
      <c r="N1040" s="5">
        <v>8.5890612779018202E-2</v>
      </c>
      <c r="O1040" s="4">
        <v>0</v>
      </c>
    </row>
    <row r="1041" spans="1:15" x14ac:dyDescent="0.3">
      <c r="A1041" s="4">
        <v>347</v>
      </c>
      <c r="B1041" s="4">
        <v>347000</v>
      </c>
      <c r="C1041" s="4" t="s">
        <v>15</v>
      </c>
      <c r="D1041" s="4" t="s">
        <v>161</v>
      </c>
      <c r="E1041" s="4" t="s">
        <v>17</v>
      </c>
      <c r="F1041" s="4" t="s">
        <v>18</v>
      </c>
      <c r="G1041" s="5">
        <v>0.9</v>
      </c>
      <c r="H1041" s="5">
        <v>0.4</v>
      </c>
      <c r="I1041" s="5">
        <v>0.1166666666666667</v>
      </c>
      <c r="J1041" s="6">
        <v>0.42622950819672129</v>
      </c>
      <c r="K1041" s="6">
        <v>0.81538461538461526</v>
      </c>
      <c r="L1041" s="6">
        <v>0.58172739169994081</v>
      </c>
      <c r="M1041" s="4" t="s">
        <v>97</v>
      </c>
      <c r="N1041" s="5">
        <v>8.5890612779018202E-2</v>
      </c>
      <c r="O1041" s="4">
        <v>0</v>
      </c>
    </row>
    <row r="1042" spans="1:15" x14ac:dyDescent="0.3">
      <c r="A1042" s="4">
        <v>347</v>
      </c>
      <c r="B1042" s="4">
        <v>347000</v>
      </c>
      <c r="C1042" s="4" t="s">
        <v>15</v>
      </c>
      <c r="D1042" s="4" t="s">
        <v>162</v>
      </c>
      <c r="E1042" s="4" t="s">
        <v>17</v>
      </c>
      <c r="F1042" s="4" t="s">
        <v>18</v>
      </c>
      <c r="G1042" s="5">
        <v>0.9</v>
      </c>
      <c r="H1042" s="5">
        <v>0.8</v>
      </c>
      <c r="I1042" s="5">
        <v>0.05</v>
      </c>
      <c r="J1042" s="6">
        <v>0.42622950819672129</v>
      </c>
      <c r="K1042" s="6">
        <v>0.85153846153846147</v>
      </c>
      <c r="L1042" s="6">
        <v>0.57239405836660739</v>
      </c>
      <c r="M1042" s="4" t="s">
        <v>97</v>
      </c>
      <c r="N1042" s="5">
        <v>8.5890612779018202E-2</v>
      </c>
      <c r="O1042" s="4">
        <v>0</v>
      </c>
    </row>
    <row r="1043" spans="1:15" x14ac:dyDescent="0.3">
      <c r="A1043" s="4">
        <v>348</v>
      </c>
      <c r="B1043" s="4">
        <v>348000</v>
      </c>
      <c r="C1043" s="4" t="s">
        <v>15</v>
      </c>
      <c r="D1043" s="4" t="s">
        <v>16</v>
      </c>
      <c r="E1043" s="4" t="s">
        <v>17</v>
      </c>
      <c r="F1043" s="4" t="s">
        <v>18</v>
      </c>
      <c r="G1043" s="5">
        <v>0.1</v>
      </c>
      <c r="H1043" s="5">
        <v>0.4</v>
      </c>
      <c r="I1043" s="5">
        <v>0.05</v>
      </c>
      <c r="J1043" s="6">
        <v>0.676056338028169</v>
      </c>
      <c r="K1043" s="6">
        <v>0.71875000000000011</v>
      </c>
      <c r="L1043" s="6">
        <v>0.66023548816106492</v>
      </c>
      <c r="M1043" s="4" t="s">
        <v>138</v>
      </c>
      <c r="N1043" s="5">
        <v>0.1657999988504138</v>
      </c>
      <c r="O1043" s="4">
        <v>1</v>
      </c>
    </row>
    <row r="1044" spans="1:15" x14ac:dyDescent="0.3">
      <c r="A1044" s="4">
        <v>348</v>
      </c>
      <c r="B1044" s="4">
        <v>348000</v>
      </c>
      <c r="C1044" s="4" t="s">
        <v>15</v>
      </c>
      <c r="D1044" s="4" t="s">
        <v>161</v>
      </c>
      <c r="E1044" s="4" t="s">
        <v>17</v>
      </c>
      <c r="F1044" s="4" t="s">
        <v>18</v>
      </c>
      <c r="G1044" s="5">
        <v>0.54444444444444451</v>
      </c>
      <c r="H1044" s="5">
        <v>0.60000000000000009</v>
      </c>
      <c r="I1044" s="5">
        <v>0.05</v>
      </c>
      <c r="J1044" s="6">
        <v>0.50704225352112675</v>
      </c>
      <c r="K1044" s="6">
        <v>0.82305555555555532</v>
      </c>
      <c r="L1044" s="6">
        <v>0.75294736934813833</v>
      </c>
      <c r="M1044" s="4" t="s">
        <v>138</v>
      </c>
      <c r="N1044" s="5">
        <v>0.1657999988504138</v>
      </c>
      <c r="O1044" s="4">
        <v>1</v>
      </c>
    </row>
    <row r="1045" spans="1:15" x14ac:dyDescent="0.3">
      <c r="A1045" s="4">
        <v>348</v>
      </c>
      <c r="B1045" s="4">
        <v>348000</v>
      </c>
      <c r="C1045" s="4" t="s">
        <v>15</v>
      </c>
      <c r="D1045" s="4" t="s">
        <v>162</v>
      </c>
      <c r="E1045" s="4" t="s">
        <v>17</v>
      </c>
      <c r="F1045" s="4" t="s">
        <v>18</v>
      </c>
      <c r="G1045" s="5">
        <v>0.81111111111111112</v>
      </c>
      <c r="H1045" s="5">
        <v>0.60000000000000009</v>
      </c>
      <c r="I1045" s="5">
        <v>0.05</v>
      </c>
      <c r="J1045" s="6">
        <v>0.42253521126760563</v>
      </c>
      <c r="K1045" s="6">
        <v>0.85066666666666646</v>
      </c>
      <c r="L1045" s="6">
        <v>0.70266623582298327</v>
      </c>
      <c r="M1045" s="4" t="s">
        <v>138</v>
      </c>
      <c r="N1045" s="5">
        <v>0.1657999988504138</v>
      </c>
      <c r="O1045" s="4">
        <v>1</v>
      </c>
    </row>
    <row r="1046" spans="1:15" x14ac:dyDescent="0.3">
      <c r="A1046" s="4">
        <v>349</v>
      </c>
      <c r="B1046" s="4">
        <v>349000</v>
      </c>
      <c r="C1046" s="4" t="s">
        <v>15</v>
      </c>
      <c r="D1046" s="4" t="s">
        <v>16</v>
      </c>
      <c r="E1046" s="4" t="s">
        <v>17</v>
      </c>
      <c r="F1046" s="4" t="s">
        <v>18</v>
      </c>
      <c r="G1046" s="5">
        <v>0.1</v>
      </c>
      <c r="H1046" s="5">
        <v>0.4</v>
      </c>
      <c r="I1046" s="5">
        <v>0.05</v>
      </c>
      <c r="J1046" s="6">
        <v>0.7142857142857143</v>
      </c>
      <c r="K1046" s="6">
        <v>0.74460000000000004</v>
      </c>
      <c r="L1046" s="6">
        <v>0.70465150138720867</v>
      </c>
      <c r="M1046" s="4" t="s">
        <v>24</v>
      </c>
      <c r="N1046" s="5">
        <v>7.2742506991248512E-2</v>
      </c>
      <c r="O1046" s="4">
        <v>0</v>
      </c>
    </row>
    <row r="1047" spans="1:15" x14ac:dyDescent="0.3">
      <c r="A1047" s="4">
        <v>349</v>
      </c>
      <c r="B1047" s="4">
        <v>349000</v>
      </c>
      <c r="C1047" s="4" t="s">
        <v>15</v>
      </c>
      <c r="D1047" s="4" t="s">
        <v>161</v>
      </c>
      <c r="E1047" s="4" t="s">
        <v>17</v>
      </c>
      <c r="F1047" s="4" t="s">
        <v>18</v>
      </c>
      <c r="G1047" s="5">
        <v>0.54444444444444451</v>
      </c>
      <c r="H1047" s="5">
        <v>0.60000000000000009</v>
      </c>
      <c r="I1047" s="5">
        <v>0.05</v>
      </c>
      <c r="J1047" s="6">
        <v>0.5714285714285714</v>
      </c>
      <c r="K1047" s="6">
        <v>0.8307500000000001</v>
      </c>
      <c r="L1047" s="6">
        <v>0.77120335991496736</v>
      </c>
      <c r="M1047" s="4" t="s">
        <v>24</v>
      </c>
      <c r="N1047" s="5">
        <v>7.2742506991248512E-2</v>
      </c>
      <c r="O1047" s="4">
        <v>0</v>
      </c>
    </row>
    <row r="1048" spans="1:15" x14ac:dyDescent="0.3">
      <c r="A1048" s="4">
        <v>349</v>
      </c>
      <c r="B1048" s="4">
        <v>349000</v>
      </c>
      <c r="C1048" s="4" t="s">
        <v>15</v>
      </c>
      <c r="D1048" s="4" t="s">
        <v>162</v>
      </c>
      <c r="E1048" s="4" t="s">
        <v>17</v>
      </c>
      <c r="F1048" s="4" t="s">
        <v>18</v>
      </c>
      <c r="G1048" s="5">
        <v>0.81111111111111112</v>
      </c>
      <c r="H1048" s="5">
        <v>0.60000000000000009</v>
      </c>
      <c r="I1048" s="5">
        <v>0.05</v>
      </c>
      <c r="J1048" s="6">
        <v>0.45714285714285707</v>
      </c>
      <c r="K1048" s="6">
        <v>0.85531249999999981</v>
      </c>
      <c r="L1048" s="6">
        <v>0.68209127324691954</v>
      </c>
      <c r="M1048" s="4" t="s">
        <v>24</v>
      </c>
      <c r="N1048" s="5">
        <v>7.2742506991248512E-2</v>
      </c>
      <c r="O1048" s="4">
        <v>0</v>
      </c>
    </row>
    <row r="1049" spans="1:15" x14ac:dyDescent="0.3">
      <c r="A1049" s="4">
        <v>350</v>
      </c>
      <c r="B1049" s="4">
        <v>350000</v>
      </c>
      <c r="C1049" s="4" t="s">
        <v>15</v>
      </c>
      <c r="D1049" s="4" t="s">
        <v>16</v>
      </c>
      <c r="E1049" s="4" t="s">
        <v>17</v>
      </c>
      <c r="F1049" s="4" t="s">
        <v>18</v>
      </c>
      <c r="G1049" s="5">
        <v>0.1</v>
      </c>
      <c r="H1049" s="5">
        <v>0.4</v>
      </c>
      <c r="I1049" s="5">
        <v>0.05</v>
      </c>
      <c r="J1049" s="6">
        <v>0.68181818181818177</v>
      </c>
      <c r="K1049" s="6">
        <v>0.76577777777777778</v>
      </c>
      <c r="L1049" s="6">
        <v>0.64284551638277398</v>
      </c>
      <c r="M1049" s="4" t="s">
        <v>19</v>
      </c>
      <c r="N1049" s="5">
        <v>1</v>
      </c>
      <c r="O1049" s="4">
        <v>1</v>
      </c>
    </row>
    <row r="1050" spans="1:15" x14ac:dyDescent="0.3">
      <c r="A1050" s="4">
        <v>350</v>
      </c>
      <c r="B1050" s="4">
        <v>350000</v>
      </c>
      <c r="C1050" s="4" t="s">
        <v>15</v>
      </c>
      <c r="D1050" s="4" t="s">
        <v>161</v>
      </c>
      <c r="E1050" s="4" t="s">
        <v>17</v>
      </c>
      <c r="F1050" s="4" t="s">
        <v>18</v>
      </c>
      <c r="G1050" s="5">
        <v>0.54444444444444451</v>
      </c>
      <c r="H1050" s="5">
        <v>0.4</v>
      </c>
      <c r="I1050" s="5">
        <v>0.05</v>
      </c>
      <c r="J1050" s="6">
        <v>0.56060606060606055</v>
      </c>
      <c r="K1050" s="6">
        <v>0.83675675675675665</v>
      </c>
      <c r="L1050" s="6">
        <v>0.76248634696686646</v>
      </c>
      <c r="M1050" s="4" t="s">
        <v>19</v>
      </c>
      <c r="N1050" s="5">
        <v>1</v>
      </c>
      <c r="O1050" s="4">
        <v>1</v>
      </c>
    </row>
    <row r="1051" spans="1:15" x14ac:dyDescent="0.3">
      <c r="A1051" s="4">
        <v>350</v>
      </c>
      <c r="B1051" s="4">
        <v>350000</v>
      </c>
      <c r="C1051" s="4" t="s">
        <v>15</v>
      </c>
      <c r="D1051" s="4" t="s">
        <v>162</v>
      </c>
      <c r="E1051" s="4" t="s">
        <v>17</v>
      </c>
      <c r="F1051" s="4" t="s">
        <v>18</v>
      </c>
      <c r="G1051" s="5">
        <v>0.81111111111111112</v>
      </c>
      <c r="H1051" s="5">
        <v>0.4</v>
      </c>
      <c r="I1051" s="5">
        <v>0.05</v>
      </c>
      <c r="J1051" s="6">
        <v>0.46969696969696972</v>
      </c>
      <c r="K1051" s="6">
        <v>0.85612903225806447</v>
      </c>
      <c r="L1051" s="6">
        <v>0.69091222392076435</v>
      </c>
      <c r="M1051" s="4" t="s">
        <v>19</v>
      </c>
      <c r="N1051" s="5">
        <v>1</v>
      </c>
      <c r="O1051" s="4">
        <v>1</v>
      </c>
    </row>
    <row r="1052" spans="1:15" x14ac:dyDescent="0.3">
      <c r="A1052" s="4">
        <v>351</v>
      </c>
      <c r="B1052" s="4">
        <v>351000</v>
      </c>
      <c r="C1052" s="4" t="s">
        <v>15</v>
      </c>
      <c r="D1052" s="4" t="s">
        <v>16</v>
      </c>
      <c r="E1052" s="4" t="s">
        <v>17</v>
      </c>
      <c r="F1052" s="4" t="s">
        <v>18</v>
      </c>
      <c r="G1052" s="5">
        <v>0.1</v>
      </c>
      <c r="H1052" s="5">
        <v>0.4</v>
      </c>
      <c r="I1052" s="5">
        <v>0.05</v>
      </c>
      <c r="J1052" s="6">
        <v>0.7384615384615385</v>
      </c>
      <c r="K1052" s="6">
        <v>0.77583333333333326</v>
      </c>
      <c r="L1052" s="6">
        <v>0.73980571684581198</v>
      </c>
      <c r="M1052" s="4" t="s">
        <v>19</v>
      </c>
      <c r="N1052" s="5">
        <v>1</v>
      </c>
      <c r="O1052" s="4">
        <v>1</v>
      </c>
    </row>
    <row r="1053" spans="1:15" x14ac:dyDescent="0.3">
      <c r="A1053" s="4">
        <v>351</v>
      </c>
      <c r="B1053" s="4">
        <v>351000</v>
      </c>
      <c r="C1053" s="4" t="s">
        <v>15</v>
      </c>
      <c r="D1053" s="4" t="s">
        <v>161</v>
      </c>
      <c r="E1053" s="4" t="s">
        <v>17</v>
      </c>
      <c r="F1053" s="4" t="s">
        <v>18</v>
      </c>
      <c r="G1053" s="5">
        <v>0.81111111111111112</v>
      </c>
      <c r="H1053" s="5">
        <v>0.4</v>
      </c>
      <c r="I1053" s="5">
        <v>0.05</v>
      </c>
      <c r="J1053" s="6">
        <v>0.52307692307692311</v>
      </c>
      <c r="K1053" s="6">
        <v>0.85735294117647021</v>
      </c>
      <c r="L1053" s="6">
        <v>0.76165909032119616</v>
      </c>
      <c r="M1053" s="4" t="s">
        <v>19</v>
      </c>
      <c r="N1053" s="5">
        <v>1</v>
      </c>
      <c r="O1053" s="4">
        <v>1</v>
      </c>
    </row>
    <row r="1054" spans="1:15" x14ac:dyDescent="0.3">
      <c r="A1054" s="4">
        <v>351</v>
      </c>
      <c r="B1054" s="4">
        <v>351000</v>
      </c>
      <c r="C1054" s="4" t="s">
        <v>15</v>
      </c>
      <c r="D1054" s="4" t="s">
        <v>162</v>
      </c>
      <c r="E1054" s="4" t="s">
        <v>17</v>
      </c>
      <c r="F1054" s="4" t="s">
        <v>18</v>
      </c>
      <c r="G1054" s="5">
        <v>0.9</v>
      </c>
      <c r="H1054" s="5">
        <v>0.4</v>
      </c>
      <c r="I1054" s="5">
        <v>0.05</v>
      </c>
      <c r="J1054" s="6">
        <v>0.41538461538461541</v>
      </c>
      <c r="K1054" s="6">
        <v>0.85962962962962952</v>
      </c>
      <c r="L1054" s="6">
        <v>0.73543214852601058</v>
      </c>
      <c r="M1054" s="4" t="s">
        <v>19</v>
      </c>
      <c r="N1054" s="5">
        <v>1</v>
      </c>
      <c r="O1054" s="4">
        <v>1</v>
      </c>
    </row>
    <row r="1055" spans="1:15" x14ac:dyDescent="0.3">
      <c r="A1055" s="4">
        <v>352</v>
      </c>
      <c r="B1055" s="4">
        <v>352000</v>
      </c>
      <c r="C1055" s="4" t="s">
        <v>15</v>
      </c>
      <c r="D1055" s="4" t="s">
        <v>16</v>
      </c>
      <c r="E1055" s="4" t="s">
        <v>17</v>
      </c>
      <c r="F1055" s="4" t="s">
        <v>18</v>
      </c>
      <c r="G1055" s="5">
        <v>0.1</v>
      </c>
      <c r="H1055" s="5">
        <v>0.4</v>
      </c>
      <c r="I1055" s="5">
        <v>0.05</v>
      </c>
      <c r="J1055" s="6">
        <v>0.67164179104477617</v>
      </c>
      <c r="K1055" s="6">
        <v>0.7811111111111112</v>
      </c>
      <c r="L1055" s="6">
        <v>0.60732626827304548</v>
      </c>
      <c r="M1055" s="4" t="s">
        <v>74</v>
      </c>
      <c r="N1055" s="5">
        <v>8.936514177354643E-2</v>
      </c>
      <c r="O1055" s="4">
        <v>0</v>
      </c>
    </row>
    <row r="1056" spans="1:15" x14ac:dyDescent="0.3">
      <c r="A1056" s="4">
        <v>352</v>
      </c>
      <c r="B1056" s="4">
        <v>352000</v>
      </c>
      <c r="C1056" s="4" t="s">
        <v>15</v>
      </c>
      <c r="D1056" s="4" t="s">
        <v>161</v>
      </c>
      <c r="E1056" s="4" t="s">
        <v>17</v>
      </c>
      <c r="F1056" s="4" t="s">
        <v>18</v>
      </c>
      <c r="G1056" s="5">
        <v>0.81111111111111112</v>
      </c>
      <c r="H1056" s="5">
        <v>0.4</v>
      </c>
      <c r="I1056" s="5">
        <v>0.05</v>
      </c>
      <c r="J1056" s="6">
        <v>0.46268656716417911</v>
      </c>
      <c r="K1056" s="6">
        <v>0.85387096774193527</v>
      </c>
      <c r="L1056" s="6">
        <v>0.75099071183994437</v>
      </c>
      <c r="M1056" s="4" t="s">
        <v>74</v>
      </c>
      <c r="N1056" s="5">
        <v>8.936514177354643E-2</v>
      </c>
      <c r="O1056" s="4">
        <v>0</v>
      </c>
    </row>
    <row r="1057" spans="1:15" x14ac:dyDescent="0.3">
      <c r="A1057" s="4">
        <v>352</v>
      </c>
      <c r="B1057" s="4">
        <v>352000</v>
      </c>
      <c r="C1057" s="4" t="s">
        <v>15</v>
      </c>
      <c r="D1057" s="4" t="s">
        <v>162</v>
      </c>
      <c r="E1057" s="4" t="s">
        <v>17</v>
      </c>
      <c r="F1057" s="4" t="s">
        <v>18</v>
      </c>
      <c r="G1057" s="5">
        <v>0.9</v>
      </c>
      <c r="H1057" s="5">
        <v>0.4</v>
      </c>
      <c r="I1057" s="5">
        <v>0.05</v>
      </c>
      <c r="J1057" s="6">
        <v>0.38805970149253732</v>
      </c>
      <c r="K1057" s="6">
        <v>0.85269230769230764</v>
      </c>
      <c r="L1057" s="6">
        <v>0.69737390541059874</v>
      </c>
      <c r="M1057" s="4" t="s">
        <v>74</v>
      </c>
      <c r="N1057" s="5">
        <v>8.936514177354643E-2</v>
      </c>
      <c r="O1057" s="4">
        <v>0</v>
      </c>
    </row>
    <row r="1058" spans="1:15" x14ac:dyDescent="0.3">
      <c r="A1058" s="4">
        <v>353</v>
      </c>
      <c r="B1058" s="4">
        <v>353000</v>
      </c>
      <c r="C1058" s="4" t="s">
        <v>15</v>
      </c>
      <c r="D1058" s="4" t="s">
        <v>16</v>
      </c>
      <c r="E1058" s="4" t="s">
        <v>17</v>
      </c>
      <c r="F1058" s="4" t="s">
        <v>18</v>
      </c>
      <c r="G1058" s="5">
        <v>0.1</v>
      </c>
      <c r="H1058" s="5">
        <v>0.4</v>
      </c>
      <c r="I1058" s="5">
        <v>0.05</v>
      </c>
      <c r="J1058" s="6">
        <v>0.71641791044776115</v>
      </c>
      <c r="K1058" s="6">
        <v>0.75145833333333334</v>
      </c>
      <c r="L1058" s="6">
        <v>0.5325684429453621</v>
      </c>
      <c r="M1058" s="4" t="s">
        <v>29</v>
      </c>
      <c r="N1058" s="5">
        <v>0.12073938566589749</v>
      </c>
      <c r="O1058" s="4">
        <v>0</v>
      </c>
    </row>
    <row r="1059" spans="1:15" x14ac:dyDescent="0.3">
      <c r="A1059" s="4">
        <v>353</v>
      </c>
      <c r="B1059" s="4">
        <v>353000</v>
      </c>
      <c r="C1059" s="4" t="s">
        <v>15</v>
      </c>
      <c r="D1059" s="4" t="s">
        <v>161</v>
      </c>
      <c r="E1059" s="4" t="s">
        <v>17</v>
      </c>
      <c r="F1059" s="4" t="s">
        <v>18</v>
      </c>
      <c r="G1059" s="5">
        <v>0.81111111111111112</v>
      </c>
      <c r="H1059" s="5">
        <v>0.4</v>
      </c>
      <c r="I1059" s="5">
        <v>0.05</v>
      </c>
      <c r="J1059" s="6">
        <v>0.44776119402985082</v>
      </c>
      <c r="K1059" s="6">
        <v>0.82433333333333314</v>
      </c>
      <c r="L1059" s="6">
        <v>0.653400907207912</v>
      </c>
      <c r="M1059" s="4" t="s">
        <v>29</v>
      </c>
      <c r="N1059" s="5">
        <v>0.12073938566589749</v>
      </c>
      <c r="O1059" s="4">
        <v>0</v>
      </c>
    </row>
    <row r="1060" spans="1:15" x14ac:dyDescent="0.3">
      <c r="A1060" s="4">
        <v>353</v>
      </c>
      <c r="B1060" s="4">
        <v>353000</v>
      </c>
      <c r="C1060" s="4" t="s">
        <v>15</v>
      </c>
      <c r="D1060" s="4" t="s">
        <v>162</v>
      </c>
      <c r="E1060" s="4" t="s">
        <v>17</v>
      </c>
      <c r="F1060" s="4" t="s">
        <v>18</v>
      </c>
      <c r="G1060" s="5">
        <v>0.9</v>
      </c>
      <c r="H1060" s="5">
        <v>0.4</v>
      </c>
      <c r="I1060" s="5">
        <v>0.05</v>
      </c>
      <c r="J1060" s="6">
        <v>0.38805970149253732</v>
      </c>
      <c r="K1060" s="6">
        <v>0.82115384615384612</v>
      </c>
      <c r="L1060" s="6">
        <v>0.57413493853259578</v>
      </c>
      <c r="M1060" s="4" t="s">
        <v>29</v>
      </c>
      <c r="N1060" s="5">
        <v>0.12073938566589749</v>
      </c>
      <c r="O1060" s="4">
        <v>0</v>
      </c>
    </row>
    <row r="1061" spans="1:15" x14ac:dyDescent="0.3">
      <c r="A1061" s="4">
        <v>354</v>
      </c>
      <c r="B1061" s="4">
        <v>354000</v>
      </c>
      <c r="C1061" s="4" t="s">
        <v>15</v>
      </c>
      <c r="D1061" s="4" t="s">
        <v>16</v>
      </c>
      <c r="E1061" s="4" t="s">
        <v>17</v>
      </c>
      <c r="F1061" s="4" t="s">
        <v>18</v>
      </c>
      <c r="G1061" s="5">
        <v>0.1</v>
      </c>
      <c r="H1061" s="5">
        <v>0.4</v>
      </c>
      <c r="I1061" s="5">
        <v>0.05</v>
      </c>
      <c r="J1061" s="6">
        <v>0.65753424657534243</v>
      </c>
      <c r="K1061" s="6">
        <v>0.75458333333333327</v>
      </c>
      <c r="L1061" s="6">
        <v>0.59229911647515732</v>
      </c>
      <c r="M1061" s="4" t="s">
        <v>102</v>
      </c>
      <c r="N1061" s="5">
        <v>0.15093927999016529</v>
      </c>
      <c r="O1061" s="4">
        <v>1</v>
      </c>
    </row>
    <row r="1062" spans="1:15" x14ac:dyDescent="0.3">
      <c r="A1062" s="4">
        <v>354</v>
      </c>
      <c r="B1062" s="4">
        <v>354000</v>
      </c>
      <c r="C1062" s="4" t="s">
        <v>15</v>
      </c>
      <c r="D1062" s="4" t="s">
        <v>161</v>
      </c>
      <c r="E1062" s="4" t="s">
        <v>17</v>
      </c>
      <c r="F1062" s="4" t="s">
        <v>18</v>
      </c>
      <c r="G1062" s="5">
        <v>0.72222222222222221</v>
      </c>
      <c r="H1062" s="5">
        <v>0.60000000000000009</v>
      </c>
      <c r="I1062" s="5">
        <v>0.05</v>
      </c>
      <c r="J1062" s="6">
        <v>0.46575342465753422</v>
      </c>
      <c r="K1062" s="6">
        <v>0.85558823529411721</v>
      </c>
      <c r="L1062" s="6">
        <v>0.75921136747506746</v>
      </c>
      <c r="M1062" s="4" t="s">
        <v>102</v>
      </c>
      <c r="N1062" s="5">
        <v>0.15093927999016529</v>
      </c>
      <c r="O1062" s="4">
        <v>1</v>
      </c>
    </row>
    <row r="1063" spans="1:15" x14ac:dyDescent="0.3">
      <c r="A1063" s="4">
        <v>354</v>
      </c>
      <c r="B1063" s="4">
        <v>354000</v>
      </c>
      <c r="C1063" s="4" t="s">
        <v>15</v>
      </c>
      <c r="D1063" s="4" t="s">
        <v>162</v>
      </c>
      <c r="E1063" s="4" t="s">
        <v>17</v>
      </c>
      <c r="F1063" s="4" t="s">
        <v>18</v>
      </c>
      <c r="G1063" s="5">
        <v>0.81111111111111112</v>
      </c>
      <c r="H1063" s="5">
        <v>0.60000000000000009</v>
      </c>
      <c r="I1063" s="5">
        <v>0.05</v>
      </c>
      <c r="J1063" s="6">
        <v>0.45205479452054792</v>
      </c>
      <c r="K1063" s="6">
        <v>0.85878787878787832</v>
      </c>
      <c r="L1063" s="6">
        <v>0.75921136747506746</v>
      </c>
      <c r="M1063" s="4" t="s">
        <v>102</v>
      </c>
      <c r="N1063" s="5">
        <v>0.15093927999016529</v>
      </c>
      <c r="O1063" s="4">
        <v>1</v>
      </c>
    </row>
    <row r="1064" spans="1:15" x14ac:dyDescent="0.3">
      <c r="A1064" s="4">
        <v>355</v>
      </c>
      <c r="B1064" s="4">
        <v>355000</v>
      </c>
      <c r="C1064" s="4" t="s">
        <v>15</v>
      </c>
      <c r="D1064" s="4" t="s">
        <v>16</v>
      </c>
      <c r="E1064" s="4" t="s">
        <v>17</v>
      </c>
      <c r="F1064" s="4" t="s">
        <v>18</v>
      </c>
      <c r="G1064" s="5">
        <v>0.1</v>
      </c>
      <c r="H1064" s="5">
        <v>0.4</v>
      </c>
      <c r="I1064" s="5">
        <v>0.05</v>
      </c>
      <c r="J1064" s="6">
        <v>0.66666666666666663</v>
      </c>
      <c r="K1064" s="6">
        <v>0.76386363636363608</v>
      </c>
      <c r="L1064" s="6">
        <v>0.53287498063954697</v>
      </c>
      <c r="M1064" s="4" t="s">
        <v>139</v>
      </c>
      <c r="N1064" s="5">
        <v>0.13267483612652359</v>
      </c>
      <c r="O1064" s="4">
        <v>0</v>
      </c>
    </row>
    <row r="1065" spans="1:15" x14ac:dyDescent="0.3">
      <c r="A1065" s="4">
        <v>355</v>
      </c>
      <c r="B1065" s="4">
        <v>355000</v>
      </c>
      <c r="C1065" s="4" t="s">
        <v>15</v>
      </c>
      <c r="D1065" s="4" t="s">
        <v>161</v>
      </c>
      <c r="E1065" s="4" t="s">
        <v>17</v>
      </c>
      <c r="F1065" s="4" t="s">
        <v>18</v>
      </c>
      <c r="G1065" s="5">
        <v>0.72222222222222221</v>
      </c>
      <c r="H1065" s="5">
        <v>0.60000000000000009</v>
      </c>
      <c r="I1065" s="5">
        <v>0.05</v>
      </c>
      <c r="J1065" s="6">
        <v>0.51515151515151514</v>
      </c>
      <c r="K1065" s="6">
        <v>0.85117647058823487</v>
      </c>
      <c r="L1065" s="6">
        <v>0.7631097515393539</v>
      </c>
      <c r="M1065" s="4" t="s">
        <v>139</v>
      </c>
      <c r="N1065" s="5">
        <v>0.13267483612652359</v>
      </c>
      <c r="O1065" s="4">
        <v>0</v>
      </c>
    </row>
    <row r="1066" spans="1:15" x14ac:dyDescent="0.3">
      <c r="A1066" s="4">
        <v>355</v>
      </c>
      <c r="B1066" s="4">
        <v>355000</v>
      </c>
      <c r="C1066" s="4" t="s">
        <v>15</v>
      </c>
      <c r="D1066" s="4" t="s">
        <v>162</v>
      </c>
      <c r="E1066" s="4" t="s">
        <v>17</v>
      </c>
      <c r="F1066" s="4" t="s">
        <v>18</v>
      </c>
      <c r="G1066" s="5">
        <v>0.81111111111111112</v>
      </c>
      <c r="H1066" s="5">
        <v>0.60000000000000009</v>
      </c>
      <c r="I1066" s="5">
        <v>0.05</v>
      </c>
      <c r="J1066" s="6">
        <v>0.46969696969696972</v>
      </c>
      <c r="K1066" s="6">
        <v>0.85967741935483832</v>
      </c>
      <c r="L1066" s="6">
        <v>0.74853004656704958</v>
      </c>
      <c r="M1066" s="4" t="s">
        <v>139</v>
      </c>
      <c r="N1066" s="5">
        <v>0.13267483612652359</v>
      </c>
      <c r="O1066" s="4">
        <v>0</v>
      </c>
    </row>
    <row r="1067" spans="1:15" x14ac:dyDescent="0.3">
      <c r="A1067" s="4">
        <v>356</v>
      </c>
      <c r="B1067" s="4">
        <v>356000</v>
      </c>
      <c r="C1067" s="4" t="s">
        <v>15</v>
      </c>
      <c r="D1067" s="4" t="s">
        <v>16</v>
      </c>
      <c r="E1067" s="4" t="s">
        <v>17</v>
      </c>
      <c r="F1067" s="4" t="s">
        <v>18</v>
      </c>
      <c r="G1067" s="5">
        <v>0.1</v>
      </c>
      <c r="H1067" s="5">
        <v>0.4</v>
      </c>
      <c r="I1067" s="5">
        <v>0.05</v>
      </c>
      <c r="J1067" s="6">
        <v>0.67164179104477617</v>
      </c>
      <c r="K1067" s="6">
        <v>0.77133333333333332</v>
      </c>
      <c r="L1067" s="6">
        <v>0.66186286104365044</v>
      </c>
      <c r="M1067" s="4" t="s">
        <v>119</v>
      </c>
      <c r="N1067" s="5">
        <v>0.14475282381566509</v>
      </c>
      <c r="O1067" s="4">
        <v>0</v>
      </c>
    </row>
    <row r="1068" spans="1:15" x14ac:dyDescent="0.3">
      <c r="A1068" s="4">
        <v>356</v>
      </c>
      <c r="B1068" s="4">
        <v>356000</v>
      </c>
      <c r="C1068" s="4" t="s">
        <v>15</v>
      </c>
      <c r="D1068" s="4" t="s">
        <v>161</v>
      </c>
      <c r="E1068" s="4" t="s">
        <v>17</v>
      </c>
      <c r="F1068" s="4" t="s">
        <v>18</v>
      </c>
      <c r="G1068" s="5">
        <v>0.72222222222222221</v>
      </c>
      <c r="H1068" s="5">
        <v>0.60000000000000009</v>
      </c>
      <c r="I1068" s="5">
        <v>0.05</v>
      </c>
      <c r="J1068" s="6">
        <v>0.52238805970149249</v>
      </c>
      <c r="K1068" s="6">
        <v>0.85771428571428543</v>
      </c>
      <c r="L1068" s="6">
        <v>0.79019472536853541</v>
      </c>
      <c r="M1068" s="4" t="s">
        <v>119</v>
      </c>
      <c r="N1068" s="5">
        <v>0.14475282381566509</v>
      </c>
      <c r="O1068" s="4">
        <v>0</v>
      </c>
    </row>
    <row r="1069" spans="1:15" x14ac:dyDescent="0.3">
      <c r="A1069" s="4">
        <v>356</v>
      </c>
      <c r="B1069" s="4">
        <v>356000</v>
      </c>
      <c r="C1069" s="4" t="s">
        <v>15</v>
      </c>
      <c r="D1069" s="4" t="s">
        <v>162</v>
      </c>
      <c r="E1069" s="4" t="s">
        <v>17</v>
      </c>
      <c r="F1069" s="4" t="s">
        <v>18</v>
      </c>
      <c r="G1069" s="5">
        <v>0.81111111111111112</v>
      </c>
      <c r="H1069" s="5">
        <v>0.60000000000000009</v>
      </c>
      <c r="I1069" s="5">
        <v>0.05</v>
      </c>
      <c r="J1069" s="6">
        <v>0.5074626865671642</v>
      </c>
      <c r="K1069" s="6">
        <v>0.85941176470588199</v>
      </c>
      <c r="L1069" s="6">
        <v>0.79019472536853541</v>
      </c>
      <c r="M1069" s="4" t="s">
        <v>119</v>
      </c>
      <c r="N1069" s="5">
        <v>0.14475282381566509</v>
      </c>
      <c r="O1069" s="4">
        <v>0</v>
      </c>
    </row>
    <row r="1070" spans="1:15" x14ac:dyDescent="0.3">
      <c r="A1070" s="4">
        <v>357</v>
      </c>
      <c r="B1070" s="4">
        <v>357000</v>
      </c>
      <c r="C1070" s="4" t="s">
        <v>15</v>
      </c>
      <c r="D1070" s="4" t="s">
        <v>16</v>
      </c>
      <c r="E1070" s="4" t="s">
        <v>17</v>
      </c>
      <c r="F1070" s="4" t="s">
        <v>18</v>
      </c>
      <c r="G1070" s="5">
        <v>0.1</v>
      </c>
      <c r="H1070" s="5">
        <v>0.4</v>
      </c>
      <c r="I1070" s="5">
        <v>0.05</v>
      </c>
      <c r="J1070" s="6">
        <v>0.77586206896551724</v>
      </c>
      <c r="K1070" s="6">
        <v>0.76311111111111085</v>
      </c>
      <c r="L1070" s="6">
        <v>0.78712273002865729</v>
      </c>
      <c r="M1070" s="4" t="s">
        <v>19</v>
      </c>
      <c r="N1070" s="5">
        <v>1</v>
      </c>
      <c r="O1070" s="4">
        <v>1</v>
      </c>
    </row>
    <row r="1071" spans="1:15" x14ac:dyDescent="0.3">
      <c r="A1071" s="4">
        <v>357</v>
      </c>
      <c r="B1071" s="4">
        <v>357000</v>
      </c>
      <c r="C1071" s="4" t="s">
        <v>15</v>
      </c>
      <c r="D1071" s="4" t="s">
        <v>161</v>
      </c>
      <c r="E1071" s="4" t="s">
        <v>17</v>
      </c>
      <c r="F1071" s="4" t="s">
        <v>18</v>
      </c>
      <c r="G1071" s="5">
        <v>0.3666666666666667</v>
      </c>
      <c r="H1071" s="5">
        <v>0.4</v>
      </c>
      <c r="I1071" s="5">
        <v>0.05</v>
      </c>
      <c r="J1071" s="6">
        <v>0.72413793103448276</v>
      </c>
      <c r="K1071" s="6">
        <v>0.79904761904761878</v>
      </c>
      <c r="L1071" s="6">
        <v>0.81659819938766687</v>
      </c>
      <c r="M1071" s="4" t="s">
        <v>19</v>
      </c>
      <c r="N1071" s="5">
        <v>1</v>
      </c>
      <c r="O1071" s="4">
        <v>1</v>
      </c>
    </row>
    <row r="1072" spans="1:15" x14ac:dyDescent="0.3">
      <c r="A1072" s="4">
        <v>357</v>
      </c>
      <c r="B1072" s="4">
        <v>357000</v>
      </c>
      <c r="C1072" s="4" t="s">
        <v>15</v>
      </c>
      <c r="D1072" s="4" t="s">
        <v>162</v>
      </c>
      <c r="E1072" s="4" t="s">
        <v>17</v>
      </c>
      <c r="F1072" s="4" t="s">
        <v>18</v>
      </c>
      <c r="G1072" s="5">
        <v>0.9</v>
      </c>
      <c r="H1072" s="5">
        <v>0.4</v>
      </c>
      <c r="I1072" s="5">
        <v>0.05</v>
      </c>
      <c r="J1072" s="6">
        <v>0.44827586206896552</v>
      </c>
      <c r="K1072" s="6">
        <v>0.85653846153846136</v>
      </c>
      <c r="L1072" s="6">
        <v>0.73893939429546152</v>
      </c>
      <c r="M1072" s="4" t="s">
        <v>19</v>
      </c>
      <c r="N1072" s="5">
        <v>1</v>
      </c>
      <c r="O1072" s="4">
        <v>1</v>
      </c>
    </row>
    <row r="1073" spans="1:15" x14ac:dyDescent="0.3">
      <c r="A1073" s="4">
        <v>358</v>
      </c>
      <c r="B1073" s="4">
        <v>358000</v>
      </c>
      <c r="C1073" s="4" t="s">
        <v>15</v>
      </c>
      <c r="D1073" s="4" t="s">
        <v>16</v>
      </c>
      <c r="E1073" s="4" t="s">
        <v>17</v>
      </c>
      <c r="F1073" s="4" t="s">
        <v>18</v>
      </c>
      <c r="G1073" s="5">
        <v>0.1</v>
      </c>
      <c r="H1073" s="5">
        <v>0.4</v>
      </c>
      <c r="I1073" s="5">
        <v>0.05</v>
      </c>
      <c r="J1073" s="6">
        <v>0.72881355932203384</v>
      </c>
      <c r="K1073" s="6">
        <v>0.80069767441860429</v>
      </c>
      <c r="L1073" s="6">
        <v>0.76859003787986879</v>
      </c>
      <c r="M1073" s="4" t="s">
        <v>19</v>
      </c>
      <c r="N1073" s="5">
        <v>1</v>
      </c>
      <c r="O1073" s="4">
        <v>1</v>
      </c>
    </row>
    <row r="1074" spans="1:15" x14ac:dyDescent="0.3">
      <c r="A1074" s="4">
        <v>358</v>
      </c>
      <c r="B1074" s="4">
        <v>358000</v>
      </c>
      <c r="C1074" s="4" t="s">
        <v>15</v>
      </c>
      <c r="D1074" s="4" t="s">
        <v>161</v>
      </c>
      <c r="E1074" s="4" t="s">
        <v>17</v>
      </c>
      <c r="F1074" s="4" t="s">
        <v>18</v>
      </c>
      <c r="G1074" s="5">
        <v>0.54444444444444451</v>
      </c>
      <c r="H1074" s="5">
        <v>0.4</v>
      </c>
      <c r="I1074" s="5">
        <v>0.05</v>
      </c>
      <c r="J1074" s="6">
        <v>0.6271186440677966</v>
      </c>
      <c r="K1074" s="6">
        <v>0.85513513513513495</v>
      </c>
      <c r="L1074" s="6">
        <v>0.79983872048268334</v>
      </c>
      <c r="M1074" s="4" t="s">
        <v>19</v>
      </c>
      <c r="N1074" s="5">
        <v>1</v>
      </c>
      <c r="O1074" s="4">
        <v>1</v>
      </c>
    </row>
    <row r="1075" spans="1:15" x14ac:dyDescent="0.3">
      <c r="A1075" s="4">
        <v>358</v>
      </c>
      <c r="B1075" s="4">
        <v>358000</v>
      </c>
      <c r="C1075" s="4" t="s">
        <v>15</v>
      </c>
      <c r="D1075" s="4" t="s">
        <v>162</v>
      </c>
      <c r="E1075" s="4" t="s">
        <v>17</v>
      </c>
      <c r="F1075" s="4" t="s">
        <v>18</v>
      </c>
      <c r="G1075" s="5">
        <v>0.9</v>
      </c>
      <c r="H1075" s="5">
        <v>0.4</v>
      </c>
      <c r="I1075" s="5">
        <v>0.05</v>
      </c>
      <c r="J1075" s="6">
        <v>0.49152542372881358</v>
      </c>
      <c r="K1075" s="6">
        <v>0.86310344827586216</v>
      </c>
      <c r="L1075" s="6">
        <v>0.77458133691233677</v>
      </c>
      <c r="M1075" s="4" t="s">
        <v>19</v>
      </c>
      <c r="N1075" s="5">
        <v>1</v>
      </c>
      <c r="O1075" s="4">
        <v>1</v>
      </c>
    </row>
    <row r="1076" spans="1:15" x14ac:dyDescent="0.3">
      <c r="A1076" s="4">
        <v>359</v>
      </c>
      <c r="B1076" s="4">
        <v>359000</v>
      </c>
      <c r="C1076" s="4" t="s">
        <v>15</v>
      </c>
      <c r="D1076" s="4" t="s">
        <v>16</v>
      </c>
      <c r="E1076" s="4" t="s">
        <v>17</v>
      </c>
      <c r="F1076" s="4" t="s">
        <v>18</v>
      </c>
      <c r="G1076" s="5">
        <v>0.1</v>
      </c>
      <c r="H1076" s="5">
        <v>0.4</v>
      </c>
      <c r="I1076" s="5">
        <v>0.05</v>
      </c>
      <c r="J1076" s="6">
        <v>0.69230769230769229</v>
      </c>
      <c r="K1076" s="6">
        <v>0.76288888888888873</v>
      </c>
      <c r="L1076" s="6">
        <v>0.71919805255206803</v>
      </c>
      <c r="M1076" s="4" t="s">
        <v>108</v>
      </c>
      <c r="N1076" s="5">
        <v>0.1148821682962451</v>
      </c>
      <c r="O1076" s="4">
        <v>0</v>
      </c>
    </row>
    <row r="1077" spans="1:15" x14ac:dyDescent="0.3">
      <c r="A1077" s="4">
        <v>359</v>
      </c>
      <c r="B1077" s="4">
        <v>359000</v>
      </c>
      <c r="C1077" s="4" t="s">
        <v>15</v>
      </c>
      <c r="D1077" s="4" t="s">
        <v>161</v>
      </c>
      <c r="E1077" s="4" t="s">
        <v>17</v>
      </c>
      <c r="F1077" s="4" t="s">
        <v>18</v>
      </c>
      <c r="G1077" s="5">
        <v>0.54444444444444451</v>
      </c>
      <c r="H1077" s="5">
        <v>0.4</v>
      </c>
      <c r="I1077" s="5">
        <v>0.05</v>
      </c>
      <c r="J1077" s="6">
        <v>0.6</v>
      </c>
      <c r="K1077" s="6">
        <v>0.81666666666666654</v>
      </c>
      <c r="L1077" s="6">
        <v>0.7302364161035293</v>
      </c>
      <c r="M1077" s="4" t="s">
        <v>108</v>
      </c>
      <c r="N1077" s="5">
        <v>0.1148821682962451</v>
      </c>
      <c r="O1077" s="4">
        <v>0</v>
      </c>
    </row>
    <row r="1078" spans="1:15" x14ac:dyDescent="0.3">
      <c r="A1078" s="4">
        <v>359</v>
      </c>
      <c r="B1078" s="4">
        <v>359000</v>
      </c>
      <c r="C1078" s="4" t="s">
        <v>15</v>
      </c>
      <c r="D1078" s="4" t="s">
        <v>162</v>
      </c>
      <c r="E1078" s="4" t="s">
        <v>17</v>
      </c>
      <c r="F1078" s="4" t="s">
        <v>18</v>
      </c>
      <c r="G1078" s="5">
        <v>0.9</v>
      </c>
      <c r="H1078" s="5">
        <v>0.4</v>
      </c>
      <c r="I1078" s="5">
        <v>0.05</v>
      </c>
      <c r="J1078" s="6">
        <v>0.43076923076923079</v>
      </c>
      <c r="K1078" s="6">
        <v>0.82928571428571407</v>
      </c>
      <c r="L1078" s="6">
        <v>0.64943330782828934</v>
      </c>
      <c r="M1078" s="4" t="s">
        <v>108</v>
      </c>
      <c r="N1078" s="5">
        <v>0.1148821682962451</v>
      </c>
      <c r="O1078" s="4">
        <v>0</v>
      </c>
    </row>
    <row r="1079" spans="1:15" x14ac:dyDescent="0.3">
      <c r="A1079" s="4">
        <v>360</v>
      </c>
      <c r="B1079" s="4">
        <v>360000</v>
      </c>
      <c r="C1079" s="4" t="s">
        <v>15</v>
      </c>
      <c r="D1079" s="4" t="s">
        <v>16</v>
      </c>
      <c r="E1079" s="4" t="s">
        <v>17</v>
      </c>
      <c r="F1079" s="4" t="s">
        <v>18</v>
      </c>
      <c r="G1079" s="5">
        <v>0.1</v>
      </c>
      <c r="H1079" s="5">
        <v>0.4</v>
      </c>
      <c r="I1079" s="5">
        <v>0.05</v>
      </c>
      <c r="J1079" s="6">
        <v>0.67692307692307696</v>
      </c>
      <c r="K1079" s="6">
        <v>0.75159090909090909</v>
      </c>
      <c r="L1079" s="6">
        <v>0.62703372285845616</v>
      </c>
      <c r="M1079" s="4" t="s">
        <v>19</v>
      </c>
      <c r="N1079" s="5">
        <v>1</v>
      </c>
      <c r="O1079" s="4">
        <v>1</v>
      </c>
    </row>
    <row r="1080" spans="1:15" x14ac:dyDescent="0.3">
      <c r="A1080" s="4">
        <v>360</v>
      </c>
      <c r="B1080" s="4">
        <v>360000</v>
      </c>
      <c r="C1080" s="4" t="s">
        <v>15</v>
      </c>
      <c r="D1080" s="4" t="s">
        <v>161</v>
      </c>
      <c r="E1080" s="4" t="s">
        <v>17</v>
      </c>
      <c r="F1080" s="4" t="s">
        <v>18</v>
      </c>
      <c r="G1080" s="5">
        <v>0.18888888888888891</v>
      </c>
      <c r="H1080" s="5">
        <v>0.8</v>
      </c>
      <c r="I1080" s="5">
        <v>0.1166666666666667</v>
      </c>
      <c r="J1080" s="6">
        <v>0.55384615384615388</v>
      </c>
      <c r="K1080" s="6">
        <v>0.82555555555555538</v>
      </c>
      <c r="L1080" s="6">
        <v>0.75922003582255726</v>
      </c>
      <c r="M1080" s="4" t="s">
        <v>19</v>
      </c>
      <c r="N1080" s="5">
        <v>1</v>
      </c>
      <c r="O1080" s="4">
        <v>1</v>
      </c>
    </row>
    <row r="1081" spans="1:15" x14ac:dyDescent="0.3">
      <c r="A1081" s="4">
        <v>360</v>
      </c>
      <c r="B1081" s="4">
        <v>360000</v>
      </c>
      <c r="C1081" s="4" t="s">
        <v>15</v>
      </c>
      <c r="D1081" s="4" t="s">
        <v>162</v>
      </c>
      <c r="E1081" s="4" t="s">
        <v>17</v>
      </c>
      <c r="F1081" s="4" t="s">
        <v>18</v>
      </c>
      <c r="G1081" s="5">
        <v>0.9</v>
      </c>
      <c r="H1081" s="5">
        <v>0.8</v>
      </c>
      <c r="I1081" s="5">
        <v>0.05</v>
      </c>
      <c r="J1081" s="6">
        <v>0.41538461538461541</v>
      </c>
      <c r="K1081" s="6">
        <v>0.8588888888888887</v>
      </c>
      <c r="L1081" s="6">
        <v>0.72778640363633385</v>
      </c>
      <c r="M1081" s="4" t="s">
        <v>19</v>
      </c>
      <c r="N1081" s="5">
        <v>1</v>
      </c>
      <c r="O1081" s="4">
        <v>1</v>
      </c>
    </row>
    <row r="1082" spans="1:15" x14ac:dyDescent="0.3">
      <c r="A1082" s="4">
        <v>361</v>
      </c>
      <c r="B1082" s="4">
        <v>361000</v>
      </c>
      <c r="C1082" s="4" t="s">
        <v>15</v>
      </c>
      <c r="D1082" s="4" t="s">
        <v>16</v>
      </c>
      <c r="E1082" s="4" t="s">
        <v>17</v>
      </c>
      <c r="F1082" s="4" t="s">
        <v>18</v>
      </c>
      <c r="G1082" s="5">
        <v>0.1</v>
      </c>
      <c r="H1082" s="5">
        <v>0.4</v>
      </c>
      <c r="I1082" s="5">
        <v>0.05</v>
      </c>
      <c r="J1082" s="6">
        <v>0.74242424242424243</v>
      </c>
      <c r="K1082" s="6">
        <v>0.76857142857142879</v>
      </c>
      <c r="L1082" s="6">
        <v>0.62795611773669424</v>
      </c>
      <c r="M1082" s="4" t="s">
        <v>19</v>
      </c>
      <c r="N1082" s="5">
        <v>1</v>
      </c>
      <c r="O1082" s="4">
        <v>1</v>
      </c>
    </row>
    <row r="1083" spans="1:15" x14ac:dyDescent="0.3">
      <c r="A1083" s="4">
        <v>361</v>
      </c>
      <c r="B1083" s="4">
        <v>361000</v>
      </c>
      <c r="C1083" s="4" t="s">
        <v>15</v>
      </c>
      <c r="D1083" s="4" t="s">
        <v>161</v>
      </c>
      <c r="E1083" s="4" t="s">
        <v>17</v>
      </c>
      <c r="F1083" s="4" t="s">
        <v>18</v>
      </c>
      <c r="G1083" s="5">
        <v>0.9</v>
      </c>
      <c r="H1083" s="5">
        <v>0.8</v>
      </c>
      <c r="I1083" s="5">
        <v>0.05</v>
      </c>
      <c r="J1083" s="6">
        <v>0.40909090909090912</v>
      </c>
      <c r="K1083" s="6">
        <v>0.86148148148148129</v>
      </c>
      <c r="L1083" s="6">
        <v>0.78553958133493917</v>
      </c>
      <c r="M1083" s="4" t="s">
        <v>19</v>
      </c>
      <c r="N1083" s="5">
        <v>1</v>
      </c>
      <c r="O1083" s="4">
        <v>1</v>
      </c>
    </row>
    <row r="1084" spans="1:15" x14ac:dyDescent="0.3">
      <c r="A1084" s="4">
        <v>361</v>
      </c>
      <c r="B1084" s="4">
        <v>361000</v>
      </c>
      <c r="C1084" s="4" t="s">
        <v>15</v>
      </c>
      <c r="D1084" s="4" t="s">
        <v>162</v>
      </c>
      <c r="E1084" s="4" t="s">
        <v>17</v>
      </c>
      <c r="F1084" s="4" t="s">
        <v>18</v>
      </c>
      <c r="G1084" s="5">
        <v>0.9</v>
      </c>
      <c r="H1084" s="5">
        <v>0.8</v>
      </c>
      <c r="I1084" s="5">
        <v>0.05</v>
      </c>
      <c r="J1084" s="6">
        <v>0.40909090909090912</v>
      </c>
      <c r="K1084" s="6">
        <v>0.86148148148148129</v>
      </c>
      <c r="L1084" s="6">
        <v>0.78553958133493917</v>
      </c>
      <c r="M1084" s="4" t="s">
        <v>19</v>
      </c>
      <c r="N1084" s="5">
        <v>1</v>
      </c>
      <c r="O1084" s="4">
        <v>1</v>
      </c>
    </row>
    <row r="1085" spans="1:15" x14ac:dyDescent="0.3">
      <c r="A1085" s="4">
        <v>362</v>
      </c>
      <c r="B1085" s="4">
        <v>362000</v>
      </c>
      <c r="C1085" s="4" t="s">
        <v>15</v>
      </c>
      <c r="D1085" s="4" t="s">
        <v>16</v>
      </c>
      <c r="E1085" s="4" t="s">
        <v>17</v>
      </c>
      <c r="F1085" s="4" t="s">
        <v>18</v>
      </c>
      <c r="G1085" s="5">
        <v>0.1</v>
      </c>
      <c r="H1085" s="5">
        <v>0.4</v>
      </c>
      <c r="I1085" s="5">
        <v>0.05</v>
      </c>
      <c r="J1085" s="6">
        <v>0.76190476190476186</v>
      </c>
      <c r="K1085" s="6">
        <v>0.78916666666666668</v>
      </c>
      <c r="L1085" s="6">
        <v>0.63998286091457579</v>
      </c>
      <c r="M1085" s="4" t="s">
        <v>140</v>
      </c>
      <c r="N1085" s="5">
        <v>7.8264872362409352E-2</v>
      </c>
      <c r="O1085" s="4">
        <v>0</v>
      </c>
    </row>
    <row r="1086" spans="1:15" x14ac:dyDescent="0.3">
      <c r="A1086" s="4">
        <v>362</v>
      </c>
      <c r="B1086" s="4">
        <v>362000</v>
      </c>
      <c r="C1086" s="4" t="s">
        <v>15</v>
      </c>
      <c r="D1086" s="4" t="s">
        <v>161</v>
      </c>
      <c r="E1086" s="4" t="s">
        <v>17</v>
      </c>
      <c r="F1086" s="4" t="s">
        <v>18</v>
      </c>
      <c r="G1086" s="5">
        <v>0.9</v>
      </c>
      <c r="H1086" s="5">
        <v>0.8</v>
      </c>
      <c r="I1086" s="5">
        <v>0.05</v>
      </c>
      <c r="J1086" s="6">
        <v>0.44444444444444442</v>
      </c>
      <c r="K1086" s="6">
        <v>0.89178571428571407</v>
      </c>
      <c r="L1086" s="6">
        <v>0.78459177218792409</v>
      </c>
      <c r="M1086" s="4" t="s">
        <v>140</v>
      </c>
      <c r="N1086" s="5">
        <v>7.8264872362409352E-2</v>
      </c>
      <c r="O1086" s="4">
        <v>0</v>
      </c>
    </row>
    <row r="1087" spans="1:15" x14ac:dyDescent="0.3">
      <c r="A1087" s="4">
        <v>362</v>
      </c>
      <c r="B1087" s="4">
        <v>362000</v>
      </c>
      <c r="C1087" s="4" t="s">
        <v>15</v>
      </c>
      <c r="D1087" s="4" t="s">
        <v>162</v>
      </c>
      <c r="E1087" s="4" t="s">
        <v>17</v>
      </c>
      <c r="F1087" s="4" t="s">
        <v>18</v>
      </c>
      <c r="G1087" s="5">
        <v>0.9</v>
      </c>
      <c r="H1087" s="5">
        <v>0.8</v>
      </c>
      <c r="I1087" s="5">
        <v>0.05</v>
      </c>
      <c r="J1087" s="6">
        <v>0.44444444444444442</v>
      </c>
      <c r="K1087" s="6">
        <v>0.89178571428571407</v>
      </c>
      <c r="L1087" s="6">
        <v>0.78459177218792409</v>
      </c>
      <c r="M1087" s="4" t="s">
        <v>140</v>
      </c>
      <c r="N1087" s="5">
        <v>7.8264872362409352E-2</v>
      </c>
      <c r="O1087" s="4">
        <v>0</v>
      </c>
    </row>
    <row r="1088" spans="1:15" x14ac:dyDescent="0.3">
      <c r="A1088" s="4">
        <v>363</v>
      </c>
      <c r="B1088" s="4">
        <v>363000</v>
      </c>
      <c r="C1088" s="4" t="s">
        <v>15</v>
      </c>
      <c r="D1088" s="4" t="s">
        <v>16</v>
      </c>
      <c r="E1088" s="4" t="s">
        <v>17</v>
      </c>
      <c r="F1088" s="4" t="s">
        <v>18</v>
      </c>
      <c r="G1088" s="5">
        <v>0.1</v>
      </c>
      <c r="H1088" s="5">
        <v>0.4</v>
      </c>
      <c r="I1088" s="5">
        <v>0.05</v>
      </c>
      <c r="J1088" s="6">
        <v>0.703125</v>
      </c>
      <c r="K1088" s="6">
        <v>0.79288888888888909</v>
      </c>
      <c r="L1088" s="6">
        <v>0.61421289175019922</v>
      </c>
      <c r="M1088" s="4" t="s">
        <v>29</v>
      </c>
      <c r="N1088" s="5">
        <v>0.12068578395875861</v>
      </c>
      <c r="O1088" s="4">
        <v>0</v>
      </c>
    </row>
    <row r="1089" spans="1:15" x14ac:dyDescent="0.3">
      <c r="A1089" s="4">
        <v>363</v>
      </c>
      <c r="B1089" s="4">
        <v>363000</v>
      </c>
      <c r="C1089" s="4" t="s">
        <v>15</v>
      </c>
      <c r="D1089" s="4" t="s">
        <v>161</v>
      </c>
      <c r="E1089" s="4" t="s">
        <v>17</v>
      </c>
      <c r="F1089" s="4" t="s">
        <v>18</v>
      </c>
      <c r="G1089" s="5">
        <v>0.9</v>
      </c>
      <c r="H1089" s="5">
        <v>0.8</v>
      </c>
      <c r="I1089" s="5">
        <v>0.05</v>
      </c>
      <c r="J1089" s="6">
        <v>0.40625</v>
      </c>
      <c r="K1089" s="6">
        <v>0.85538461538461519</v>
      </c>
      <c r="L1089" s="6">
        <v>0.66362927576156705</v>
      </c>
      <c r="M1089" s="4" t="s">
        <v>29</v>
      </c>
      <c r="N1089" s="5">
        <v>0.12068578395875861</v>
      </c>
      <c r="O1089" s="4">
        <v>0</v>
      </c>
    </row>
    <row r="1090" spans="1:15" x14ac:dyDescent="0.3">
      <c r="A1090" s="4">
        <v>363</v>
      </c>
      <c r="B1090" s="4">
        <v>363000</v>
      </c>
      <c r="C1090" s="4" t="s">
        <v>15</v>
      </c>
      <c r="D1090" s="4" t="s">
        <v>162</v>
      </c>
      <c r="E1090" s="4" t="s">
        <v>17</v>
      </c>
      <c r="F1090" s="4" t="s">
        <v>18</v>
      </c>
      <c r="G1090" s="5">
        <v>0.9</v>
      </c>
      <c r="H1090" s="5">
        <v>0.8</v>
      </c>
      <c r="I1090" s="5">
        <v>0.05</v>
      </c>
      <c r="J1090" s="6">
        <v>0.40625</v>
      </c>
      <c r="K1090" s="6">
        <v>0.85538461538461519</v>
      </c>
      <c r="L1090" s="6">
        <v>0.66362927576156705</v>
      </c>
      <c r="M1090" s="4" t="s">
        <v>29</v>
      </c>
      <c r="N1090" s="5">
        <v>0.12068578395875861</v>
      </c>
      <c r="O1090" s="4">
        <v>0</v>
      </c>
    </row>
    <row r="1091" spans="1:15" x14ac:dyDescent="0.3">
      <c r="A1091" s="4">
        <v>364</v>
      </c>
      <c r="B1091" s="4">
        <v>364000</v>
      </c>
      <c r="C1091" s="4" t="s">
        <v>15</v>
      </c>
      <c r="D1091" s="4" t="s">
        <v>16</v>
      </c>
      <c r="E1091" s="4" t="s">
        <v>17</v>
      </c>
      <c r="F1091" s="4" t="s">
        <v>18</v>
      </c>
      <c r="G1091" s="5">
        <v>0.1</v>
      </c>
      <c r="H1091" s="5">
        <v>0.4</v>
      </c>
      <c r="I1091" s="5">
        <v>0.05</v>
      </c>
      <c r="J1091" s="6">
        <v>0.65625</v>
      </c>
      <c r="K1091" s="6">
        <v>0.77142857142857135</v>
      </c>
      <c r="L1091" s="6">
        <v>0.50884820000644004</v>
      </c>
      <c r="M1091" s="4" t="s">
        <v>30</v>
      </c>
      <c r="N1091" s="5">
        <v>0.14163240237789021</v>
      </c>
      <c r="O1091" s="4">
        <v>0</v>
      </c>
    </row>
    <row r="1092" spans="1:15" x14ac:dyDescent="0.3">
      <c r="A1092" s="4">
        <v>364</v>
      </c>
      <c r="B1092" s="4">
        <v>364000</v>
      </c>
      <c r="C1092" s="4" t="s">
        <v>15</v>
      </c>
      <c r="D1092" s="4" t="s">
        <v>161</v>
      </c>
      <c r="E1092" s="4" t="s">
        <v>17</v>
      </c>
      <c r="F1092" s="4" t="s">
        <v>18</v>
      </c>
      <c r="G1092" s="5">
        <v>0.9</v>
      </c>
      <c r="H1092" s="5">
        <v>0.8</v>
      </c>
      <c r="I1092" s="5">
        <v>0.05</v>
      </c>
      <c r="J1092" s="6">
        <v>0.40625</v>
      </c>
      <c r="K1092" s="6">
        <v>0.85538461538461508</v>
      </c>
      <c r="L1092" s="6">
        <v>0.67195152845064865</v>
      </c>
      <c r="M1092" s="4" t="s">
        <v>30</v>
      </c>
      <c r="N1092" s="5">
        <v>0.14163240237789021</v>
      </c>
      <c r="O1092" s="4">
        <v>0</v>
      </c>
    </row>
    <row r="1093" spans="1:15" x14ac:dyDescent="0.3">
      <c r="A1093" s="4">
        <v>364</v>
      </c>
      <c r="B1093" s="4">
        <v>364000</v>
      </c>
      <c r="C1093" s="4" t="s">
        <v>15</v>
      </c>
      <c r="D1093" s="4" t="s">
        <v>162</v>
      </c>
      <c r="E1093" s="4" t="s">
        <v>17</v>
      </c>
      <c r="F1093" s="4" t="s">
        <v>18</v>
      </c>
      <c r="G1093" s="5">
        <v>0.9</v>
      </c>
      <c r="H1093" s="5">
        <v>0.8</v>
      </c>
      <c r="I1093" s="5">
        <v>0.05</v>
      </c>
      <c r="J1093" s="6">
        <v>0.40625</v>
      </c>
      <c r="K1093" s="6">
        <v>0.85538461538461508</v>
      </c>
      <c r="L1093" s="6">
        <v>0.67195152845064865</v>
      </c>
      <c r="M1093" s="4" t="s">
        <v>30</v>
      </c>
      <c r="N1093" s="5">
        <v>0.14163240237789021</v>
      </c>
      <c r="O1093" s="4">
        <v>0</v>
      </c>
    </row>
    <row r="1094" spans="1:15" x14ac:dyDescent="0.3">
      <c r="A1094" s="4">
        <v>365</v>
      </c>
      <c r="B1094" s="4">
        <v>365000</v>
      </c>
      <c r="C1094" s="4" t="s">
        <v>15</v>
      </c>
      <c r="D1094" s="4" t="s">
        <v>16</v>
      </c>
      <c r="E1094" s="4" t="s">
        <v>17</v>
      </c>
      <c r="F1094" s="4" t="s">
        <v>18</v>
      </c>
      <c r="G1094" s="5">
        <v>0.1</v>
      </c>
      <c r="H1094" s="5">
        <v>0.4</v>
      </c>
      <c r="I1094" s="5">
        <v>0.05</v>
      </c>
      <c r="J1094" s="6">
        <v>0.7142857142857143</v>
      </c>
      <c r="K1094" s="6">
        <v>0.77533333333333332</v>
      </c>
      <c r="L1094" s="6">
        <v>0.5157777750865038</v>
      </c>
      <c r="M1094" s="4" t="s">
        <v>141</v>
      </c>
      <c r="N1094" s="5">
        <v>0.1984298448553366</v>
      </c>
      <c r="O1094" s="4">
        <v>1</v>
      </c>
    </row>
    <row r="1095" spans="1:15" x14ac:dyDescent="0.3">
      <c r="A1095" s="4">
        <v>365</v>
      </c>
      <c r="B1095" s="4">
        <v>365000</v>
      </c>
      <c r="C1095" s="4" t="s">
        <v>15</v>
      </c>
      <c r="D1095" s="4" t="s">
        <v>161</v>
      </c>
      <c r="E1095" s="4" t="s">
        <v>17</v>
      </c>
      <c r="F1095" s="4" t="s">
        <v>18</v>
      </c>
      <c r="G1095" s="5">
        <v>0.72222222222222221</v>
      </c>
      <c r="H1095" s="5">
        <v>0.4</v>
      </c>
      <c r="I1095" s="5">
        <v>0.05</v>
      </c>
      <c r="J1095" s="6">
        <v>0.5714285714285714</v>
      </c>
      <c r="K1095" s="6">
        <v>0.83083333333333353</v>
      </c>
      <c r="L1095" s="6">
        <v>0.76453666948125609</v>
      </c>
      <c r="M1095" s="4" t="s">
        <v>141</v>
      </c>
      <c r="N1095" s="5">
        <v>0.1984298448553366</v>
      </c>
      <c r="O1095" s="4">
        <v>1</v>
      </c>
    </row>
    <row r="1096" spans="1:15" x14ac:dyDescent="0.3">
      <c r="A1096" s="4">
        <v>365</v>
      </c>
      <c r="B1096" s="4">
        <v>365000</v>
      </c>
      <c r="C1096" s="4" t="s">
        <v>15</v>
      </c>
      <c r="D1096" s="4" t="s">
        <v>162</v>
      </c>
      <c r="E1096" s="4" t="s">
        <v>17</v>
      </c>
      <c r="F1096" s="4" t="s">
        <v>18</v>
      </c>
      <c r="G1096" s="5">
        <v>0.81111111111111112</v>
      </c>
      <c r="H1096" s="5">
        <v>0.4</v>
      </c>
      <c r="I1096" s="5">
        <v>0.05</v>
      </c>
      <c r="J1096" s="6">
        <v>0.44444444444444442</v>
      </c>
      <c r="K1096" s="6">
        <v>0.84678571428571447</v>
      </c>
      <c r="L1096" s="6">
        <v>0.67987378729066705</v>
      </c>
      <c r="M1096" s="4" t="s">
        <v>141</v>
      </c>
      <c r="N1096" s="5">
        <v>0.1984298448553366</v>
      </c>
      <c r="O1096" s="4">
        <v>1</v>
      </c>
    </row>
    <row r="1097" spans="1:15" x14ac:dyDescent="0.3">
      <c r="A1097" s="4">
        <v>366</v>
      </c>
      <c r="B1097" s="4">
        <v>366000</v>
      </c>
      <c r="C1097" s="4" t="s">
        <v>15</v>
      </c>
      <c r="D1097" s="4" t="s">
        <v>16</v>
      </c>
      <c r="E1097" s="4" t="s">
        <v>17</v>
      </c>
      <c r="F1097" s="4" t="s">
        <v>18</v>
      </c>
      <c r="G1097" s="5">
        <v>0.1</v>
      </c>
      <c r="H1097" s="5">
        <v>0.4</v>
      </c>
      <c r="I1097" s="5">
        <v>0.05</v>
      </c>
      <c r="J1097" s="6">
        <v>0.75862068965517238</v>
      </c>
      <c r="K1097" s="6">
        <v>0.79954545454545434</v>
      </c>
      <c r="L1097" s="6">
        <v>0.62981526660446785</v>
      </c>
      <c r="M1097" s="4" t="s">
        <v>82</v>
      </c>
      <c r="N1097" s="5">
        <v>0.10174400003248529</v>
      </c>
      <c r="O1097" s="4">
        <v>0</v>
      </c>
    </row>
    <row r="1098" spans="1:15" x14ac:dyDescent="0.3">
      <c r="A1098" s="4">
        <v>366</v>
      </c>
      <c r="B1098" s="4">
        <v>366000</v>
      </c>
      <c r="C1098" s="4" t="s">
        <v>15</v>
      </c>
      <c r="D1098" s="4" t="s">
        <v>161</v>
      </c>
      <c r="E1098" s="4" t="s">
        <v>17</v>
      </c>
      <c r="F1098" s="4" t="s">
        <v>18</v>
      </c>
      <c r="G1098" s="5">
        <v>0.72222222222222221</v>
      </c>
      <c r="H1098" s="5">
        <v>0.4</v>
      </c>
      <c r="I1098" s="5">
        <v>0.05</v>
      </c>
      <c r="J1098" s="6">
        <v>0.65517241379310343</v>
      </c>
      <c r="K1098" s="6">
        <v>0.83921052631578941</v>
      </c>
      <c r="L1098" s="6">
        <v>0.79778743078564485</v>
      </c>
      <c r="M1098" s="4" t="s">
        <v>82</v>
      </c>
      <c r="N1098" s="5">
        <v>0.10174400003248529</v>
      </c>
      <c r="O1098" s="4">
        <v>0</v>
      </c>
    </row>
    <row r="1099" spans="1:15" x14ac:dyDescent="0.3">
      <c r="A1099" s="4">
        <v>366</v>
      </c>
      <c r="B1099" s="4">
        <v>366000</v>
      </c>
      <c r="C1099" s="4" t="s">
        <v>15</v>
      </c>
      <c r="D1099" s="4" t="s">
        <v>162</v>
      </c>
      <c r="E1099" s="4" t="s">
        <v>17</v>
      </c>
      <c r="F1099" s="4" t="s">
        <v>18</v>
      </c>
      <c r="G1099" s="5">
        <v>0.81111111111111112</v>
      </c>
      <c r="H1099" s="5">
        <v>0.4</v>
      </c>
      <c r="I1099" s="5">
        <v>0.05</v>
      </c>
      <c r="J1099" s="6">
        <v>0.51724137931034486</v>
      </c>
      <c r="K1099" s="6">
        <v>0.85699999999999976</v>
      </c>
      <c r="L1099" s="6">
        <v>0.74090302983026168</v>
      </c>
      <c r="M1099" s="4" t="s">
        <v>82</v>
      </c>
      <c r="N1099" s="5">
        <v>0.10174400003248529</v>
      </c>
      <c r="O1099" s="4">
        <v>0</v>
      </c>
    </row>
    <row r="1100" spans="1:15" x14ac:dyDescent="0.3">
      <c r="A1100" s="4">
        <v>367</v>
      </c>
      <c r="B1100" s="4">
        <v>367000</v>
      </c>
      <c r="C1100" s="4" t="s">
        <v>15</v>
      </c>
      <c r="D1100" s="4" t="s">
        <v>16</v>
      </c>
      <c r="E1100" s="4" t="s">
        <v>17</v>
      </c>
      <c r="F1100" s="4" t="s">
        <v>18</v>
      </c>
      <c r="G1100" s="5">
        <v>0.1</v>
      </c>
      <c r="H1100" s="5">
        <v>0.4</v>
      </c>
      <c r="I1100" s="5">
        <v>0.05</v>
      </c>
      <c r="J1100" s="6">
        <v>0.78688524590163933</v>
      </c>
      <c r="K1100" s="6">
        <v>0.78374999999999995</v>
      </c>
      <c r="L1100" s="6">
        <v>0.59066999820598654</v>
      </c>
      <c r="M1100" s="4" t="s">
        <v>19</v>
      </c>
      <c r="N1100" s="5">
        <v>1</v>
      </c>
      <c r="O1100" s="4">
        <v>1</v>
      </c>
    </row>
    <row r="1101" spans="1:15" x14ac:dyDescent="0.3">
      <c r="A1101" s="4">
        <v>367</v>
      </c>
      <c r="B1101" s="4">
        <v>367000</v>
      </c>
      <c r="C1101" s="4" t="s">
        <v>15</v>
      </c>
      <c r="D1101" s="4" t="s">
        <v>161</v>
      </c>
      <c r="E1101" s="4" t="s">
        <v>17</v>
      </c>
      <c r="F1101" s="4" t="s">
        <v>18</v>
      </c>
      <c r="G1101" s="5">
        <v>0.81111111111111112</v>
      </c>
      <c r="H1101" s="5">
        <v>0.4</v>
      </c>
      <c r="I1101" s="5">
        <v>0.05</v>
      </c>
      <c r="J1101" s="6">
        <v>0.49180327868852458</v>
      </c>
      <c r="K1101" s="6">
        <v>0.85499999999999998</v>
      </c>
      <c r="L1101" s="6">
        <v>0.78556993779512363</v>
      </c>
      <c r="M1101" s="4" t="s">
        <v>19</v>
      </c>
      <c r="N1101" s="5">
        <v>1</v>
      </c>
      <c r="O1101" s="4">
        <v>1</v>
      </c>
    </row>
    <row r="1102" spans="1:15" x14ac:dyDescent="0.3">
      <c r="A1102" s="4">
        <v>367</v>
      </c>
      <c r="B1102" s="4">
        <v>367000</v>
      </c>
      <c r="C1102" s="4" t="s">
        <v>15</v>
      </c>
      <c r="D1102" s="4" t="s">
        <v>162</v>
      </c>
      <c r="E1102" s="4" t="s">
        <v>17</v>
      </c>
      <c r="F1102" s="4" t="s">
        <v>18</v>
      </c>
      <c r="G1102" s="5">
        <v>0.9</v>
      </c>
      <c r="H1102" s="5">
        <v>0.8</v>
      </c>
      <c r="I1102" s="5">
        <v>0.05</v>
      </c>
      <c r="J1102" s="6">
        <v>0.4098360655737705</v>
      </c>
      <c r="K1102" s="6">
        <v>0.88959999999999995</v>
      </c>
      <c r="L1102" s="6">
        <v>0.74097497082360564</v>
      </c>
      <c r="M1102" s="4" t="s">
        <v>19</v>
      </c>
      <c r="N1102" s="5">
        <v>1</v>
      </c>
      <c r="O1102" s="4">
        <v>1</v>
      </c>
    </row>
    <row r="1103" spans="1:15" x14ac:dyDescent="0.3">
      <c r="A1103" s="4">
        <v>368</v>
      </c>
      <c r="B1103" s="4">
        <v>368000</v>
      </c>
      <c r="C1103" s="4" t="s">
        <v>15</v>
      </c>
      <c r="D1103" s="4" t="s">
        <v>16</v>
      </c>
      <c r="E1103" s="4" t="s">
        <v>17</v>
      </c>
      <c r="F1103" s="4" t="s">
        <v>18</v>
      </c>
      <c r="G1103" s="5">
        <v>0.1</v>
      </c>
      <c r="H1103" s="5">
        <v>0.4</v>
      </c>
      <c r="I1103" s="5">
        <v>0.05</v>
      </c>
      <c r="J1103" s="6">
        <v>0.765625</v>
      </c>
      <c r="K1103" s="6">
        <v>0.76877551020408152</v>
      </c>
      <c r="L1103" s="6">
        <v>0.63593409153353619</v>
      </c>
      <c r="M1103" s="4" t="s">
        <v>142</v>
      </c>
      <c r="N1103" s="5">
        <v>0.1101100377798834</v>
      </c>
      <c r="O1103" s="4">
        <v>0</v>
      </c>
    </row>
    <row r="1104" spans="1:15" x14ac:dyDescent="0.3">
      <c r="A1104" s="4">
        <v>368</v>
      </c>
      <c r="B1104" s="4">
        <v>368000</v>
      </c>
      <c r="C1104" s="4" t="s">
        <v>15</v>
      </c>
      <c r="D1104" s="4" t="s">
        <v>161</v>
      </c>
      <c r="E1104" s="4" t="s">
        <v>17</v>
      </c>
      <c r="F1104" s="4" t="s">
        <v>18</v>
      </c>
      <c r="G1104" s="5">
        <v>0.81111111111111112</v>
      </c>
      <c r="H1104" s="5">
        <v>0.4</v>
      </c>
      <c r="I1104" s="5">
        <v>0.05</v>
      </c>
      <c r="J1104" s="6">
        <v>0.5</v>
      </c>
      <c r="K1104" s="6">
        <v>0.8603124999999997</v>
      </c>
      <c r="L1104" s="6">
        <v>0.79711377218131174</v>
      </c>
      <c r="M1104" s="4" t="s">
        <v>142</v>
      </c>
      <c r="N1104" s="5">
        <v>0.1101100377798834</v>
      </c>
      <c r="O1104" s="4">
        <v>0</v>
      </c>
    </row>
    <row r="1105" spans="1:15" x14ac:dyDescent="0.3">
      <c r="A1105" s="4">
        <v>368</v>
      </c>
      <c r="B1105" s="4">
        <v>368000</v>
      </c>
      <c r="C1105" s="4" t="s">
        <v>15</v>
      </c>
      <c r="D1105" s="4" t="s">
        <v>162</v>
      </c>
      <c r="E1105" s="4" t="s">
        <v>17</v>
      </c>
      <c r="F1105" s="4" t="s">
        <v>18</v>
      </c>
      <c r="G1105" s="5">
        <v>0.9</v>
      </c>
      <c r="H1105" s="5">
        <v>0.8</v>
      </c>
      <c r="I1105" s="5">
        <v>0.05</v>
      </c>
      <c r="J1105" s="6">
        <v>0.4375</v>
      </c>
      <c r="K1105" s="6">
        <v>0.8614285714285711</v>
      </c>
      <c r="L1105" s="6">
        <v>0.79016668668209478</v>
      </c>
      <c r="M1105" s="4" t="s">
        <v>142</v>
      </c>
      <c r="N1105" s="5">
        <v>0.1101100377798834</v>
      </c>
      <c r="O1105" s="4">
        <v>0</v>
      </c>
    </row>
    <row r="1106" spans="1:15" x14ac:dyDescent="0.3">
      <c r="A1106" s="4">
        <v>369</v>
      </c>
      <c r="B1106" s="4">
        <v>369000</v>
      </c>
      <c r="C1106" s="4" t="s">
        <v>15</v>
      </c>
      <c r="D1106" s="4" t="s">
        <v>16</v>
      </c>
      <c r="E1106" s="4" t="s">
        <v>17</v>
      </c>
      <c r="F1106" s="4" t="s">
        <v>18</v>
      </c>
      <c r="G1106" s="5">
        <v>0.1</v>
      </c>
      <c r="H1106" s="5">
        <v>0.4</v>
      </c>
      <c r="I1106" s="5">
        <v>0.05</v>
      </c>
      <c r="J1106" s="6">
        <v>0.70149253731343286</v>
      </c>
      <c r="K1106" s="6">
        <v>0.78680851063829782</v>
      </c>
      <c r="L1106" s="6">
        <v>0.75895080559850936</v>
      </c>
      <c r="M1106" s="4" t="s">
        <v>81</v>
      </c>
      <c r="N1106" s="5">
        <v>0.1812930381512069</v>
      </c>
      <c r="O1106" s="4">
        <v>1</v>
      </c>
    </row>
    <row r="1107" spans="1:15" x14ac:dyDescent="0.3">
      <c r="A1107" s="4">
        <v>369</v>
      </c>
      <c r="B1107" s="4">
        <v>369000</v>
      </c>
      <c r="C1107" s="4" t="s">
        <v>15</v>
      </c>
      <c r="D1107" s="4" t="s">
        <v>161</v>
      </c>
      <c r="E1107" s="4" t="s">
        <v>17</v>
      </c>
      <c r="F1107" s="4" t="s">
        <v>18</v>
      </c>
      <c r="G1107" s="5">
        <v>0.54444444444444451</v>
      </c>
      <c r="H1107" s="5">
        <v>0.4</v>
      </c>
      <c r="I1107" s="5">
        <v>0.05</v>
      </c>
      <c r="J1107" s="6">
        <v>0.58208955223880599</v>
      </c>
      <c r="K1107" s="6">
        <v>0.84564102564102561</v>
      </c>
      <c r="L1107" s="6">
        <v>0.79446536655892996</v>
      </c>
      <c r="M1107" s="4" t="s">
        <v>81</v>
      </c>
      <c r="N1107" s="5">
        <v>0.1812930381512069</v>
      </c>
      <c r="O1107" s="4">
        <v>1</v>
      </c>
    </row>
    <row r="1108" spans="1:15" x14ac:dyDescent="0.3">
      <c r="A1108" s="4">
        <v>369</v>
      </c>
      <c r="B1108" s="4">
        <v>369000</v>
      </c>
      <c r="C1108" s="4" t="s">
        <v>15</v>
      </c>
      <c r="D1108" s="4" t="s">
        <v>162</v>
      </c>
      <c r="E1108" s="4" t="s">
        <v>17</v>
      </c>
      <c r="F1108" s="4" t="s">
        <v>18</v>
      </c>
      <c r="G1108" s="5">
        <v>0.9</v>
      </c>
      <c r="H1108" s="5">
        <v>0.4</v>
      </c>
      <c r="I1108" s="5">
        <v>0.05</v>
      </c>
      <c r="J1108" s="6">
        <v>0.41791044776119401</v>
      </c>
      <c r="K1108" s="6">
        <v>0.86142857142857132</v>
      </c>
      <c r="L1108" s="6">
        <v>0.77706675998600638</v>
      </c>
      <c r="M1108" s="4" t="s">
        <v>81</v>
      </c>
      <c r="N1108" s="5">
        <v>0.1812930381512069</v>
      </c>
      <c r="O1108" s="4">
        <v>1</v>
      </c>
    </row>
    <row r="1109" spans="1:15" x14ac:dyDescent="0.3">
      <c r="A1109" s="4">
        <v>370</v>
      </c>
      <c r="B1109" s="4">
        <v>370000</v>
      </c>
      <c r="C1109" s="4" t="s">
        <v>15</v>
      </c>
      <c r="D1109" s="4" t="s">
        <v>16</v>
      </c>
      <c r="E1109" s="4" t="s">
        <v>17</v>
      </c>
      <c r="F1109" s="4" t="s">
        <v>18</v>
      </c>
      <c r="G1109" s="5">
        <v>0.1</v>
      </c>
      <c r="H1109" s="5">
        <v>0.4</v>
      </c>
      <c r="I1109" s="5">
        <v>0.05</v>
      </c>
      <c r="J1109" s="6">
        <v>0.73529411764705888</v>
      </c>
      <c r="K1109" s="6">
        <v>0.75839999999999985</v>
      </c>
      <c r="L1109" s="6">
        <v>0.63972737033662264</v>
      </c>
      <c r="M1109" s="4" t="s">
        <v>140</v>
      </c>
      <c r="N1109" s="5">
        <v>7.8386761733314311E-2</v>
      </c>
      <c r="O1109" s="4">
        <v>0</v>
      </c>
    </row>
    <row r="1110" spans="1:15" x14ac:dyDescent="0.3">
      <c r="A1110" s="4">
        <v>370</v>
      </c>
      <c r="B1110" s="4">
        <v>370000</v>
      </c>
      <c r="C1110" s="4" t="s">
        <v>15</v>
      </c>
      <c r="D1110" s="4" t="s">
        <v>161</v>
      </c>
      <c r="E1110" s="4" t="s">
        <v>17</v>
      </c>
      <c r="F1110" s="4" t="s">
        <v>18</v>
      </c>
      <c r="G1110" s="5">
        <v>0.54444444444444451</v>
      </c>
      <c r="H1110" s="5">
        <v>0.4</v>
      </c>
      <c r="I1110" s="5">
        <v>0.05</v>
      </c>
      <c r="J1110" s="6">
        <v>0.55882352941176472</v>
      </c>
      <c r="K1110" s="6">
        <v>0.8497368421052629</v>
      </c>
      <c r="L1110" s="6">
        <v>0.7473302961792736</v>
      </c>
      <c r="M1110" s="4" t="s">
        <v>140</v>
      </c>
      <c r="N1110" s="5">
        <v>7.8386761733314311E-2</v>
      </c>
      <c r="O1110" s="4">
        <v>0</v>
      </c>
    </row>
    <row r="1111" spans="1:15" x14ac:dyDescent="0.3">
      <c r="A1111" s="4">
        <v>370</v>
      </c>
      <c r="B1111" s="4">
        <v>370000</v>
      </c>
      <c r="C1111" s="4" t="s">
        <v>15</v>
      </c>
      <c r="D1111" s="4" t="s">
        <v>162</v>
      </c>
      <c r="E1111" s="4" t="s">
        <v>17</v>
      </c>
      <c r="F1111" s="4" t="s">
        <v>18</v>
      </c>
      <c r="G1111" s="5">
        <v>0.9</v>
      </c>
      <c r="H1111" s="5">
        <v>0.4</v>
      </c>
      <c r="I1111" s="5">
        <v>0.05</v>
      </c>
      <c r="J1111" s="6">
        <v>0.38235294117647062</v>
      </c>
      <c r="K1111" s="6">
        <v>0.85461538461538433</v>
      </c>
      <c r="L1111" s="6">
        <v>0.7309583732926096</v>
      </c>
      <c r="M1111" s="4" t="s">
        <v>140</v>
      </c>
      <c r="N1111" s="5">
        <v>7.8386761733314311E-2</v>
      </c>
      <c r="O1111" s="4">
        <v>0</v>
      </c>
    </row>
    <row r="1112" spans="1:15" x14ac:dyDescent="0.3">
      <c r="A1112" s="4">
        <v>371</v>
      </c>
      <c r="B1112" s="4">
        <v>371000</v>
      </c>
      <c r="C1112" s="4" t="s">
        <v>15</v>
      </c>
      <c r="D1112" s="4" t="s">
        <v>16</v>
      </c>
      <c r="E1112" s="4" t="s">
        <v>17</v>
      </c>
      <c r="F1112" s="4" t="s">
        <v>18</v>
      </c>
      <c r="G1112" s="5">
        <v>0.1</v>
      </c>
      <c r="H1112" s="5">
        <v>0.4</v>
      </c>
      <c r="I1112" s="5">
        <v>0.05</v>
      </c>
      <c r="J1112" s="6">
        <v>0.72857142857142854</v>
      </c>
      <c r="K1112" s="6">
        <v>0.75509803921568619</v>
      </c>
      <c r="L1112" s="6">
        <v>0.66014410387242417</v>
      </c>
      <c r="M1112" s="4" t="s">
        <v>142</v>
      </c>
      <c r="N1112" s="5">
        <v>0.1097981414522233</v>
      </c>
      <c r="O1112" s="4">
        <v>0</v>
      </c>
    </row>
    <row r="1113" spans="1:15" x14ac:dyDescent="0.3">
      <c r="A1113" s="4">
        <v>371</v>
      </c>
      <c r="B1113" s="4">
        <v>371000</v>
      </c>
      <c r="C1113" s="4" t="s">
        <v>15</v>
      </c>
      <c r="D1113" s="4" t="s">
        <v>161</v>
      </c>
      <c r="E1113" s="4" t="s">
        <v>17</v>
      </c>
      <c r="F1113" s="4" t="s">
        <v>18</v>
      </c>
      <c r="G1113" s="5">
        <v>0.54444444444444451</v>
      </c>
      <c r="H1113" s="5">
        <v>0.4</v>
      </c>
      <c r="I1113" s="5">
        <v>0.05</v>
      </c>
      <c r="J1113" s="6">
        <v>0.61428571428571432</v>
      </c>
      <c r="K1113" s="6">
        <v>0.80488372093023253</v>
      </c>
      <c r="L1113" s="6">
        <v>0.68205190286355644</v>
      </c>
      <c r="M1113" s="4" t="s">
        <v>142</v>
      </c>
      <c r="N1113" s="5">
        <v>0.1097981414522233</v>
      </c>
      <c r="O1113" s="4">
        <v>0</v>
      </c>
    </row>
    <row r="1114" spans="1:15" x14ac:dyDescent="0.3">
      <c r="A1114" s="4">
        <v>371</v>
      </c>
      <c r="B1114" s="4">
        <v>371000</v>
      </c>
      <c r="C1114" s="4" t="s">
        <v>15</v>
      </c>
      <c r="D1114" s="4" t="s">
        <v>162</v>
      </c>
      <c r="E1114" s="4" t="s">
        <v>17</v>
      </c>
      <c r="F1114" s="4" t="s">
        <v>18</v>
      </c>
      <c r="G1114" s="5">
        <v>0.9</v>
      </c>
      <c r="H1114" s="5">
        <v>0.4</v>
      </c>
      <c r="I1114" s="5">
        <v>0.05</v>
      </c>
      <c r="J1114" s="6">
        <v>0.38571428571428568</v>
      </c>
      <c r="K1114" s="6">
        <v>0.82296296296296267</v>
      </c>
      <c r="L1114" s="6">
        <v>0.74244842639835551</v>
      </c>
      <c r="M1114" s="4" t="s">
        <v>142</v>
      </c>
      <c r="N1114" s="5">
        <v>0.1097981414522233</v>
      </c>
      <c r="O1114" s="4">
        <v>0</v>
      </c>
    </row>
    <row r="1115" spans="1:15" x14ac:dyDescent="0.3">
      <c r="A1115" s="4">
        <v>372</v>
      </c>
      <c r="B1115" s="4">
        <v>372000</v>
      </c>
      <c r="C1115" s="4" t="s">
        <v>15</v>
      </c>
      <c r="D1115" s="4" t="s">
        <v>16</v>
      </c>
      <c r="E1115" s="4" t="s">
        <v>17</v>
      </c>
      <c r="F1115" s="4" t="s">
        <v>18</v>
      </c>
      <c r="G1115" s="5">
        <v>0.1</v>
      </c>
      <c r="H1115" s="5">
        <v>0.4</v>
      </c>
      <c r="I1115" s="5">
        <v>0.05</v>
      </c>
      <c r="J1115" s="6">
        <v>0.69696969696969702</v>
      </c>
      <c r="K1115" s="6">
        <v>0.79456521739130459</v>
      </c>
      <c r="L1115" s="6">
        <v>0.76274454328749242</v>
      </c>
      <c r="M1115" s="4" t="s">
        <v>87</v>
      </c>
      <c r="N1115" s="5">
        <v>0.13389979547476649</v>
      </c>
      <c r="O1115" s="4">
        <v>0</v>
      </c>
    </row>
    <row r="1116" spans="1:15" x14ac:dyDescent="0.3">
      <c r="A1116" s="4">
        <v>372</v>
      </c>
      <c r="B1116" s="4">
        <v>372000</v>
      </c>
      <c r="C1116" s="4" t="s">
        <v>15</v>
      </c>
      <c r="D1116" s="4" t="s">
        <v>161</v>
      </c>
      <c r="E1116" s="4" t="s">
        <v>17</v>
      </c>
      <c r="F1116" s="4" t="s">
        <v>18</v>
      </c>
      <c r="G1116" s="5">
        <v>0.54444444444444451</v>
      </c>
      <c r="H1116" s="5">
        <v>0.4</v>
      </c>
      <c r="I1116" s="5">
        <v>0.05</v>
      </c>
      <c r="J1116" s="6">
        <v>0.68181818181818177</v>
      </c>
      <c r="K1116" s="6">
        <v>0.80111111111111133</v>
      </c>
      <c r="L1116" s="6">
        <v>0.76274454328749242</v>
      </c>
      <c r="M1116" s="4" t="s">
        <v>87</v>
      </c>
      <c r="N1116" s="5">
        <v>0.13389979547476649</v>
      </c>
      <c r="O1116" s="4">
        <v>0</v>
      </c>
    </row>
    <row r="1117" spans="1:15" x14ac:dyDescent="0.3">
      <c r="A1117" s="4">
        <v>372</v>
      </c>
      <c r="B1117" s="4">
        <v>372000</v>
      </c>
      <c r="C1117" s="4" t="s">
        <v>15</v>
      </c>
      <c r="D1117" s="4" t="s">
        <v>162</v>
      </c>
      <c r="E1117" s="4" t="s">
        <v>17</v>
      </c>
      <c r="F1117" s="4" t="s">
        <v>18</v>
      </c>
      <c r="G1117" s="5">
        <v>0.9</v>
      </c>
      <c r="H1117" s="5">
        <v>0.4</v>
      </c>
      <c r="I1117" s="5">
        <v>0.05</v>
      </c>
      <c r="J1117" s="6">
        <v>0.42424242424242431</v>
      </c>
      <c r="K1117" s="6">
        <v>0.82499999999999984</v>
      </c>
      <c r="L1117" s="6">
        <v>0.70223526538904346</v>
      </c>
      <c r="M1117" s="4" t="s">
        <v>87</v>
      </c>
      <c r="N1117" s="5">
        <v>0.13389979547476649</v>
      </c>
      <c r="O1117" s="4">
        <v>0</v>
      </c>
    </row>
    <row r="1118" spans="1:15" x14ac:dyDescent="0.3">
      <c r="A1118" s="4">
        <v>373</v>
      </c>
      <c r="B1118" s="4">
        <v>373000</v>
      </c>
      <c r="C1118" s="4" t="s">
        <v>15</v>
      </c>
      <c r="D1118" s="4" t="s">
        <v>16</v>
      </c>
      <c r="E1118" s="4" t="s">
        <v>17</v>
      </c>
      <c r="F1118" s="4" t="s">
        <v>18</v>
      </c>
      <c r="G1118" s="5">
        <v>0.1</v>
      </c>
      <c r="H1118" s="5">
        <v>0.4</v>
      </c>
      <c r="I1118" s="5">
        <v>0.05</v>
      </c>
      <c r="J1118" s="6">
        <v>0.7384615384615385</v>
      </c>
      <c r="K1118" s="6">
        <v>0.76979166666666676</v>
      </c>
      <c r="L1118" s="6">
        <v>0.72443615710904929</v>
      </c>
      <c r="M1118" s="4" t="s">
        <v>143</v>
      </c>
      <c r="N1118" s="5">
        <v>0.1587005859974723</v>
      </c>
      <c r="O1118" s="4">
        <v>1</v>
      </c>
    </row>
    <row r="1119" spans="1:15" x14ac:dyDescent="0.3">
      <c r="A1119" s="4">
        <v>373</v>
      </c>
      <c r="B1119" s="4">
        <v>373000</v>
      </c>
      <c r="C1119" s="4" t="s">
        <v>15</v>
      </c>
      <c r="D1119" s="4" t="s">
        <v>161</v>
      </c>
      <c r="E1119" s="4" t="s">
        <v>17</v>
      </c>
      <c r="F1119" s="4" t="s">
        <v>18</v>
      </c>
      <c r="G1119" s="5">
        <v>0.54444444444444451</v>
      </c>
      <c r="H1119" s="5">
        <v>0.60000000000000009</v>
      </c>
      <c r="I1119" s="5">
        <v>0.05</v>
      </c>
      <c r="J1119" s="6">
        <v>0.63076923076923075</v>
      </c>
      <c r="K1119" s="6">
        <v>0.83414634146341493</v>
      </c>
      <c r="L1119" s="6">
        <v>0.77635987085655533</v>
      </c>
      <c r="M1119" s="4" t="s">
        <v>143</v>
      </c>
      <c r="N1119" s="5">
        <v>0.1587005859974723</v>
      </c>
      <c r="O1119" s="4">
        <v>1</v>
      </c>
    </row>
    <row r="1120" spans="1:15" x14ac:dyDescent="0.3">
      <c r="A1120" s="4">
        <v>373</v>
      </c>
      <c r="B1120" s="4">
        <v>373000</v>
      </c>
      <c r="C1120" s="4" t="s">
        <v>15</v>
      </c>
      <c r="D1120" s="4" t="s">
        <v>162</v>
      </c>
      <c r="E1120" s="4" t="s">
        <v>17</v>
      </c>
      <c r="F1120" s="4" t="s">
        <v>18</v>
      </c>
      <c r="G1120" s="5">
        <v>0.81111111111111112</v>
      </c>
      <c r="H1120" s="5">
        <v>0.60000000000000009</v>
      </c>
      <c r="I1120" s="5">
        <v>0.05</v>
      </c>
      <c r="J1120" s="6">
        <v>0.52307692307692311</v>
      </c>
      <c r="K1120" s="6">
        <v>0.86205882352941166</v>
      </c>
      <c r="L1120" s="6">
        <v>0.76649539389610355</v>
      </c>
      <c r="M1120" s="4" t="s">
        <v>143</v>
      </c>
      <c r="N1120" s="5">
        <v>0.1587005859974723</v>
      </c>
      <c r="O1120" s="4">
        <v>1</v>
      </c>
    </row>
    <row r="1121" spans="1:15" x14ac:dyDescent="0.3">
      <c r="A1121" s="4">
        <v>374</v>
      </c>
      <c r="B1121" s="4">
        <v>374000</v>
      </c>
      <c r="C1121" s="4" t="s">
        <v>15</v>
      </c>
      <c r="D1121" s="4" t="s">
        <v>16</v>
      </c>
      <c r="E1121" s="4" t="s">
        <v>17</v>
      </c>
      <c r="F1121" s="4" t="s">
        <v>18</v>
      </c>
      <c r="G1121" s="5">
        <v>0.1</v>
      </c>
      <c r="H1121" s="5">
        <v>0.4</v>
      </c>
      <c r="I1121" s="5">
        <v>0.05</v>
      </c>
      <c r="J1121" s="6">
        <v>0.676056338028169</v>
      </c>
      <c r="K1121" s="6">
        <v>0.74104166666666671</v>
      </c>
      <c r="L1121" s="6">
        <v>0.64592729314871822</v>
      </c>
      <c r="M1121" s="4" t="s">
        <v>27</v>
      </c>
      <c r="N1121" s="5">
        <v>8.2743245331020024E-2</v>
      </c>
      <c r="O1121" s="4">
        <v>0</v>
      </c>
    </row>
    <row r="1122" spans="1:15" x14ac:dyDescent="0.3">
      <c r="A1122" s="4">
        <v>374</v>
      </c>
      <c r="B1122" s="4">
        <v>374000</v>
      </c>
      <c r="C1122" s="4" t="s">
        <v>15</v>
      </c>
      <c r="D1122" s="4" t="s">
        <v>161</v>
      </c>
      <c r="E1122" s="4" t="s">
        <v>17</v>
      </c>
      <c r="F1122" s="4" t="s">
        <v>18</v>
      </c>
      <c r="G1122" s="5">
        <v>0.54444444444444451</v>
      </c>
      <c r="H1122" s="5">
        <v>0.60000000000000009</v>
      </c>
      <c r="I1122" s="5">
        <v>0.05</v>
      </c>
      <c r="J1122" s="6">
        <v>0.49295774647887319</v>
      </c>
      <c r="K1122" s="6">
        <v>0.84628571428571386</v>
      </c>
      <c r="L1122" s="6">
        <v>0.76958903186449812</v>
      </c>
      <c r="M1122" s="4" t="s">
        <v>27</v>
      </c>
      <c r="N1122" s="5">
        <v>8.2743245331020024E-2</v>
      </c>
      <c r="O1122" s="4">
        <v>0</v>
      </c>
    </row>
    <row r="1123" spans="1:15" x14ac:dyDescent="0.3">
      <c r="A1123" s="4">
        <v>374</v>
      </c>
      <c r="B1123" s="4">
        <v>374000</v>
      </c>
      <c r="C1123" s="4" t="s">
        <v>15</v>
      </c>
      <c r="D1123" s="4" t="s">
        <v>162</v>
      </c>
      <c r="E1123" s="4" t="s">
        <v>17</v>
      </c>
      <c r="F1123" s="4" t="s">
        <v>18</v>
      </c>
      <c r="G1123" s="5">
        <v>0.81111111111111112</v>
      </c>
      <c r="H1123" s="5">
        <v>0.60000000000000009</v>
      </c>
      <c r="I1123" s="5">
        <v>0.05</v>
      </c>
      <c r="J1123" s="6">
        <v>0.45070422535211269</v>
      </c>
      <c r="K1123" s="6">
        <v>0.85624999999999962</v>
      </c>
      <c r="L1123" s="6">
        <v>0.69320799645866249</v>
      </c>
      <c r="M1123" s="4" t="s">
        <v>27</v>
      </c>
      <c r="N1123" s="5">
        <v>8.2743245331020024E-2</v>
      </c>
      <c r="O1123" s="4">
        <v>0</v>
      </c>
    </row>
    <row r="1124" spans="1:15" x14ac:dyDescent="0.3">
      <c r="A1124" s="4">
        <v>375</v>
      </c>
      <c r="B1124" s="4">
        <v>375000</v>
      </c>
      <c r="C1124" s="4" t="s">
        <v>15</v>
      </c>
      <c r="D1124" s="4" t="s">
        <v>16</v>
      </c>
      <c r="E1124" s="4" t="s">
        <v>17</v>
      </c>
      <c r="F1124" s="4" t="s">
        <v>18</v>
      </c>
      <c r="G1124" s="5">
        <v>0.1</v>
      </c>
      <c r="H1124" s="5">
        <v>0.4</v>
      </c>
      <c r="I1124" s="5">
        <v>0.05</v>
      </c>
      <c r="J1124" s="6">
        <v>0.71666666666666667</v>
      </c>
      <c r="K1124" s="6">
        <v>0.76441860465116274</v>
      </c>
      <c r="L1124" s="6">
        <v>0.6203759881199713</v>
      </c>
      <c r="M1124" s="4" t="s">
        <v>19</v>
      </c>
      <c r="N1124" s="5">
        <v>1</v>
      </c>
      <c r="O1124" s="4">
        <v>1</v>
      </c>
    </row>
    <row r="1125" spans="1:15" x14ac:dyDescent="0.3">
      <c r="A1125" s="4">
        <v>375</v>
      </c>
      <c r="B1125" s="4">
        <v>375000</v>
      </c>
      <c r="C1125" s="4" t="s">
        <v>15</v>
      </c>
      <c r="D1125" s="4" t="s">
        <v>161</v>
      </c>
      <c r="E1125" s="4" t="s">
        <v>17</v>
      </c>
      <c r="F1125" s="4" t="s">
        <v>18</v>
      </c>
      <c r="G1125" s="5">
        <v>0.54444444444444451</v>
      </c>
      <c r="H1125" s="5">
        <v>0.8</v>
      </c>
      <c r="I1125" s="5">
        <v>0.05</v>
      </c>
      <c r="J1125" s="6">
        <v>0.56666666666666665</v>
      </c>
      <c r="K1125" s="6">
        <v>0.86441176470588221</v>
      </c>
      <c r="L1125" s="6">
        <v>0.72795434277242799</v>
      </c>
      <c r="M1125" s="4" t="s">
        <v>19</v>
      </c>
      <c r="N1125" s="5">
        <v>1</v>
      </c>
      <c r="O1125" s="4">
        <v>1</v>
      </c>
    </row>
    <row r="1126" spans="1:15" x14ac:dyDescent="0.3">
      <c r="A1126" s="4">
        <v>375</v>
      </c>
      <c r="B1126" s="4">
        <v>375000</v>
      </c>
      <c r="C1126" s="4" t="s">
        <v>15</v>
      </c>
      <c r="D1126" s="4" t="s">
        <v>162</v>
      </c>
      <c r="E1126" s="4" t="s">
        <v>17</v>
      </c>
      <c r="F1126" s="4" t="s">
        <v>18</v>
      </c>
      <c r="G1126" s="5">
        <v>0.9</v>
      </c>
      <c r="H1126" s="5">
        <v>0.8</v>
      </c>
      <c r="I1126" s="5">
        <v>0.05</v>
      </c>
      <c r="J1126" s="6">
        <v>0.41666666666666669</v>
      </c>
      <c r="K1126" s="6">
        <v>0.88800000000000001</v>
      </c>
      <c r="L1126" s="6">
        <v>0.70674855905700762</v>
      </c>
      <c r="M1126" s="4" t="s">
        <v>19</v>
      </c>
      <c r="N1126" s="5">
        <v>1</v>
      </c>
      <c r="O1126" s="4">
        <v>1</v>
      </c>
    </row>
    <row r="1127" spans="1:15" x14ac:dyDescent="0.3">
      <c r="A1127" s="4">
        <v>376</v>
      </c>
      <c r="B1127" s="4">
        <v>376000</v>
      </c>
      <c r="C1127" s="4" t="s">
        <v>15</v>
      </c>
      <c r="D1127" s="4" t="s">
        <v>16</v>
      </c>
      <c r="E1127" s="4" t="s">
        <v>17</v>
      </c>
      <c r="F1127" s="4" t="s">
        <v>18</v>
      </c>
      <c r="G1127" s="5">
        <v>0.1</v>
      </c>
      <c r="H1127" s="5">
        <v>0.4</v>
      </c>
      <c r="I1127" s="5">
        <v>0.05</v>
      </c>
      <c r="J1127" s="6">
        <v>0.67241379310344829</v>
      </c>
      <c r="K1127" s="6">
        <v>0.73692307692307679</v>
      </c>
      <c r="L1127" s="6">
        <v>0.6586045883277506</v>
      </c>
      <c r="M1127" s="4" t="s">
        <v>144</v>
      </c>
      <c r="N1127" s="5">
        <v>0.23677078843283181</v>
      </c>
      <c r="O1127" s="4">
        <v>1</v>
      </c>
    </row>
    <row r="1128" spans="1:15" x14ac:dyDescent="0.3">
      <c r="A1128" s="4">
        <v>376</v>
      </c>
      <c r="B1128" s="4">
        <v>376000</v>
      </c>
      <c r="C1128" s="4" t="s">
        <v>15</v>
      </c>
      <c r="D1128" s="4" t="s">
        <v>161</v>
      </c>
      <c r="E1128" s="4" t="s">
        <v>17</v>
      </c>
      <c r="F1128" s="4" t="s">
        <v>18</v>
      </c>
      <c r="G1128" s="5">
        <v>0.3666666666666667</v>
      </c>
      <c r="H1128" s="5">
        <v>0.60000000000000009</v>
      </c>
      <c r="I1128" s="5">
        <v>0.25</v>
      </c>
      <c r="J1128" s="6">
        <v>0.46551724137931028</v>
      </c>
      <c r="K1128" s="6">
        <v>0.82296296296296279</v>
      </c>
      <c r="L1128" s="6">
        <v>0.7892302424133345</v>
      </c>
      <c r="M1128" s="4" t="s">
        <v>144</v>
      </c>
      <c r="N1128" s="5">
        <v>0.23677078843283181</v>
      </c>
      <c r="O1128" s="4">
        <v>1</v>
      </c>
    </row>
    <row r="1129" spans="1:15" x14ac:dyDescent="0.3">
      <c r="A1129" s="4">
        <v>376</v>
      </c>
      <c r="B1129" s="4">
        <v>376000</v>
      </c>
      <c r="C1129" s="4" t="s">
        <v>15</v>
      </c>
      <c r="D1129" s="4" t="s">
        <v>162</v>
      </c>
      <c r="E1129" s="4" t="s">
        <v>17</v>
      </c>
      <c r="F1129" s="4" t="s">
        <v>18</v>
      </c>
      <c r="G1129" s="5">
        <v>0.9</v>
      </c>
      <c r="H1129" s="5">
        <v>0.60000000000000009</v>
      </c>
      <c r="I1129" s="5">
        <v>0.05</v>
      </c>
      <c r="J1129" s="6">
        <v>0.36206896551724138</v>
      </c>
      <c r="K1129" s="6">
        <v>0.87999999999999989</v>
      </c>
      <c r="L1129" s="6">
        <v>0.60747481648607837</v>
      </c>
      <c r="M1129" s="4" t="s">
        <v>144</v>
      </c>
      <c r="N1129" s="5">
        <v>0.23677078843283181</v>
      </c>
      <c r="O1129" s="4">
        <v>1</v>
      </c>
    </row>
    <row r="1130" spans="1:15" x14ac:dyDescent="0.3">
      <c r="A1130" s="4">
        <v>377</v>
      </c>
      <c r="B1130" s="4">
        <v>377000</v>
      </c>
      <c r="C1130" s="4" t="s">
        <v>15</v>
      </c>
      <c r="D1130" s="4" t="s">
        <v>16</v>
      </c>
      <c r="E1130" s="4" t="s">
        <v>17</v>
      </c>
      <c r="F1130" s="4" t="s">
        <v>18</v>
      </c>
      <c r="G1130" s="5">
        <v>0.1</v>
      </c>
      <c r="H1130" s="5">
        <v>0.4</v>
      </c>
      <c r="I1130" s="5">
        <v>0.05</v>
      </c>
      <c r="J1130" s="6">
        <v>0.7678571428571429</v>
      </c>
      <c r="K1130" s="6">
        <v>0.71790697674418591</v>
      </c>
      <c r="L1130" s="6">
        <v>0.52118323522933252</v>
      </c>
      <c r="M1130" s="4" t="s">
        <v>19</v>
      </c>
      <c r="N1130" s="5">
        <v>1</v>
      </c>
      <c r="O1130" s="4">
        <v>1</v>
      </c>
    </row>
    <row r="1131" spans="1:15" x14ac:dyDescent="0.3">
      <c r="A1131" s="4">
        <v>377</v>
      </c>
      <c r="B1131" s="4">
        <v>377000</v>
      </c>
      <c r="C1131" s="4" t="s">
        <v>15</v>
      </c>
      <c r="D1131" s="4" t="s">
        <v>161</v>
      </c>
      <c r="E1131" s="4" t="s">
        <v>17</v>
      </c>
      <c r="F1131" s="4" t="s">
        <v>18</v>
      </c>
      <c r="G1131" s="5">
        <v>0.54444444444444451</v>
      </c>
      <c r="H1131" s="5">
        <v>0.8</v>
      </c>
      <c r="I1131" s="5">
        <v>0.05</v>
      </c>
      <c r="J1131" s="6">
        <v>0.5535714285714286</v>
      </c>
      <c r="K1131" s="6">
        <v>0.84677419354838701</v>
      </c>
      <c r="L1131" s="6">
        <v>0.75551016329688747</v>
      </c>
      <c r="M1131" s="4" t="s">
        <v>19</v>
      </c>
      <c r="N1131" s="5">
        <v>1</v>
      </c>
      <c r="O1131" s="4">
        <v>1</v>
      </c>
    </row>
    <row r="1132" spans="1:15" x14ac:dyDescent="0.3">
      <c r="A1132" s="4">
        <v>377</v>
      </c>
      <c r="B1132" s="4">
        <v>377000</v>
      </c>
      <c r="C1132" s="4" t="s">
        <v>15</v>
      </c>
      <c r="D1132" s="4" t="s">
        <v>162</v>
      </c>
      <c r="E1132" s="4" t="s">
        <v>17</v>
      </c>
      <c r="F1132" s="4" t="s">
        <v>18</v>
      </c>
      <c r="G1132" s="5">
        <v>0.9</v>
      </c>
      <c r="H1132" s="5">
        <v>0.8</v>
      </c>
      <c r="I1132" s="5">
        <v>0.05</v>
      </c>
      <c r="J1132" s="6">
        <v>0.39285714285714279</v>
      </c>
      <c r="K1132" s="6">
        <v>0.87636363636363623</v>
      </c>
      <c r="L1132" s="6">
        <v>0.68254246836925547</v>
      </c>
      <c r="M1132" s="4" t="s">
        <v>19</v>
      </c>
      <c r="N1132" s="5">
        <v>1</v>
      </c>
      <c r="O1132" s="4">
        <v>1</v>
      </c>
    </row>
    <row r="1133" spans="1:15" x14ac:dyDescent="0.3">
      <c r="A1133" s="4">
        <v>378</v>
      </c>
      <c r="B1133" s="4">
        <v>378000</v>
      </c>
      <c r="C1133" s="4" t="s">
        <v>15</v>
      </c>
      <c r="D1133" s="4" t="s">
        <v>16</v>
      </c>
      <c r="E1133" s="4" t="s">
        <v>17</v>
      </c>
      <c r="F1133" s="4" t="s">
        <v>18</v>
      </c>
      <c r="G1133" s="5">
        <v>0.1</v>
      </c>
      <c r="H1133" s="5">
        <v>0.4</v>
      </c>
      <c r="I1133" s="5">
        <v>0.05</v>
      </c>
      <c r="J1133" s="6">
        <v>0.73333333333333328</v>
      </c>
      <c r="K1133" s="6">
        <v>0.75522727272727253</v>
      </c>
      <c r="L1133" s="6">
        <v>0.63290503359921146</v>
      </c>
      <c r="M1133" s="4" t="s">
        <v>32</v>
      </c>
      <c r="N1133" s="5">
        <v>0.13158890873551871</v>
      </c>
      <c r="O1133" s="4">
        <v>0</v>
      </c>
    </row>
    <row r="1134" spans="1:15" x14ac:dyDescent="0.3">
      <c r="A1134" s="4">
        <v>378</v>
      </c>
      <c r="B1134" s="4">
        <v>378000</v>
      </c>
      <c r="C1134" s="4" t="s">
        <v>15</v>
      </c>
      <c r="D1134" s="4" t="s">
        <v>161</v>
      </c>
      <c r="E1134" s="4" t="s">
        <v>17</v>
      </c>
      <c r="F1134" s="4" t="s">
        <v>18</v>
      </c>
      <c r="G1134" s="5">
        <v>0.54444444444444451</v>
      </c>
      <c r="H1134" s="5">
        <v>0.8</v>
      </c>
      <c r="I1134" s="5">
        <v>0.05</v>
      </c>
      <c r="J1134" s="6">
        <v>0.6333333333333333</v>
      </c>
      <c r="K1134" s="6">
        <v>0.81789473684210512</v>
      </c>
      <c r="L1134" s="6">
        <v>0.79148899349896074</v>
      </c>
      <c r="M1134" s="4" t="s">
        <v>32</v>
      </c>
      <c r="N1134" s="5">
        <v>0.13158890873551871</v>
      </c>
      <c r="O1134" s="4">
        <v>0</v>
      </c>
    </row>
    <row r="1135" spans="1:15" x14ac:dyDescent="0.3">
      <c r="A1135" s="4">
        <v>378</v>
      </c>
      <c r="B1135" s="4">
        <v>378000</v>
      </c>
      <c r="C1135" s="4" t="s">
        <v>15</v>
      </c>
      <c r="D1135" s="4" t="s">
        <v>162</v>
      </c>
      <c r="E1135" s="4" t="s">
        <v>17</v>
      </c>
      <c r="F1135" s="4" t="s">
        <v>18</v>
      </c>
      <c r="G1135" s="5">
        <v>0.9</v>
      </c>
      <c r="H1135" s="5">
        <v>0.8</v>
      </c>
      <c r="I1135" s="5">
        <v>0.05</v>
      </c>
      <c r="J1135" s="6">
        <v>0.4</v>
      </c>
      <c r="K1135" s="6">
        <v>0.84458333333333302</v>
      </c>
      <c r="L1135" s="6">
        <v>0.73738358843000962</v>
      </c>
      <c r="M1135" s="4" t="s">
        <v>32</v>
      </c>
      <c r="N1135" s="5">
        <v>0.13158890873551871</v>
      </c>
      <c r="O1135" s="4">
        <v>0</v>
      </c>
    </row>
    <row r="1136" spans="1:15" x14ac:dyDescent="0.3">
      <c r="A1136" s="4">
        <v>379</v>
      </c>
      <c r="B1136" s="4">
        <v>379000</v>
      </c>
      <c r="C1136" s="4" t="s">
        <v>15</v>
      </c>
      <c r="D1136" s="4" t="s">
        <v>16</v>
      </c>
      <c r="E1136" s="4" t="s">
        <v>17</v>
      </c>
      <c r="F1136" s="4" t="s">
        <v>18</v>
      </c>
      <c r="G1136" s="5">
        <v>0.1</v>
      </c>
      <c r="H1136" s="5">
        <v>0.4</v>
      </c>
      <c r="I1136" s="5">
        <v>0.05</v>
      </c>
      <c r="J1136" s="6">
        <v>0.73770491803278693</v>
      </c>
      <c r="K1136" s="6">
        <v>0.76311111111111085</v>
      </c>
      <c r="L1136" s="6">
        <v>0.649633204793027</v>
      </c>
      <c r="M1136" s="4" t="s">
        <v>145</v>
      </c>
      <c r="N1136" s="5">
        <v>0.30788107465355002</v>
      </c>
      <c r="O1136" s="4">
        <v>1</v>
      </c>
    </row>
    <row r="1137" spans="1:15" x14ac:dyDescent="0.3">
      <c r="A1137" s="4">
        <v>379</v>
      </c>
      <c r="B1137" s="4">
        <v>379000</v>
      </c>
      <c r="C1137" s="4" t="s">
        <v>15</v>
      </c>
      <c r="D1137" s="4" t="s">
        <v>161</v>
      </c>
      <c r="E1137" s="4" t="s">
        <v>17</v>
      </c>
      <c r="F1137" s="4" t="s">
        <v>18</v>
      </c>
      <c r="G1137" s="5">
        <v>0.54444444444444451</v>
      </c>
      <c r="H1137" s="5">
        <v>0.60000000000000009</v>
      </c>
      <c r="I1137" s="5">
        <v>0.05</v>
      </c>
      <c r="J1137" s="6">
        <v>0.62295081967213117</v>
      </c>
      <c r="K1137" s="6">
        <v>0.83447368421052626</v>
      </c>
      <c r="L1137" s="6">
        <v>0.80925131572692743</v>
      </c>
      <c r="M1137" s="4" t="s">
        <v>145</v>
      </c>
      <c r="N1137" s="5">
        <v>0.30788107465355002</v>
      </c>
      <c r="O1137" s="4">
        <v>1</v>
      </c>
    </row>
    <row r="1138" spans="1:15" x14ac:dyDescent="0.3">
      <c r="A1138" s="4">
        <v>379</v>
      </c>
      <c r="B1138" s="4">
        <v>379000</v>
      </c>
      <c r="C1138" s="4" t="s">
        <v>15</v>
      </c>
      <c r="D1138" s="4" t="s">
        <v>162</v>
      </c>
      <c r="E1138" s="4" t="s">
        <v>17</v>
      </c>
      <c r="F1138" s="4" t="s">
        <v>18</v>
      </c>
      <c r="G1138" s="5">
        <v>0.81111111111111112</v>
      </c>
      <c r="H1138" s="5">
        <v>0.60000000000000009</v>
      </c>
      <c r="I1138" s="5">
        <v>0.05</v>
      </c>
      <c r="J1138" s="6">
        <v>0.52459016393442626</v>
      </c>
      <c r="K1138" s="6">
        <v>0.85124999999999984</v>
      </c>
      <c r="L1138" s="6">
        <v>0.73867541397622949</v>
      </c>
      <c r="M1138" s="4" t="s">
        <v>145</v>
      </c>
      <c r="N1138" s="5">
        <v>0.30788107465355002</v>
      </c>
      <c r="O1138" s="4">
        <v>1</v>
      </c>
    </row>
    <row r="1139" spans="1:15" x14ac:dyDescent="0.3">
      <c r="A1139" s="4">
        <v>380</v>
      </c>
      <c r="B1139" s="4">
        <v>380000</v>
      </c>
      <c r="C1139" s="4" t="s">
        <v>15</v>
      </c>
      <c r="D1139" s="4" t="s">
        <v>16</v>
      </c>
      <c r="E1139" s="4" t="s">
        <v>17</v>
      </c>
      <c r="F1139" s="4" t="s">
        <v>18</v>
      </c>
      <c r="G1139" s="5">
        <v>0.1</v>
      </c>
      <c r="H1139" s="5">
        <v>0.4</v>
      </c>
      <c r="I1139" s="5">
        <v>0.05</v>
      </c>
      <c r="J1139" s="6">
        <v>0.75438596491228072</v>
      </c>
      <c r="K1139" s="6">
        <v>0.76162790697674398</v>
      </c>
      <c r="L1139" s="6">
        <v>0.64103580897223833</v>
      </c>
      <c r="M1139" s="4" t="s">
        <v>115</v>
      </c>
      <c r="N1139" s="5">
        <v>0.1239756001787736</v>
      </c>
      <c r="O1139" s="4">
        <v>0</v>
      </c>
    </row>
    <row r="1140" spans="1:15" x14ac:dyDescent="0.3">
      <c r="A1140" s="4">
        <v>380</v>
      </c>
      <c r="B1140" s="4">
        <v>380000</v>
      </c>
      <c r="C1140" s="4" t="s">
        <v>15</v>
      </c>
      <c r="D1140" s="4" t="s">
        <v>161</v>
      </c>
      <c r="E1140" s="4" t="s">
        <v>17</v>
      </c>
      <c r="F1140" s="4" t="s">
        <v>18</v>
      </c>
      <c r="G1140" s="5">
        <v>0.54444444444444451</v>
      </c>
      <c r="H1140" s="5">
        <v>0.60000000000000009</v>
      </c>
      <c r="I1140" s="5">
        <v>0.05</v>
      </c>
      <c r="J1140" s="6">
        <v>0.64912280701754388</v>
      </c>
      <c r="K1140" s="6">
        <v>0.83405405405405397</v>
      </c>
      <c r="L1140" s="6">
        <v>0.76195402420878511</v>
      </c>
      <c r="M1140" s="4" t="s">
        <v>115</v>
      </c>
      <c r="N1140" s="5">
        <v>0.1239756001787736</v>
      </c>
      <c r="O1140" s="4">
        <v>0</v>
      </c>
    </row>
    <row r="1141" spans="1:15" x14ac:dyDescent="0.3">
      <c r="A1141" s="4">
        <v>380</v>
      </c>
      <c r="B1141" s="4">
        <v>380000</v>
      </c>
      <c r="C1141" s="4" t="s">
        <v>15</v>
      </c>
      <c r="D1141" s="4" t="s">
        <v>162</v>
      </c>
      <c r="E1141" s="4" t="s">
        <v>17</v>
      </c>
      <c r="F1141" s="4" t="s">
        <v>18</v>
      </c>
      <c r="G1141" s="5">
        <v>0.81111111111111112</v>
      </c>
      <c r="H1141" s="5">
        <v>0.60000000000000009</v>
      </c>
      <c r="I1141" s="5">
        <v>0.05</v>
      </c>
      <c r="J1141" s="6">
        <v>0.50877192982456143</v>
      </c>
      <c r="K1141" s="6">
        <v>0.85344827586206873</v>
      </c>
      <c r="L1141" s="6">
        <v>0.69576445295634315</v>
      </c>
      <c r="M1141" s="4" t="s">
        <v>115</v>
      </c>
      <c r="N1141" s="5">
        <v>0.1239756001787736</v>
      </c>
      <c r="O1141" s="4">
        <v>0</v>
      </c>
    </row>
    <row r="1142" spans="1:15" x14ac:dyDescent="0.3">
      <c r="A1142" s="4">
        <v>381</v>
      </c>
      <c r="B1142" s="4">
        <v>381000</v>
      </c>
      <c r="C1142" s="4" t="s">
        <v>15</v>
      </c>
      <c r="D1142" s="4" t="s">
        <v>16</v>
      </c>
      <c r="E1142" s="4" t="s">
        <v>17</v>
      </c>
      <c r="F1142" s="4" t="s">
        <v>18</v>
      </c>
      <c r="G1142" s="5">
        <v>0.1</v>
      </c>
      <c r="H1142" s="5">
        <v>0.4</v>
      </c>
      <c r="I1142" s="5">
        <v>0.05</v>
      </c>
      <c r="J1142" s="6">
        <v>0.76666666666666672</v>
      </c>
      <c r="K1142" s="6">
        <v>0.74717391304347791</v>
      </c>
      <c r="L1142" s="6">
        <v>0.6196743438581479</v>
      </c>
      <c r="M1142" s="4" t="s">
        <v>19</v>
      </c>
      <c r="N1142" s="5">
        <v>1</v>
      </c>
      <c r="O1142" s="4">
        <v>1</v>
      </c>
    </row>
    <row r="1143" spans="1:15" x14ac:dyDescent="0.3">
      <c r="A1143" s="4">
        <v>381</v>
      </c>
      <c r="B1143" s="4">
        <v>381000</v>
      </c>
      <c r="C1143" s="4" t="s">
        <v>15</v>
      </c>
      <c r="D1143" s="4" t="s">
        <v>161</v>
      </c>
      <c r="E1143" s="4" t="s">
        <v>17</v>
      </c>
      <c r="F1143" s="4" t="s">
        <v>18</v>
      </c>
      <c r="G1143" s="5">
        <v>0.54444444444444451</v>
      </c>
      <c r="H1143" s="5">
        <v>0.8</v>
      </c>
      <c r="I1143" s="5">
        <v>0.05</v>
      </c>
      <c r="J1143" s="6">
        <v>0.58333333333333337</v>
      </c>
      <c r="K1143" s="6">
        <v>0.86542857142857132</v>
      </c>
      <c r="L1143" s="6">
        <v>0.79813745945070724</v>
      </c>
      <c r="M1143" s="4" t="s">
        <v>19</v>
      </c>
      <c r="N1143" s="5">
        <v>1</v>
      </c>
      <c r="O1143" s="4">
        <v>1</v>
      </c>
    </row>
    <row r="1144" spans="1:15" x14ac:dyDescent="0.3">
      <c r="A1144" s="4">
        <v>381</v>
      </c>
      <c r="B1144" s="4">
        <v>381000</v>
      </c>
      <c r="C1144" s="4" t="s">
        <v>15</v>
      </c>
      <c r="D1144" s="4" t="s">
        <v>162</v>
      </c>
      <c r="E1144" s="4" t="s">
        <v>17</v>
      </c>
      <c r="F1144" s="4" t="s">
        <v>18</v>
      </c>
      <c r="G1144" s="5">
        <v>0.9</v>
      </c>
      <c r="H1144" s="5">
        <v>0.8</v>
      </c>
      <c r="I1144" s="5">
        <v>0.05</v>
      </c>
      <c r="J1144" s="6">
        <v>0.4</v>
      </c>
      <c r="K1144" s="6">
        <v>0.88874999999999982</v>
      </c>
      <c r="L1144" s="6">
        <v>0.74220287328738843</v>
      </c>
      <c r="M1144" s="4" t="s">
        <v>19</v>
      </c>
      <c r="N1144" s="5">
        <v>1</v>
      </c>
      <c r="O1144" s="4">
        <v>1</v>
      </c>
    </row>
    <row r="1145" spans="1:15" x14ac:dyDescent="0.3">
      <c r="A1145" s="4">
        <v>382</v>
      </c>
      <c r="B1145" s="4">
        <v>382000</v>
      </c>
      <c r="C1145" s="4" t="s">
        <v>15</v>
      </c>
      <c r="D1145" s="4" t="s">
        <v>16</v>
      </c>
      <c r="E1145" s="4" t="s">
        <v>17</v>
      </c>
      <c r="F1145" s="4" t="s">
        <v>18</v>
      </c>
      <c r="G1145" s="5">
        <v>0.1</v>
      </c>
      <c r="H1145" s="5">
        <v>0.4</v>
      </c>
      <c r="I1145" s="5">
        <v>0.05</v>
      </c>
      <c r="J1145" s="6">
        <v>0.79032258064516125</v>
      </c>
      <c r="K1145" s="6">
        <v>0.75040816326530591</v>
      </c>
      <c r="L1145" s="6">
        <v>0.60095453983577463</v>
      </c>
      <c r="M1145" s="4" t="s">
        <v>73</v>
      </c>
      <c r="N1145" s="5">
        <v>9.2345877618613556E-2</v>
      </c>
      <c r="O1145" s="4">
        <v>0</v>
      </c>
    </row>
    <row r="1146" spans="1:15" x14ac:dyDescent="0.3">
      <c r="A1146" s="4">
        <v>382</v>
      </c>
      <c r="B1146" s="4">
        <v>382000</v>
      </c>
      <c r="C1146" s="4" t="s">
        <v>15</v>
      </c>
      <c r="D1146" s="4" t="s">
        <v>161</v>
      </c>
      <c r="E1146" s="4" t="s">
        <v>17</v>
      </c>
      <c r="F1146" s="4" t="s">
        <v>18</v>
      </c>
      <c r="G1146" s="5">
        <v>0.54444444444444451</v>
      </c>
      <c r="H1146" s="5">
        <v>0.8</v>
      </c>
      <c r="I1146" s="5">
        <v>0.05</v>
      </c>
      <c r="J1146" s="6">
        <v>0.66129032258064513</v>
      </c>
      <c r="K1146" s="6">
        <v>0.82439024390243876</v>
      </c>
      <c r="L1146" s="6">
        <v>0.72423852315265247</v>
      </c>
      <c r="M1146" s="4" t="s">
        <v>73</v>
      </c>
      <c r="N1146" s="5">
        <v>9.2345877618613556E-2</v>
      </c>
      <c r="O1146" s="4">
        <v>0</v>
      </c>
    </row>
    <row r="1147" spans="1:15" x14ac:dyDescent="0.3">
      <c r="A1147" s="4">
        <v>382</v>
      </c>
      <c r="B1147" s="4">
        <v>382000</v>
      </c>
      <c r="C1147" s="4" t="s">
        <v>15</v>
      </c>
      <c r="D1147" s="4" t="s">
        <v>162</v>
      </c>
      <c r="E1147" s="4" t="s">
        <v>17</v>
      </c>
      <c r="F1147" s="4" t="s">
        <v>18</v>
      </c>
      <c r="G1147" s="5">
        <v>0.9</v>
      </c>
      <c r="H1147" s="5">
        <v>0.8</v>
      </c>
      <c r="I1147" s="5">
        <v>0.05</v>
      </c>
      <c r="J1147" s="6">
        <v>0.40322580645161288</v>
      </c>
      <c r="K1147" s="6">
        <v>0.8548</v>
      </c>
      <c r="L1147" s="6">
        <v>0.73475573919001069</v>
      </c>
      <c r="M1147" s="4" t="s">
        <v>73</v>
      </c>
      <c r="N1147" s="5">
        <v>9.2345877618613556E-2</v>
      </c>
      <c r="O1147" s="4">
        <v>0</v>
      </c>
    </row>
    <row r="1148" spans="1:15" x14ac:dyDescent="0.3">
      <c r="A1148" s="4">
        <v>383</v>
      </c>
      <c r="B1148" s="4">
        <v>383000</v>
      </c>
      <c r="C1148" s="4" t="s">
        <v>15</v>
      </c>
      <c r="D1148" s="4" t="s">
        <v>16</v>
      </c>
      <c r="E1148" s="4" t="s">
        <v>17</v>
      </c>
      <c r="F1148" s="4" t="s">
        <v>18</v>
      </c>
      <c r="G1148" s="5">
        <v>0.1</v>
      </c>
      <c r="H1148" s="5">
        <v>0.4</v>
      </c>
      <c r="I1148" s="5">
        <v>0.05</v>
      </c>
      <c r="J1148" s="6">
        <v>0.7384615384615385</v>
      </c>
      <c r="K1148" s="6">
        <v>0.77312500000000017</v>
      </c>
      <c r="L1148" s="6">
        <v>0.60007334876952267</v>
      </c>
      <c r="M1148" s="4" t="s">
        <v>71</v>
      </c>
      <c r="N1148" s="5">
        <v>0.1395960738690265</v>
      </c>
      <c r="O1148" s="4">
        <v>0</v>
      </c>
    </row>
    <row r="1149" spans="1:15" x14ac:dyDescent="0.3">
      <c r="A1149" s="4">
        <v>383</v>
      </c>
      <c r="B1149" s="4">
        <v>383000</v>
      </c>
      <c r="C1149" s="4" t="s">
        <v>15</v>
      </c>
      <c r="D1149" s="4" t="s">
        <v>161</v>
      </c>
      <c r="E1149" s="4" t="s">
        <v>17</v>
      </c>
      <c r="F1149" s="4" t="s">
        <v>18</v>
      </c>
      <c r="G1149" s="5">
        <v>0.54444444444444451</v>
      </c>
      <c r="H1149" s="5">
        <v>0.8</v>
      </c>
      <c r="I1149" s="5">
        <v>0.05</v>
      </c>
      <c r="J1149" s="6">
        <v>0.67692307692307696</v>
      </c>
      <c r="K1149" s="6">
        <v>0.81727272727272726</v>
      </c>
      <c r="L1149" s="6">
        <v>0.71965137079510288</v>
      </c>
      <c r="M1149" s="4" t="s">
        <v>71</v>
      </c>
      <c r="N1149" s="5">
        <v>0.1395960738690265</v>
      </c>
      <c r="O1149" s="4">
        <v>0</v>
      </c>
    </row>
    <row r="1150" spans="1:15" x14ac:dyDescent="0.3">
      <c r="A1150" s="4">
        <v>383</v>
      </c>
      <c r="B1150" s="4">
        <v>383000</v>
      </c>
      <c r="C1150" s="4" t="s">
        <v>15</v>
      </c>
      <c r="D1150" s="4" t="s">
        <v>162</v>
      </c>
      <c r="E1150" s="4" t="s">
        <v>17</v>
      </c>
      <c r="F1150" s="4" t="s">
        <v>18</v>
      </c>
      <c r="G1150" s="5">
        <v>0.9</v>
      </c>
      <c r="H1150" s="5">
        <v>0.8</v>
      </c>
      <c r="I1150" s="5">
        <v>0.05</v>
      </c>
      <c r="J1150" s="6">
        <v>0.38461538461538458</v>
      </c>
      <c r="K1150" s="6">
        <v>0.8567999999999999</v>
      </c>
      <c r="L1150" s="6">
        <v>0.78347670387866652</v>
      </c>
      <c r="M1150" s="4" t="s">
        <v>71</v>
      </c>
      <c r="N1150" s="5">
        <v>0.1395960738690265</v>
      </c>
      <c r="O1150" s="4">
        <v>0</v>
      </c>
    </row>
    <row r="1151" spans="1:15" x14ac:dyDescent="0.3">
      <c r="A1151" s="4">
        <v>384</v>
      </c>
      <c r="B1151" s="4">
        <v>384000</v>
      </c>
      <c r="C1151" s="4" t="s">
        <v>15</v>
      </c>
      <c r="D1151" s="4" t="s">
        <v>16</v>
      </c>
      <c r="E1151" s="4" t="s">
        <v>17</v>
      </c>
      <c r="F1151" s="4" t="s">
        <v>18</v>
      </c>
      <c r="G1151" s="5">
        <v>0.1</v>
      </c>
      <c r="H1151" s="5">
        <v>0.4</v>
      </c>
      <c r="I1151" s="5">
        <v>0.05</v>
      </c>
      <c r="J1151" s="6">
        <v>0.703125</v>
      </c>
      <c r="K1151" s="6">
        <v>0.78488888888888886</v>
      </c>
      <c r="L1151" s="6">
        <v>0.74331430369423845</v>
      </c>
      <c r="M1151" s="4" t="s">
        <v>146</v>
      </c>
      <c r="N1151" s="5">
        <v>0.17406063742947731</v>
      </c>
      <c r="O1151" s="4">
        <v>1</v>
      </c>
    </row>
    <row r="1152" spans="1:15" x14ac:dyDescent="0.3">
      <c r="A1152" s="4">
        <v>384</v>
      </c>
      <c r="B1152" s="4">
        <v>384000</v>
      </c>
      <c r="C1152" s="4" t="s">
        <v>15</v>
      </c>
      <c r="D1152" s="4" t="s">
        <v>161</v>
      </c>
      <c r="E1152" s="4" t="s">
        <v>17</v>
      </c>
      <c r="F1152" s="4" t="s">
        <v>18</v>
      </c>
      <c r="G1152" s="5">
        <v>0.54444444444444451</v>
      </c>
      <c r="H1152" s="5">
        <v>0.4</v>
      </c>
      <c r="I1152" s="5">
        <v>0.05</v>
      </c>
      <c r="J1152" s="6">
        <v>0.625</v>
      </c>
      <c r="K1152" s="6">
        <v>0.8254999999999999</v>
      </c>
      <c r="L1152" s="6">
        <v>0.80644160848820989</v>
      </c>
      <c r="M1152" s="4" t="s">
        <v>146</v>
      </c>
      <c r="N1152" s="5">
        <v>0.17406063742947731</v>
      </c>
      <c r="O1152" s="4">
        <v>1</v>
      </c>
    </row>
    <row r="1153" spans="1:15" x14ac:dyDescent="0.3">
      <c r="A1153" s="4">
        <v>384</v>
      </c>
      <c r="B1153" s="4">
        <v>384000</v>
      </c>
      <c r="C1153" s="4" t="s">
        <v>15</v>
      </c>
      <c r="D1153" s="4" t="s">
        <v>162</v>
      </c>
      <c r="E1153" s="4" t="s">
        <v>17</v>
      </c>
      <c r="F1153" s="4" t="s">
        <v>18</v>
      </c>
      <c r="G1153" s="5">
        <v>0.81111111111111112</v>
      </c>
      <c r="H1153" s="5">
        <v>0.4</v>
      </c>
      <c r="I1153" s="5">
        <v>0.05</v>
      </c>
      <c r="J1153" s="6">
        <v>0.46875</v>
      </c>
      <c r="K1153" s="6">
        <v>0.85466666666666646</v>
      </c>
      <c r="L1153" s="6">
        <v>0.75743700345141596</v>
      </c>
      <c r="M1153" s="4" t="s">
        <v>146</v>
      </c>
      <c r="N1153" s="5">
        <v>0.17406063742947731</v>
      </c>
      <c r="O1153" s="4">
        <v>1</v>
      </c>
    </row>
    <row r="1154" spans="1:15" x14ac:dyDescent="0.3">
      <c r="A1154" s="4">
        <v>385</v>
      </c>
      <c r="B1154" s="4">
        <v>385000</v>
      </c>
      <c r="C1154" s="4" t="s">
        <v>15</v>
      </c>
      <c r="D1154" s="4" t="s">
        <v>16</v>
      </c>
      <c r="E1154" s="4" t="s">
        <v>17</v>
      </c>
      <c r="F1154" s="4" t="s">
        <v>18</v>
      </c>
      <c r="G1154" s="5">
        <v>0.1</v>
      </c>
      <c r="H1154" s="5">
        <v>0.4</v>
      </c>
      <c r="I1154" s="5">
        <v>0.05</v>
      </c>
      <c r="J1154" s="6">
        <v>0.73015873015873012</v>
      </c>
      <c r="K1154" s="6">
        <v>0.76217391304347826</v>
      </c>
      <c r="L1154" s="6">
        <v>0.6057188403095658</v>
      </c>
      <c r="M1154" s="4" t="s">
        <v>101</v>
      </c>
      <c r="N1154" s="5">
        <v>7.6873858785582561E-2</v>
      </c>
      <c r="O1154" s="4">
        <v>0</v>
      </c>
    </row>
    <row r="1155" spans="1:15" x14ac:dyDescent="0.3">
      <c r="A1155" s="4">
        <v>385</v>
      </c>
      <c r="B1155" s="4">
        <v>385000</v>
      </c>
      <c r="C1155" s="4" t="s">
        <v>15</v>
      </c>
      <c r="D1155" s="4" t="s">
        <v>161</v>
      </c>
      <c r="E1155" s="4" t="s">
        <v>17</v>
      </c>
      <c r="F1155" s="4" t="s">
        <v>18</v>
      </c>
      <c r="G1155" s="5">
        <v>0.54444444444444451</v>
      </c>
      <c r="H1155" s="5">
        <v>0.4</v>
      </c>
      <c r="I1155" s="5">
        <v>0.05</v>
      </c>
      <c r="J1155" s="6">
        <v>0.60317460317460314</v>
      </c>
      <c r="K1155" s="6">
        <v>0.81921052631578928</v>
      </c>
      <c r="L1155" s="6">
        <v>0.75802985207102935</v>
      </c>
      <c r="M1155" s="4" t="s">
        <v>101</v>
      </c>
      <c r="N1155" s="5">
        <v>7.6873858785582561E-2</v>
      </c>
      <c r="O1155" s="4">
        <v>0</v>
      </c>
    </row>
    <row r="1156" spans="1:15" x14ac:dyDescent="0.3">
      <c r="A1156" s="4">
        <v>385</v>
      </c>
      <c r="B1156" s="4">
        <v>385000</v>
      </c>
      <c r="C1156" s="4" t="s">
        <v>15</v>
      </c>
      <c r="D1156" s="4" t="s">
        <v>162</v>
      </c>
      <c r="E1156" s="4" t="s">
        <v>17</v>
      </c>
      <c r="F1156" s="4" t="s">
        <v>18</v>
      </c>
      <c r="G1156" s="5">
        <v>0.81111111111111112</v>
      </c>
      <c r="H1156" s="5">
        <v>0.4</v>
      </c>
      <c r="I1156" s="5">
        <v>0.05</v>
      </c>
      <c r="J1156" s="6">
        <v>0.47619047619047622</v>
      </c>
      <c r="K1156" s="6">
        <v>0.84966666666666646</v>
      </c>
      <c r="L1156" s="6">
        <v>0.75018660965888551</v>
      </c>
      <c r="M1156" s="4" t="s">
        <v>101</v>
      </c>
      <c r="N1156" s="5">
        <v>7.6873858785582561E-2</v>
      </c>
      <c r="O1156" s="4">
        <v>0</v>
      </c>
    </row>
    <row r="1157" spans="1:15" x14ac:dyDescent="0.3">
      <c r="A1157" s="4">
        <v>386</v>
      </c>
      <c r="B1157" s="4">
        <v>386000</v>
      </c>
      <c r="C1157" s="4" t="s">
        <v>15</v>
      </c>
      <c r="D1157" s="4" t="s">
        <v>16</v>
      </c>
      <c r="E1157" s="4" t="s">
        <v>17</v>
      </c>
      <c r="F1157" s="4" t="s">
        <v>18</v>
      </c>
      <c r="G1157" s="5">
        <v>0.1</v>
      </c>
      <c r="H1157" s="5">
        <v>0.4</v>
      </c>
      <c r="I1157" s="5">
        <v>0.05</v>
      </c>
      <c r="J1157" s="6">
        <v>0.71186440677966101</v>
      </c>
      <c r="K1157" s="6">
        <v>0.75595238095238082</v>
      </c>
      <c r="L1157" s="6">
        <v>0.66232703789091518</v>
      </c>
      <c r="M1157" s="4" t="s">
        <v>69</v>
      </c>
      <c r="N1157" s="5">
        <v>0.16331588008547779</v>
      </c>
      <c r="O1157" s="4">
        <v>1</v>
      </c>
    </row>
    <row r="1158" spans="1:15" x14ac:dyDescent="0.3">
      <c r="A1158" s="4">
        <v>386</v>
      </c>
      <c r="B1158" s="4">
        <v>386000</v>
      </c>
      <c r="C1158" s="4" t="s">
        <v>15</v>
      </c>
      <c r="D1158" s="4" t="s">
        <v>161</v>
      </c>
      <c r="E1158" s="4" t="s">
        <v>17</v>
      </c>
      <c r="F1158" s="4" t="s">
        <v>18</v>
      </c>
      <c r="G1158" s="5">
        <v>0.72222222222222221</v>
      </c>
      <c r="H1158" s="5">
        <v>0.60000000000000009</v>
      </c>
      <c r="I1158" s="5">
        <v>0.05</v>
      </c>
      <c r="J1158" s="6">
        <v>0.52542372881355937</v>
      </c>
      <c r="K1158" s="6">
        <v>0.85258064516129017</v>
      </c>
      <c r="L1158" s="6">
        <v>0.73312290099233057</v>
      </c>
      <c r="M1158" s="4" t="s">
        <v>69</v>
      </c>
      <c r="N1158" s="5">
        <v>0.16331588008547779</v>
      </c>
      <c r="O1158" s="4">
        <v>1</v>
      </c>
    </row>
    <row r="1159" spans="1:15" x14ac:dyDescent="0.3">
      <c r="A1159" s="4">
        <v>386</v>
      </c>
      <c r="B1159" s="4">
        <v>386000</v>
      </c>
      <c r="C1159" s="4" t="s">
        <v>15</v>
      </c>
      <c r="D1159" s="4" t="s">
        <v>162</v>
      </c>
      <c r="E1159" s="4" t="s">
        <v>17</v>
      </c>
      <c r="F1159" s="4" t="s">
        <v>18</v>
      </c>
      <c r="G1159" s="5">
        <v>0.9</v>
      </c>
      <c r="H1159" s="5">
        <v>0.60000000000000009</v>
      </c>
      <c r="I1159" s="5">
        <v>0.05</v>
      </c>
      <c r="J1159" s="6">
        <v>0.3559322033898305</v>
      </c>
      <c r="K1159" s="6">
        <v>0.88</v>
      </c>
      <c r="L1159" s="6">
        <v>0.62267688527744658</v>
      </c>
      <c r="M1159" s="4" t="s">
        <v>69</v>
      </c>
      <c r="N1159" s="5">
        <v>0.16331588008547779</v>
      </c>
      <c r="O1159" s="4">
        <v>1</v>
      </c>
    </row>
    <row r="1160" spans="1:15" x14ac:dyDescent="0.3">
      <c r="A1160" s="4">
        <v>387</v>
      </c>
      <c r="B1160" s="4">
        <v>387000</v>
      </c>
      <c r="C1160" s="4" t="s">
        <v>15</v>
      </c>
      <c r="D1160" s="4" t="s">
        <v>16</v>
      </c>
      <c r="E1160" s="4" t="s">
        <v>17</v>
      </c>
      <c r="F1160" s="4" t="s">
        <v>18</v>
      </c>
      <c r="G1160" s="5">
        <v>0.1</v>
      </c>
      <c r="H1160" s="5">
        <v>0.4</v>
      </c>
      <c r="I1160" s="5">
        <v>0.05</v>
      </c>
      <c r="J1160" s="6">
        <v>0.68181818181818177</v>
      </c>
      <c r="K1160" s="6">
        <v>0.74244444444444435</v>
      </c>
      <c r="L1160" s="6">
        <v>0.67938253911887425</v>
      </c>
      <c r="M1160" s="4" t="s">
        <v>19</v>
      </c>
      <c r="N1160" s="5">
        <v>1</v>
      </c>
      <c r="O1160" s="4">
        <v>1</v>
      </c>
    </row>
    <row r="1161" spans="1:15" x14ac:dyDescent="0.3">
      <c r="A1161" s="4">
        <v>387</v>
      </c>
      <c r="B1161" s="4">
        <v>387000</v>
      </c>
      <c r="C1161" s="4" t="s">
        <v>15</v>
      </c>
      <c r="D1161" s="4" t="s">
        <v>161</v>
      </c>
      <c r="E1161" s="4" t="s">
        <v>17</v>
      </c>
      <c r="F1161" s="4" t="s">
        <v>18</v>
      </c>
      <c r="G1161" s="5">
        <v>0.72222222222222221</v>
      </c>
      <c r="H1161" s="5">
        <v>0.8</v>
      </c>
      <c r="I1161" s="5">
        <v>0.05</v>
      </c>
      <c r="J1161" s="6">
        <v>0.48484848484848492</v>
      </c>
      <c r="K1161" s="6">
        <v>0.86499999999999988</v>
      </c>
      <c r="L1161" s="6">
        <v>0.77189883889938615</v>
      </c>
      <c r="M1161" s="4" t="s">
        <v>19</v>
      </c>
      <c r="N1161" s="5">
        <v>1</v>
      </c>
      <c r="O1161" s="4">
        <v>1</v>
      </c>
    </row>
    <row r="1162" spans="1:15" x14ac:dyDescent="0.3">
      <c r="A1162" s="4">
        <v>387</v>
      </c>
      <c r="B1162" s="4">
        <v>387000</v>
      </c>
      <c r="C1162" s="4" t="s">
        <v>15</v>
      </c>
      <c r="D1162" s="4" t="s">
        <v>162</v>
      </c>
      <c r="E1162" s="4" t="s">
        <v>17</v>
      </c>
      <c r="F1162" s="4" t="s">
        <v>18</v>
      </c>
      <c r="G1162" s="5">
        <v>0.9</v>
      </c>
      <c r="H1162" s="5">
        <v>0.8</v>
      </c>
      <c r="I1162" s="5">
        <v>0.05</v>
      </c>
      <c r="J1162" s="6">
        <v>0.31818181818181818</v>
      </c>
      <c r="K1162" s="6">
        <v>0.88190476190476186</v>
      </c>
      <c r="L1162" s="6">
        <v>0.62598480957342206</v>
      </c>
      <c r="M1162" s="4" t="s">
        <v>19</v>
      </c>
      <c r="N1162" s="5">
        <v>1</v>
      </c>
      <c r="O1162" s="4">
        <v>1</v>
      </c>
    </row>
    <row r="1163" spans="1:15" x14ac:dyDescent="0.3">
      <c r="A1163" s="4">
        <v>388</v>
      </c>
      <c r="B1163" s="4">
        <v>388000</v>
      </c>
      <c r="C1163" s="4" t="s">
        <v>15</v>
      </c>
      <c r="D1163" s="4" t="s">
        <v>16</v>
      </c>
      <c r="E1163" s="4" t="s">
        <v>17</v>
      </c>
      <c r="F1163" s="4" t="s">
        <v>18</v>
      </c>
      <c r="G1163" s="5">
        <v>0.1</v>
      </c>
      <c r="H1163" s="5">
        <v>0.4</v>
      </c>
      <c r="I1163" s="5">
        <v>0.05</v>
      </c>
      <c r="J1163" s="6">
        <v>0.76190476190476186</v>
      </c>
      <c r="K1163" s="6">
        <v>0.7243750000000001</v>
      </c>
      <c r="L1163" s="6">
        <v>0.72733642500184936</v>
      </c>
      <c r="M1163" s="4" t="s">
        <v>19</v>
      </c>
      <c r="N1163" s="5">
        <v>1</v>
      </c>
      <c r="O1163" s="4">
        <v>1</v>
      </c>
    </row>
    <row r="1164" spans="1:15" x14ac:dyDescent="0.3">
      <c r="A1164" s="4">
        <v>388</v>
      </c>
      <c r="B1164" s="4">
        <v>388000</v>
      </c>
      <c r="C1164" s="4" t="s">
        <v>15</v>
      </c>
      <c r="D1164" s="4" t="s">
        <v>161</v>
      </c>
      <c r="E1164" s="4" t="s">
        <v>17</v>
      </c>
      <c r="F1164" s="4" t="s">
        <v>18</v>
      </c>
      <c r="G1164" s="5">
        <v>0.27777777777777779</v>
      </c>
      <c r="H1164" s="5">
        <v>0.8</v>
      </c>
      <c r="I1164" s="5">
        <v>0.05</v>
      </c>
      <c r="J1164" s="6">
        <v>0.69841269841269837</v>
      </c>
      <c r="K1164" s="6">
        <v>0.78022727272727288</v>
      </c>
      <c r="L1164" s="6">
        <v>0.8435825579388595</v>
      </c>
      <c r="M1164" s="4" t="s">
        <v>19</v>
      </c>
      <c r="N1164" s="5">
        <v>1</v>
      </c>
      <c r="O1164" s="4">
        <v>1</v>
      </c>
    </row>
    <row r="1165" spans="1:15" x14ac:dyDescent="0.3">
      <c r="A1165" s="4">
        <v>388</v>
      </c>
      <c r="B1165" s="4">
        <v>388000</v>
      </c>
      <c r="C1165" s="4" t="s">
        <v>15</v>
      </c>
      <c r="D1165" s="4" t="s">
        <v>162</v>
      </c>
      <c r="E1165" s="4" t="s">
        <v>17</v>
      </c>
      <c r="F1165" s="4" t="s">
        <v>18</v>
      </c>
      <c r="G1165" s="5">
        <v>0.9</v>
      </c>
      <c r="H1165" s="5">
        <v>0.8</v>
      </c>
      <c r="I1165" s="5">
        <v>0.05</v>
      </c>
      <c r="J1165" s="6">
        <v>0.33333333333333331</v>
      </c>
      <c r="K1165" s="6">
        <v>0.87809523809523804</v>
      </c>
      <c r="L1165" s="6">
        <v>0.6200323688526399</v>
      </c>
      <c r="M1165" s="4" t="s">
        <v>19</v>
      </c>
      <c r="N1165" s="5">
        <v>1</v>
      </c>
      <c r="O1165" s="4">
        <v>1</v>
      </c>
    </row>
    <row r="1166" spans="1:15" x14ac:dyDescent="0.3">
      <c r="A1166" s="4">
        <v>389</v>
      </c>
      <c r="B1166" s="4">
        <v>389000</v>
      </c>
      <c r="C1166" s="4" t="s">
        <v>15</v>
      </c>
      <c r="D1166" s="4" t="s">
        <v>16</v>
      </c>
      <c r="E1166" s="4" t="s">
        <v>17</v>
      </c>
      <c r="F1166" s="4" t="s">
        <v>18</v>
      </c>
      <c r="G1166" s="5">
        <v>0.1</v>
      </c>
      <c r="H1166" s="5">
        <v>0.4</v>
      </c>
      <c r="I1166" s="5">
        <v>0.05</v>
      </c>
      <c r="J1166" s="6">
        <v>0.70588235294117652</v>
      </c>
      <c r="K1166" s="6">
        <v>0.73958333333333315</v>
      </c>
      <c r="L1166" s="6">
        <v>0.59901192306143425</v>
      </c>
      <c r="M1166" s="4" t="s">
        <v>19</v>
      </c>
      <c r="N1166" s="5">
        <v>1</v>
      </c>
      <c r="O1166" s="4">
        <v>1</v>
      </c>
    </row>
    <row r="1167" spans="1:15" x14ac:dyDescent="0.3">
      <c r="A1167" s="4">
        <v>389</v>
      </c>
      <c r="B1167" s="4">
        <v>389000</v>
      </c>
      <c r="C1167" s="4" t="s">
        <v>15</v>
      </c>
      <c r="D1167" s="4" t="s">
        <v>161</v>
      </c>
      <c r="E1167" s="4" t="s">
        <v>17</v>
      </c>
      <c r="F1167" s="4" t="s">
        <v>18</v>
      </c>
      <c r="G1167" s="5">
        <v>0.54444444444444451</v>
      </c>
      <c r="H1167" s="5">
        <v>0.60000000000000009</v>
      </c>
      <c r="I1167" s="5">
        <v>0.05</v>
      </c>
      <c r="J1167" s="6">
        <v>0.52941176470588236</v>
      </c>
      <c r="K1167" s="6">
        <v>0.83666666666666645</v>
      </c>
      <c r="L1167" s="6">
        <v>0.78313658599450364</v>
      </c>
      <c r="M1167" s="4" t="s">
        <v>19</v>
      </c>
      <c r="N1167" s="5">
        <v>1</v>
      </c>
      <c r="O1167" s="4">
        <v>1</v>
      </c>
    </row>
    <row r="1168" spans="1:15" x14ac:dyDescent="0.3">
      <c r="A1168" s="4">
        <v>389</v>
      </c>
      <c r="B1168" s="4">
        <v>389000</v>
      </c>
      <c r="C1168" s="4" t="s">
        <v>15</v>
      </c>
      <c r="D1168" s="4" t="s">
        <v>162</v>
      </c>
      <c r="E1168" s="4" t="s">
        <v>17</v>
      </c>
      <c r="F1168" s="4" t="s">
        <v>18</v>
      </c>
      <c r="G1168" s="5">
        <v>0.81111111111111112</v>
      </c>
      <c r="H1168" s="5">
        <v>0.60000000000000009</v>
      </c>
      <c r="I1168" s="5">
        <v>0.05</v>
      </c>
      <c r="J1168" s="6">
        <v>0.45588235294117652</v>
      </c>
      <c r="K1168" s="6">
        <v>0.85419354838709649</v>
      </c>
      <c r="L1168" s="6">
        <v>0.73551515453614025</v>
      </c>
      <c r="M1168" s="4" t="s">
        <v>19</v>
      </c>
      <c r="N1168" s="5">
        <v>1</v>
      </c>
      <c r="O1168" s="4">
        <v>1</v>
      </c>
    </row>
    <row r="1169" spans="1:15" x14ac:dyDescent="0.3">
      <c r="A1169" s="4">
        <v>390</v>
      </c>
      <c r="B1169" s="4">
        <v>390000</v>
      </c>
      <c r="C1169" s="4" t="s">
        <v>15</v>
      </c>
      <c r="D1169" s="4" t="s">
        <v>16</v>
      </c>
      <c r="E1169" s="4" t="s">
        <v>17</v>
      </c>
      <c r="F1169" s="4" t="s">
        <v>18</v>
      </c>
      <c r="G1169" s="5">
        <v>0.1</v>
      </c>
      <c r="H1169" s="5">
        <v>0.4</v>
      </c>
      <c r="I1169" s="5">
        <v>0.05</v>
      </c>
      <c r="J1169" s="6">
        <v>0.76119402985074625</v>
      </c>
      <c r="K1169" s="6">
        <v>0.75372549019607826</v>
      </c>
      <c r="L1169" s="6">
        <v>0.60745839570551197</v>
      </c>
      <c r="M1169" s="4" t="s">
        <v>71</v>
      </c>
      <c r="N1169" s="5">
        <v>0.14005443430893769</v>
      </c>
      <c r="O1169" s="4">
        <v>0</v>
      </c>
    </row>
    <row r="1170" spans="1:15" x14ac:dyDescent="0.3">
      <c r="A1170" s="4">
        <v>390</v>
      </c>
      <c r="B1170" s="4">
        <v>390000</v>
      </c>
      <c r="C1170" s="4" t="s">
        <v>15</v>
      </c>
      <c r="D1170" s="4" t="s">
        <v>161</v>
      </c>
      <c r="E1170" s="4" t="s">
        <v>17</v>
      </c>
      <c r="F1170" s="4" t="s">
        <v>18</v>
      </c>
      <c r="G1170" s="5">
        <v>0.54444444444444451</v>
      </c>
      <c r="H1170" s="5">
        <v>0.60000000000000009</v>
      </c>
      <c r="I1170" s="5">
        <v>0.05</v>
      </c>
      <c r="J1170" s="6">
        <v>0.65671641791044777</v>
      </c>
      <c r="K1170" s="6">
        <v>0.82545454545454544</v>
      </c>
      <c r="L1170" s="6">
        <v>0.71912281421775637</v>
      </c>
      <c r="M1170" s="4" t="s">
        <v>71</v>
      </c>
      <c r="N1170" s="5">
        <v>0.14005443430893769</v>
      </c>
      <c r="O1170" s="4">
        <v>0</v>
      </c>
    </row>
    <row r="1171" spans="1:15" x14ac:dyDescent="0.3">
      <c r="A1171" s="4">
        <v>390</v>
      </c>
      <c r="B1171" s="4">
        <v>390000</v>
      </c>
      <c r="C1171" s="4" t="s">
        <v>15</v>
      </c>
      <c r="D1171" s="4" t="s">
        <v>162</v>
      </c>
      <c r="E1171" s="4" t="s">
        <v>17</v>
      </c>
      <c r="F1171" s="4" t="s">
        <v>18</v>
      </c>
      <c r="G1171" s="5">
        <v>0.81111111111111112</v>
      </c>
      <c r="H1171" s="5">
        <v>0.60000000000000009</v>
      </c>
      <c r="I1171" s="5">
        <v>0.05</v>
      </c>
      <c r="J1171" s="6">
        <v>0.47761194029850751</v>
      </c>
      <c r="K1171" s="6">
        <v>0.85593749999999991</v>
      </c>
      <c r="L1171" s="6">
        <v>0.76364685046788472</v>
      </c>
      <c r="M1171" s="4" t="s">
        <v>71</v>
      </c>
      <c r="N1171" s="5">
        <v>0.14005443430893769</v>
      </c>
      <c r="O1171" s="4">
        <v>0</v>
      </c>
    </row>
    <row r="1172" spans="1:15" x14ac:dyDescent="0.3">
      <c r="A1172" s="4">
        <v>391</v>
      </c>
      <c r="B1172" s="4">
        <v>391000</v>
      </c>
      <c r="C1172" s="4" t="s">
        <v>15</v>
      </c>
      <c r="D1172" s="4" t="s">
        <v>16</v>
      </c>
      <c r="E1172" s="4" t="s">
        <v>17</v>
      </c>
      <c r="F1172" s="4" t="s">
        <v>18</v>
      </c>
      <c r="G1172" s="5">
        <v>0.1</v>
      </c>
      <c r="H1172" s="5">
        <v>0.4</v>
      </c>
      <c r="I1172" s="5">
        <v>0.05</v>
      </c>
      <c r="J1172" s="6">
        <v>0.7142857142857143</v>
      </c>
      <c r="K1172" s="6">
        <v>0.77519999999999978</v>
      </c>
      <c r="L1172" s="6">
        <v>0.66449335822972522</v>
      </c>
      <c r="M1172" s="4" t="s">
        <v>83</v>
      </c>
      <c r="N1172" s="5">
        <v>0.15718572541121081</v>
      </c>
      <c r="O1172" s="4">
        <v>1</v>
      </c>
    </row>
    <row r="1173" spans="1:15" x14ac:dyDescent="0.3">
      <c r="A1173" s="4">
        <v>391</v>
      </c>
      <c r="B1173" s="4">
        <v>391000</v>
      </c>
      <c r="C1173" s="4" t="s">
        <v>15</v>
      </c>
      <c r="D1173" s="4" t="s">
        <v>162</v>
      </c>
      <c r="E1173" s="4" t="s">
        <v>17</v>
      </c>
      <c r="F1173" s="4" t="s">
        <v>18</v>
      </c>
      <c r="G1173" s="5">
        <v>0.81111111111111112</v>
      </c>
      <c r="H1173" s="5">
        <v>0.60000000000000009</v>
      </c>
      <c r="I1173" s="5">
        <v>0.05</v>
      </c>
      <c r="J1173" s="6">
        <v>0.42857142857142849</v>
      </c>
      <c r="K1173" s="6">
        <v>0.85999999999999988</v>
      </c>
      <c r="L1173" s="6">
        <v>0.76217770341452129</v>
      </c>
      <c r="M1173" s="4" t="s">
        <v>83</v>
      </c>
      <c r="N1173" s="5">
        <v>0.15718572541121081</v>
      </c>
      <c r="O1173" s="4">
        <v>1</v>
      </c>
    </row>
    <row r="1174" spans="1:15" x14ac:dyDescent="0.3">
      <c r="A1174" s="4">
        <v>391</v>
      </c>
      <c r="B1174" s="4">
        <v>391000</v>
      </c>
      <c r="C1174" s="4" t="s">
        <v>15</v>
      </c>
      <c r="D1174" s="4" t="s">
        <v>161</v>
      </c>
      <c r="E1174" s="4" t="s">
        <v>17</v>
      </c>
      <c r="F1174" s="4" t="s">
        <v>18</v>
      </c>
      <c r="G1174" s="5">
        <v>0.9</v>
      </c>
      <c r="H1174" s="5">
        <v>0.4</v>
      </c>
      <c r="I1174" s="5">
        <v>0.05</v>
      </c>
      <c r="J1174" s="6">
        <v>0.41428571428571431</v>
      </c>
      <c r="K1174" s="6">
        <v>0.82965517241379305</v>
      </c>
      <c r="L1174" s="6">
        <v>0.77582213723564331</v>
      </c>
      <c r="M1174" s="4" t="s">
        <v>83</v>
      </c>
      <c r="N1174" s="5">
        <v>0.15718572541121081</v>
      </c>
      <c r="O1174" s="4">
        <v>1</v>
      </c>
    </row>
    <row r="1175" spans="1:15" x14ac:dyDescent="0.3">
      <c r="A1175" s="4">
        <v>392</v>
      </c>
      <c r="B1175" s="4">
        <v>392000</v>
      </c>
      <c r="C1175" s="4" t="s">
        <v>15</v>
      </c>
      <c r="D1175" s="4" t="s">
        <v>16</v>
      </c>
      <c r="E1175" s="4" t="s">
        <v>17</v>
      </c>
      <c r="F1175" s="4" t="s">
        <v>18</v>
      </c>
      <c r="G1175" s="5">
        <v>0.1</v>
      </c>
      <c r="H1175" s="5">
        <v>0.4</v>
      </c>
      <c r="I1175" s="5">
        <v>0.05</v>
      </c>
      <c r="J1175" s="6">
        <v>0.66666666666666663</v>
      </c>
      <c r="K1175" s="6">
        <v>0.77119999999999989</v>
      </c>
      <c r="L1175" s="6">
        <v>0.65961652945887372</v>
      </c>
      <c r="M1175" s="4" t="s">
        <v>129</v>
      </c>
      <c r="N1175" s="5">
        <v>9.7443689798951794E-2</v>
      </c>
      <c r="O1175" s="4">
        <v>0</v>
      </c>
    </row>
    <row r="1176" spans="1:15" x14ac:dyDescent="0.3">
      <c r="A1176" s="4">
        <v>392</v>
      </c>
      <c r="B1176" s="4">
        <v>392000</v>
      </c>
      <c r="C1176" s="4" t="s">
        <v>15</v>
      </c>
      <c r="D1176" s="4" t="s">
        <v>162</v>
      </c>
      <c r="E1176" s="4" t="s">
        <v>17</v>
      </c>
      <c r="F1176" s="4" t="s">
        <v>18</v>
      </c>
      <c r="G1176" s="5">
        <v>0.81111111111111112</v>
      </c>
      <c r="H1176" s="5">
        <v>0.60000000000000009</v>
      </c>
      <c r="I1176" s="5">
        <v>0.05</v>
      </c>
      <c r="J1176" s="6">
        <v>0.45333333333333331</v>
      </c>
      <c r="K1176" s="6">
        <v>0.83382352941176463</v>
      </c>
      <c r="L1176" s="6">
        <v>0.76679293612858057</v>
      </c>
      <c r="M1176" s="4" t="s">
        <v>129</v>
      </c>
      <c r="N1176" s="5">
        <v>9.7443689798951794E-2</v>
      </c>
      <c r="O1176" s="4">
        <v>0</v>
      </c>
    </row>
    <row r="1177" spans="1:15" x14ac:dyDescent="0.3">
      <c r="A1177" s="4">
        <v>392</v>
      </c>
      <c r="B1177" s="4">
        <v>392000</v>
      </c>
      <c r="C1177" s="4" t="s">
        <v>15</v>
      </c>
      <c r="D1177" s="4" t="s">
        <v>161</v>
      </c>
      <c r="E1177" s="4" t="s">
        <v>17</v>
      </c>
      <c r="F1177" s="4" t="s">
        <v>18</v>
      </c>
      <c r="G1177" s="5">
        <v>0.9</v>
      </c>
      <c r="H1177" s="5">
        <v>0.4</v>
      </c>
      <c r="I1177" s="5">
        <v>0.05</v>
      </c>
      <c r="J1177" s="6">
        <v>0.36</v>
      </c>
      <c r="K1177" s="6">
        <v>0.82814814814814808</v>
      </c>
      <c r="L1177" s="6">
        <v>0.75550755852578266</v>
      </c>
      <c r="M1177" s="4" t="s">
        <v>129</v>
      </c>
      <c r="N1177" s="5">
        <v>9.7443689798951794E-2</v>
      </c>
      <c r="O1177" s="4">
        <v>0</v>
      </c>
    </row>
    <row r="1178" spans="1:15" x14ac:dyDescent="0.3">
      <c r="A1178" s="4">
        <v>393</v>
      </c>
      <c r="B1178" s="4">
        <v>393000</v>
      </c>
      <c r="C1178" s="4" t="s">
        <v>15</v>
      </c>
      <c r="D1178" s="4" t="s">
        <v>16</v>
      </c>
      <c r="E1178" s="4" t="s">
        <v>17</v>
      </c>
      <c r="F1178" s="4" t="s">
        <v>18</v>
      </c>
      <c r="G1178" s="5">
        <v>0.1</v>
      </c>
      <c r="H1178" s="5">
        <v>0.4</v>
      </c>
      <c r="I1178" s="5">
        <v>0.05</v>
      </c>
      <c r="J1178" s="6">
        <v>0.6619718309859155</v>
      </c>
      <c r="K1178" s="6">
        <v>0.75851063829787246</v>
      </c>
      <c r="L1178" s="6">
        <v>0.62192961388570989</v>
      </c>
      <c r="M1178" s="4" t="s">
        <v>105</v>
      </c>
      <c r="N1178" s="5">
        <v>0.1390324316165259</v>
      </c>
      <c r="O1178" s="4">
        <v>0</v>
      </c>
    </row>
    <row r="1179" spans="1:15" x14ac:dyDescent="0.3">
      <c r="A1179" s="4">
        <v>393</v>
      </c>
      <c r="B1179" s="4">
        <v>393000</v>
      </c>
      <c r="C1179" s="4" t="s">
        <v>15</v>
      </c>
      <c r="D1179" s="4" t="s">
        <v>162</v>
      </c>
      <c r="E1179" s="4" t="s">
        <v>17</v>
      </c>
      <c r="F1179" s="4" t="s">
        <v>18</v>
      </c>
      <c r="G1179" s="5">
        <v>0.81111111111111112</v>
      </c>
      <c r="H1179" s="5">
        <v>0.60000000000000009</v>
      </c>
      <c r="I1179" s="5">
        <v>0.05</v>
      </c>
      <c r="J1179" s="6">
        <v>0.46478873239436619</v>
      </c>
      <c r="K1179" s="6">
        <v>0.83575757575757559</v>
      </c>
      <c r="L1179" s="6">
        <v>0.81211797732163093</v>
      </c>
      <c r="M1179" s="4" t="s">
        <v>105</v>
      </c>
      <c r="N1179" s="5">
        <v>0.1390324316165259</v>
      </c>
      <c r="O1179" s="4">
        <v>0</v>
      </c>
    </row>
    <row r="1180" spans="1:15" x14ac:dyDescent="0.3">
      <c r="A1180" s="4">
        <v>393</v>
      </c>
      <c r="B1180" s="4">
        <v>393000</v>
      </c>
      <c r="C1180" s="4" t="s">
        <v>15</v>
      </c>
      <c r="D1180" s="4" t="s">
        <v>161</v>
      </c>
      <c r="E1180" s="4" t="s">
        <v>17</v>
      </c>
      <c r="F1180" s="4" t="s">
        <v>18</v>
      </c>
      <c r="G1180" s="5">
        <v>0.9</v>
      </c>
      <c r="H1180" s="5">
        <v>0.4</v>
      </c>
      <c r="I1180" s="5">
        <v>0.05</v>
      </c>
      <c r="J1180" s="6">
        <v>0.40845070422535212</v>
      </c>
      <c r="K1180" s="6">
        <v>0.83137931034482759</v>
      </c>
      <c r="L1180" s="6">
        <v>0.75821127921196974</v>
      </c>
      <c r="M1180" s="4" t="s">
        <v>105</v>
      </c>
      <c r="N1180" s="5">
        <v>0.1390324316165259</v>
      </c>
      <c r="O1180" s="4">
        <v>0</v>
      </c>
    </row>
    <row r="1181" spans="1:15" x14ac:dyDescent="0.3">
      <c r="A1181" s="4">
        <v>394</v>
      </c>
      <c r="B1181" s="4">
        <v>394000</v>
      </c>
      <c r="C1181" s="4" t="s">
        <v>15</v>
      </c>
      <c r="D1181" s="4" t="s">
        <v>16</v>
      </c>
      <c r="E1181" s="4" t="s">
        <v>17</v>
      </c>
      <c r="F1181" s="4" t="s">
        <v>18</v>
      </c>
      <c r="G1181" s="5">
        <v>0.1</v>
      </c>
      <c r="H1181" s="5">
        <v>0.4</v>
      </c>
      <c r="I1181" s="5">
        <v>0.05</v>
      </c>
      <c r="J1181" s="6">
        <v>0.66666666666666663</v>
      </c>
      <c r="K1181" s="6">
        <v>0.75166666666666659</v>
      </c>
      <c r="L1181" s="6">
        <v>0.62718922916428543</v>
      </c>
      <c r="M1181" s="4" t="s">
        <v>19</v>
      </c>
      <c r="N1181" s="5">
        <v>1</v>
      </c>
      <c r="O1181" s="4">
        <v>1</v>
      </c>
    </row>
    <row r="1182" spans="1:15" x14ac:dyDescent="0.3">
      <c r="A1182" s="4">
        <v>394</v>
      </c>
      <c r="B1182" s="4">
        <v>394000</v>
      </c>
      <c r="C1182" s="4" t="s">
        <v>15</v>
      </c>
      <c r="D1182" s="4" t="s">
        <v>161</v>
      </c>
      <c r="E1182" s="4" t="s">
        <v>17</v>
      </c>
      <c r="F1182" s="4" t="s">
        <v>18</v>
      </c>
      <c r="G1182" s="5">
        <v>0.72222222222222221</v>
      </c>
      <c r="H1182" s="5">
        <v>0.8</v>
      </c>
      <c r="I1182" s="5">
        <v>0.05</v>
      </c>
      <c r="J1182" s="6">
        <v>0.5</v>
      </c>
      <c r="K1182" s="6">
        <v>0.87083333333333324</v>
      </c>
      <c r="L1182" s="6">
        <v>0.79441533690421473</v>
      </c>
      <c r="M1182" s="4" t="s">
        <v>19</v>
      </c>
      <c r="N1182" s="5">
        <v>1</v>
      </c>
      <c r="O1182" s="4">
        <v>1</v>
      </c>
    </row>
    <row r="1183" spans="1:15" x14ac:dyDescent="0.3">
      <c r="A1183" s="4">
        <v>394</v>
      </c>
      <c r="B1183" s="4">
        <v>394000</v>
      </c>
      <c r="C1183" s="4" t="s">
        <v>15</v>
      </c>
      <c r="D1183" s="4" t="s">
        <v>162</v>
      </c>
      <c r="E1183" s="4" t="s">
        <v>17</v>
      </c>
      <c r="F1183" s="4" t="s">
        <v>18</v>
      </c>
      <c r="G1183" s="5">
        <v>0.9</v>
      </c>
      <c r="H1183" s="5">
        <v>0.8</v>
      </c>
      <c r="I1183" s="5">
        <v>0.05</v>
      </c>
      <c r="J1183" s="6">
        <v>0.3611111111111111</v>
      </c>
      <c r="K1183" s="6">
        <v>0.89384615384615396</v>
      </c>
      <c r="L1183" s="6">
        <v>0.75572783305892022</v>
      </c>
      <c r="M1183" s="4" t="s">
        <v>19</v>
      </c>
      <c r="N1183" s="5">
        <v>1</v>
      </c>
      <c r="O1183" s="4">
        <v>1</v>
      </c>
    </row>
    <row r="1184" spans="1:15" x14ac:dyDescent="0.3">
      <c r="A1184" s="4">
        <v>395</v>
      </c>
      <c r="B1184" s="4">
        <v>395000</v>
      </c>
      <c r="C1184" s="4" t="s">
        <v>15</v>
      </c>
      <c r="D1184" s="4" t="s">
        <v>16</v>
      </c>
      <c r="E1184" s="4" t="s">
        <v>17</v>
      </c>
      <c r="F1184" s="4" t="s">
        <v>18</v>
      </c>
      <c r="G1184" s="5">
        <v>0.1</v>
      </c>
      <c r="H1184" s="5">
        <v>0.4</v>
      </c>
      <c r="I1184" s="5">
        <v>0.05</v>
      </c>
      <c r="J1184" s="6">
        <v>0.73015873015873012</v>
      </c>
      <c r="K1184" s="6">
        <v>0.75804347826086949</v>
      </c>
      <c r="L1184" s="6">
        <v>0.5704227300810043</v>
      </c>
      <c r="M1184" s="4" t="s">
        <v>19</v>
      </c>
      <c r="N1184" s="5">
        <v>1</v>
      </c>
      <c r="O1184" s="4">
        <v>1</v>
      </c>
    </row>
    <row r="1185" spans="1:15" x14ac:dyDescent="0.3">
      <c r="A1185" s="4">
        <v>395</v>
      </c>
      <c r="B1185" s="4">
        <v>395000</v>
      </c>
      <c r="C1185" s="4" t="s">
        <v>15</v>
      </c>
      <c r="D1185" s="4" t="s">
        <v>161</v>
      </c>
      <c r="E1185" s="4" t="s">
        <v>17</v>
      </c>
      <c r="F1185" s="4" t="s">
        <v>18</v>
      </c>
      <c r="G1185" s="5">
        <v>0.72222222222222221</v>
      </c>
      <c r="H1185" s="5">
        <v>0.8</v>
      </c>
      <c r="I1185" s="5">
        <v>0.05</v>
      </c>
      <c r="J1185" s="6">
        <v>0.53968253968253965</v>
      </c>
      <c r="K1185" s="6">
        <v>0.87352941176470589</v>
      </c>
      <c r="L1185" s="6">
        <v>0.79243306391825552</v>
      </c>
      <c r="M1185" s="4" t="s">
        <v>19</v>
      </c>
      <c r="N1185" s="5">
        <v>1</v>
      </c>
      <c r="O1185" s="4">
        <v>1</v>
      </c>
    </row>
    <row r="1186" spans="1:15" x14ac:dyDescent="0.3">
      <c r="A1186" s="4">
        <v>395</v>
      </c>
      <c r="B1186" s="4">
        <v>395000</v>
      </c>
      <c r="C1186" s="4" t="s">
        <v>15</v>
      </c>
      <c r="D1186" s="4" t="s">
        <v>162</v>
      </c>
      <c r="E1186" s="4" t="s">
        <v>17</v>
      </c>
      <c r="F1186" s="4" t="s">
        <v>18</v>
      </c>
      <c r="G1186" s="5">
        <v>0.9</v>
      </c>
      <c r="H1186" s="5">
        <v>0.8</v>
      </c>
      <c r="I1186" s="5">
        <v>0.05</v>
      </c>
      <c r="J1186" s="6">
        <v>0.3968253968253968</v>
      </c>
      <c r="K1186" s="6">
        <v>0.89159999999999995</v>
      </c>
      <c r="L1186" s="6">
        <v>0.70960946112862489</v>
      </c>
      <c r="M1186" s="4" t="s">
        <v>19</v>
      </c>
      <c r="N1186" s="5">
        <v>1</v>
      </c>
      <c r="O1186" s="4">
        <v>1</v>
      </c>
    </row>
    <row r="1187" spans="1:15" x14ac:dyDescent="0.3">
      <c r="A1187" s="4">
        <v>396</v>
      </c>
      <c r="B1187" s="4">
        <v>396000</v>
      </c>
      <c r="C1187" s="4" t="s">
        <v>15</v>
      </c>
      <c r="D1187" s="4" t="s">
        <v>16</v>
      </c>
      <c r="E1187" s="4" t="s">
        <v>17</v>
      </c>
      <c r="F1187" s="4" t="s">
        <v>18</v>
      </c>
      <c r="G1187" s="5">
        <v>0.1</v>
      </c>
      <c r="H1187" s="5">
        <v>0.4</v>
      </c>
      <c r="I1187" s="5">
        <v>0.05</v>
      </c>
      <c r="J1187" s="6">
        <v>0.77586206896551724</v>
      </c>
      <c r="K1187" s="6">
        <v>0.76311111111111074</v>
      </c>
      <c r="L1187" s="6">
        <v>0.7183612244030394</v>
      </c>
      <c r="M1187" s="4" t="s">
        <v>94</v>
      </c>
      <c r="N1187" s="5">
        <v>0.1347239414235375</v>
      </c>
      <c r="O1187" s="4">
        <v>0</v>
      </c>
    </row>
    <row r="1188" spans="1:15" x14ac:dyDescent="0.3">
      <c r="A1188" s="4">
        <v>396</v>
      </c>
      <c r="B1188" s="4">
        <v>396000</v>
      </c>
      <c r="C1188" s="4" t="s">
        <v>15</v>
      </c>
      <c r="D1188" s="4" t="s">
        <v>161</v>
      </c>
      <c r="E1188" s="4" t="s">
        <v>17</v>
      </c>
      <c r="F1188" s="4" t="s">
        <v>18</v>
      </c>
      <c r="G1188" s="5">
        <v>0.72222222222222221</v>
      </c>
      <c r="H1188" s="5">
        <v>0.8</v>
      </c>
      <c r="I1188" s="5">
        <v>0.05</v>
      </c>
      <c r="J1188" s="6">
        <v>0.60344827586206895</v>
      </c>
      <c r="K1188" s="6">
        <v>0.85628571428571409</v>
      </c>
      <c r="L1188" s="6">
        <v>0.78035387103022125</v>
      </c>
      <c r="M1188" s="4" t="s">
        <v>94</v>
      </c>
      <c r="N1188" s="5">
        <v>0.1347239414235375</v>
      </c>
      <c r="O1188" s="4">
        <v>0</v>
      </c>
    </row>
    <row r="1189" spans="1:15" x14ac:dyDescent="0.3">
      <c r="A1189" s="4">
        <v>396</v>
      </c>
      <c r="B1189" s="4">
        <v>396000</v>
      </c>
      <c r="C1189" s="4" t="s">
        <v>15</v>
      </c>
      <c r="D1189" s="4" t="s">
        <v>162</v>
      </c>
      <c r="E1189" s="4" t="s">
        <v>17</v>
      </c>
      <c r="F1189" s="4" t="s">
        <v>18</v>
      </c>
      <c r="G1189" s="5">
        <v>0.9</v>
      </c>
      <c r="H1189" s="5">
        <v>0.8</v>
      </c>
      <c r="I1189" s="5">
        <v>0.05</v>
      </c>
      <c r="J1189" s="6">
        <v>0.37931034482758619</v>
      </c>
      <c r="K1189" s="6">
        <v>0.8822727272727271</v>
      </c>
      <c r="L1189" s="6">
        <v>0.62419969589057134</v>
      </c>
      <c r="M1189" s="4" t="s">
        <v>94</v>
      </c>
      <c r="N1189" s="5">
        <v>0.1347239414235375</v>
      </c>
      <c r="O1189" s="4">
        <v>0</v>
      </c>
    </row>
    <row r="1190" spans="1:15" x14ac:dyDescent="0.3">
      <c r="A1190" s="4">
        <v>397</v>
      </c>
      <c r="B1190" s="4">
        <v>397000</v>
      </c>
      <c r="C1190" s="4" t="s">
        <v>15</v>
      </c>
      <c r="D1190" s="4" t="s">
        <v>16</v>
      </c>
      <c r="E1190" s="4" t="s">
        <v>17</v>
      </c>
      <c r="F1190" s="4" t="s">
        <v>18</v>
      </c>
      <c r="G1190" s="5">
        <v>0.1</v>
      </c>
      <c r="H1190" s="5">
        <v>0.4</v>
      </c>
      <c r="I1190" s="5">
        <v>0.05</v>
      </c>
      <c r="J1190" s="6">
        <v>0.7068965517241379</v>
      </c>
      <c r="K1190" s="6">
        <v>0.76219512195121941</v>
      </c>
      <c r="L1190" s="6">
        <v>0.60580147664223738</v>
      </c>
      <c r="M1190" s="4" t="s">
        <v>90</v>
      </c>
      <c r="N1190" s="5">
        <v>0.15839967441632891</v>
      </c>
      <c r="O1190" s="4">
        <v>1</v>
      </c>
    </row>
    <row r="1191" spans="1:15" x14ac:dyDescent="0.3">
      <c r="A1191" s="4">
        <v>397</v>
      </c>
      <c r="B1191" s="4">
        <v>397000</v>
      </c>
      <c r="C1191" s="4" t="s">
        <v>15</v>
      </c>
      <c r="D1191" s="4" t="s">
        <v>161</v>
      </c>
      <c r="E1191" s="4" t="s">
        <v>17</v>
      </c>
      <c r="F1191" s="4" t="s">
        <v>18</v>
      </c>
      <c r="G1191" s="5">
        <v>0.54444444444444451</v>
      </c>
      <c r="H1191" s="5">
        <v>0.4</v>
      </c>
      <c r="I1191" s="5">
        <v>0.05</v>
      </c>
      <c r="J1191" s="6">
        <v>0.58620689655172409</v>
      </c>
      <c r="K1191" s="6">
        <v>0.83323529411764696</v>
      </c>
      <c r="L1191" s="6">
        <v>0.72626747025802951</v>
      </c>
      <c r="M1191" s="4" t="s">
        <v>90</v>
      </c>
      <c r="N1191" s="5">
        <v>0.15839967441632891</v>
      </c>
      <c r="O1191" s="4">
        <v>1</v>
      </c>
    </row>
    <row r="1192" spans="1:15" x14ac:dyDescent="0.3">
      <c r="A1192" s="4">
        <v>397</v>
      </c>
      <c r="B1192" s="4">
        <v>397000</v>
      </c>
      <c r="C1192" s="4" t="s">
        <v>15</v>
      </c>
      <c r="D1192" s="4" t="s">
        <v>162</v>
      </c>
      <c r="E1192" s="4" t="s">
        <v>17</v>
      </c>
      <c r="F1192" s="4" t="s">
        <v>18</v>
      </c>
      <c r="G1192" s="5">
        <v>0.9</v>
      </c>
      <c r="H1192" s="5">
        <v>0.4</v>
      </c>
      <c r="I1192" s="5">
        <v>0.05</v>
      </c>
      <c r="J1192" s="6">
        <v>0.41379310344827591</v>
      </c>
      <c r="K1192" s="6">
        <v>0.84374999999999989</v>
      </c>
      <c r="L1192" s="6">
        <v>0.62402453966996452</v>
      </c>
      <c r="M1192" s="4" t="s">
        <v>90</v>
      </c>
      <c r="N1192" s="5">
        <v>0.15839967441632891</v>
      </c>
      <c r="O1192" s="4">
        <v>1</v>
      </c>
    </row>
    <row r="1193" spans="1:15" x14ac:dyDescent="0.3">
      <c r="A1193" s="4">
        <v>398</v>
      </c>
      <c r="B1193" s="4">
        <v>398000</v>
      </c>
      <c r="C1193" s="4" t="s">
        <v>15</v>
      </c>
      <c r="D1193" s="4" t="s">
        <v>16</v>
      </c>
      <c r="E1193" s="4" t="s">
        <v>17</v>
      </c>
      <c r="F1193" s="4" t="s">
        <v>18</v>
      </c>
      <c r="G1193" s="5">
        <v>0.1</v>
      </c>
      <c r="H1193" s="5">
        <v>0.4</v>
      </c>
      <c r="I1193" s="5">
        <v>0.05</v>
      </c>
      <c r="J1193" s="6">
        <v>0.64912280701754388</v>
      </c>
      <c r="K1193" s="6">
        <v>0.78540540540540538</v>
      </c>
      <c r="L1193" s="6">
        <v>0.65864513850495399</v>
      </c>
      <c r="M1193" s="4" t="s">
        <v>19</v>
      </c>
      <c r="N1193" s="5">
        <v>1</v>
      </c>
      <c r="O1193" s="4">
        <v>1</v>
      </c>
    </row>
    <row r="1194" spans="1:15" x14ac:dyDescent="0.3">
      <c r="A1194" s="4">
        <v>398</v>
      </c>
      <c r="B1194" s="4">
        <v>398000</v>
      </c>
      <c r="C1194" s="4" t="s">
        <v>15</v>
      </c>
      <c r="D1194" s="4" t="s">
        <v>161</v>
      </c>
      <c r="E1194" s="4" t="s">
        <v>17</v>
      </c>
      <c r="F1194" s="4" t="s">
        <v>18</v>
      </c>
      <c r="G1194" s="5">
        <v>0.54444444444444451</v>
      </c>
      <c r="H1194" s="5">
        <v>0.4</v>
      </c>
      <c r="I1194" s="5">
        <v>0.05</v>
      </c>
      <c r="J1194" s="6">
        <v>0.59649122807017541</v>
      </c>
      <c r="K1194" s="6">
        <v>0.81588235294117639</v>
      </c>
      <c r="L1194" s="6">
        <v>0.758534327897186</v>
      </c>
      <c r="M1194" s="4" t="s">
        <v>19</v>
      </c>
      <c r="N1194" s="5">
        <v>1</v>
      </c>
      <c r="O1194" s="4">
        <v>1</v>
      </c>
    </row>
    <row r="1195" spans="1:15" x14ac:dyDescent="0.3">
      <c r="A1195" s="4">
        <v>398</v>
      </c>
      <c r="B1195" s="4">
        <v>398000</v>
      </c>
      <c r="C1195" s="4" t="s">
        <v>15</v>
      </c>
      <c r="D1195" s="4" t="s">
        <v>162</v>
      </c>
      <c r="E1195" s="4" t="s">
        <v>17</v>
      </c>
      <c r="F1195" s="4" t="s">
        <v>18</v>
      </c>
      <c r="G1195" s="5">
        <v>0.81111111111111112</v>
      </c>
      <c r="H1195" s="5">
        <v>0.4</v>
      </c>
      <c r="I1195" s="5">
        <v>0.05</v>
      </c>
      <c r="J1195" s="6">
        <v>0.47368421052631582</v>
      </c>
      <c r="K1195" s="6">
        <v>0.83999999999999986</v>
      </c>
      <c r="L1195" s="6">
        <v>0.64192574913183498</v>
      </c>
      <c r="M1195" s="4" t="s">
        <v>19</v>
      </c>
      <c r="N1195" s="5">
        <v>1</v>
      </c>
      <c r="O1195" s="4">
        <v>1</v>
      </c>
    </row>
    <row r="1196" spans="1:15" x14ac:dyDescent="0.3">
      <c r="A1196" s="4">
        <v>399</v>
      </c>
      <c r="B1196" s="4">
        <v>399000</v>
      </c>
      <c r="C1196" s="4" t="s">
        <v>15</v>
      </c>
      <c r="D1196" s="4" t="s">
        <v>16</v>
      </c>
      <c r="E1196" s="4" t="s">
        <v>17</v>
      </c>
      <c r="F1196" s="4" t="s">
        <v>18</v>
      </c>
      <c r="G1196" s="5">
        <v>0.1</v>
      </c>
      <c r="H1196" s="5">
        <v>0.4</v>
      </c>
      <c r="I1196" s="5">
        <v>0.05</v>
      </c>
      <c r="J1196" s="6">
        <v>0.63492063492063489</v>
      </c>
      <c r="K1196" s="6">
        <v>0.7955000000000001</v>
      </c>
      <c r="L1196" s="6">
        <v>0.68241481735701492</v>
      </c>
      <c r="M1196" s="4" t="s">
        <v>19</v>
      </c>
      <c r="N1196" s="5">
        <v>1</v>
      </c>
      <c r="O1196" s="4">
        <v>1</v>
      </c>
    </row>
    <row r="1197" spans="1:15" x14ac:dyDescent="0.3">
      <c r="A1197" s="4">
        <v>399</v>
      </c>
      <c r="B1197" s="4">
        <v>399000</v>
      </c>
      <c r="C1197" s="4" t="s">
        <v>15</v>
      </c>
      <c r="D1197" s="4" t="s">
        <v>161</v>
      </c>
      <c r="E1197" s="4" t="s">
        <v>17</v>
      </c>
      <c r="F1197" s="4" t="s">
        <v>18</v>
      </c>
      <c r="G1197" s="5">
        <v>0.54444444444444451</v>
      </c>
      <c r="H1197" s="5">
        <v>0.4</v>
      </c>
      <c r="I1197" s="5">
        <v>0.05</v>
      </c>
      <c r="J1197" s="6">
        <v>0.5714285714285714</v>
      </c>
      <c r="K1197" s="6">
        <v>0.83277777777777773</v>
      </c>
      <c r="L1197" s="6">
        <v>0.76519259193715272</v>
      </c>
      <c r="M1197" s="4" t="s">
        <v>19</v>
      </c>
      <c r="N1197" s="5">
        <v>1</v>
      </c>
      <c r="O1197" s="4">
        <v>1</v>
      </c>
    </row>
    <row r="1198" spans="1:15" x14ac:dyDescent="0.3">
      <c r="A1198" s="4">
        <v>399</v>
      </c>
      <c r="B1198" s="4">
        <v>399000</v>
      </c>
      <c r="C1198" s="4" t="s">
        <v>15</v>
      </c>
      <c r="D1198" s="4" t="s">
        <v>162</v>
      </c>
      <c r="E1198" s="4" t="s">
        <v>17</v>
      </c>
      <c r="F1198" s="4" t="s">
        <v>18</v>
      </c>
      <c r="G1198" s="5">
        <v>0.81111111111111112</v>
      </c>
      <c r="H1198" s="5">
        <v>0.4</v>
      </c>
      <c r="I1198" s="5">
        <v>0.05</v>
      </c>
      <c r="J1198" s="6">
        <v>0.47619047619047622</v>
      </c>
      <c r="K1198" s="6">
        <v>0.85533333333333306</v>
      </c>
      <c r="L1198" s="6">
        <v>0.69040998354630401</v>
      </c>
      <c r="M1198" s="4" t="s">
        <v>19</v>
      </c>
      <c r="N1198" s="5">
        <v>1</v>
      </c>
      <c r="O1198" s="4">
        <v>1</v>
      </c>
    </row>
    <row r="1199" spans="1:15" x14ac:dyDescent="0.3">
      <c r="A1199" s="4">
        <v>400</v>
      </c>
      <c r="B1199" s="4">
        <v>400000</v>
      </c>
      <c r="C1199" s="4" t="s">
        <v>15</v>
      </c>
      <c r="D1199" s="4" t="s">
        <v>16</v>
      </c>
      <c r="E1199" s="4" t="s">
        <v>17</v>
      </c>
      <c r="F1199" s="4" t="s">
        <v>18</v>
      </c>
      <c r="G1199" s="5">
        <v>0.1</v>
      </c>
      <c r="H1199" s="5">
        <v>0.4</v>
      </c>
      <c r="I1199" s="5">
        <v>0.05</v>
      </c>
      <c r="J1199" s="6">
        <v>0.625</v>
      </c>
      <c r="K1199" s="6">
        <v>0.7751111111111112</v>
      </c>
      <c r="L1199" s="6">
        <v>0.64169105343491151</v>
      </c>
      <c r="M1199" s="4" t="s">
        <v>137</v>
      </c>
      <c r="N1199" s="5">
        <v>0.13680898963121471</v>
      </c>
      <c r="O1199" s="4">
        <v>0</v>
      </c>
    </row>
    <row r="1200" spans="1:15" x14ac:dyDescent="0.3">
      <c r="A1200" s="4">
        <v>400</v>
      </c>
      <c r="B1200" s="4">
        <v>400000</v>
      </c>
      <c r="C1200" s="4" t="s">
        <v>15</v>
      </c>
      <c r="D1200" s="4" t="s">
        <v>161</v>
      </c>
      <c r="E1200" s="4" t="s">
        <v>17</v>
      </c>
      <c r="F1200" s="4" t="s">
        <v>18</v>
      </c>
      <c r="G1200" s="5">
        <v>0.54444444444444451</v>
      </c>
      <c r="H1200" s="5">
        <v>0.4</v>
      </c>
      <c r="I1200" s="5">
        <v>0.05</v>
      </c>
      <c r="J1200" s="6">
        <v>0.51388888888888884</v>
      </c>
      <c r="K1200" s="6">
        <v>0.8464864864864865</v>
      </c>
      <c r="L1200" s="6">
        <v>0.75924726491206762</v>
      </c>
      <c r="M1200" s="4" t="s">
        <v>137</v>
      </c>
      <c r="N1200" s="5">
        <v>0.13680898963121471</v>
      </c>
      <c r="O1200" s="4">
        <v>0</v>
      </c>
    </row>
    <row r="1201" spans="1:15" x14ac:dyDescent="0.3">
      <c r="A1201" s="4">
        <v>400</v>
      </c>
      <c r="B1201" s="4">
        <v>400000</v>
      </c>
      <c r="C1201" s="4" t="s">
        <v>15</v>
      </c>
      <c r="D1201" s="4" t="s">
        <v>162</v>
      </c>
      <c r="E1201" s="4" t="s">
        <v>17</v>
      </c>
      <c r="F1201" s="4" t="s">
        <v>18</v>
      </c>
      <c r="G1201" s="5">
        <v>0.81111111111111112</v>
      </c>
      <c r="H1201" s="5">
        <v>0.4</v>
      </c>
      <c r="I1201" s="5">
        <v>0.05</v>
      </c>
      <c r="J1201" s="6">
        <v>0.44444444444444442</v>
      </c>
      <c r="K1201" s="6">
        <v>0.86093749999999991</v>
      </c>
      <c r="L1201" s="6">
        <v>0.68647637861461119</v>
      </c>
      <c r="M1201" s="4" t="s">
        <v>137</v>
      </c>
      <c r="N1201" s="5">
        <v>0.13680898963121471</v>
      </c>
      <c r="O1201" s="4">
        <v>0</v>
      </c>
    </row>
    <row r="1202" spans="1:15" x14ac:dyDescent="0.3">
      <c r="A1202" s="4">
        <v>401</v>
      </c>
      <c r="B1202" s="4">
        <v>401000</v>
      </c>
      <c r="C1202" s="4" t="s">
        <v>15</v>
      </c>
      <c r="D1202" s="4" t="s">
        <v>16</v>
      </c>
      <c r="E1202" s="4" t="s">
        <v>17</v>
      </c>
      <c r="F1202" s="4" t="s">
        <v>18</v>
      </c>
      <c r="G1202" s="5">
        <v>0.1</v>
      </c>
      <c r="H1202" s="5">
        <v>0.4</v>
      </c>
      <c r="I1202" s="5">
        <v>0.05</v>
      </c>
      <c r="J1202" s="6">
        <v>0.69117647058823528</v>
      </c>
      <c r="K1202" s="6">
        <v>0.77914893617021286</v>
      </c>
      <c r="L1202" s="6">
        <v>0.63159395996063428</v>
      </c>
      <c r="M1202" s="4" t="s">
        <v>147</v>
      </c>
      <c r="N1202" s="5">
        <v>0.15185955134467891</v>
      </c>
      <c r="O1202" s="4">
        <v>1</v>
      </c>
    </row>
    <row r="1203" spans="1:15" x14ac:dyDescent="0.3">
      <c r="A1203" s="4">
        <v>401</v>
      </c>
      <c r="B1203" s="4">
        <v>401000</v>
      </c>
      <c r="C1203" s="4" t="s">
        <v>15</v>
      </c>
      <c r="D1203" s="4" t="s">
        <v>161</v>
      </c>
      <c r="E1203" s="4" t="s">
        <v>17</v>
      </c>
      <c r="F1203" s="4" t="s">
        <v>18</v>
      </c>
      <c r="G1203" s="5">
        <v>0.72222222222222221</v>
      </c>
      <c r="H1203" s="5">
        <v>0.4</v>
      </c>
      <c r="I1203" s="5">
        <v>0.05</v>
      </c>
      <c r="J1203" s="6">
        <v>0.51470588235294112</v>
      </c>
      <c r="K1203" s="6">
        <v>0.85771428571428554</v>
      </c>
      <c r="L1203" s="6">
        <v>0.73395112618742697</v>
      </c>
      <c r="M1203" s="4" t="s">
        <v>147</v>
      </c>
      <c r="N1203" s="5">
        <v>0.15185955134467891</v>
      </c>
      <c r="O1203" s="4">
        <v>1</v>
      </c>
    </row>
    <row r="1204" spans="1:15" x14ac:dyDescent="0.3">
      <c r="A1204" s="4">
        <v>401</v>
      </c>
      <c r="B1204" s="4">
        <v>401000</v>
      </c>
      <c r="C1204" s="4" t="s">
        <v>15</v>
      </c>
      <c r="D1204" s="4" t="s">
        <v>162</v>
      </c>
      <c r="E1204" s="4" t="s">
        <v>17</v>
      </c>
      <c r="F1204" s="4" t="s">
        <v>18</v>
      </c>
      <c r="G1204" s="5">
        <v>0.9</v>
      </c>
      <c r="H1204" s="5">
        <v>0.4</v>
      </c>
      <c r="I1204" s="5">
        <v>0.05</v>
      </c>
      <c r="J1204" s="6">
        <v>0.41176470588235292</v>
      </c>
      <c r="K1204" s="6">
        <v>0.8610714285714286</v>
      </c>
      <c r="L1204" s="6">
        <v>0.67293350548867858</v>
      </c>
      <c r="M1204" s="4" t="s">
        <v>147</v>
      </c>
      <c r="N1204" s="5">
        <v>0.15185955134467891</v>
      </c>
      <c r="O1204" s="4">
        <v>1</v>
      </c>
    </row>
    <row r="1205" spans="1:15" x14ac:dyDescent="0.3">
      <c r="A1205" s="4">
        <v>402</v>
      </c>
      <c r="B1205" s="4">
        <v>402000</v>
      </c>
      <c r="C1205" s="4" t="s">
        <v>15</v>
      </c>
      <c r="D1205" s="4" t="s">
        <v>16</v>
      </c>
      <c r="E1205" s="4" t="s">
        <v>17</v>
      </c>
      <c r="F1205" s="4" t="s">
        <v>18</v>
      </c>
      <c r="G1205" s="5">
        <v>0.1</v>
      </c>
      <c r="H1205" s="5">
        <v>0.4</v>
      </c>
      <c r="I1205" s="5">
        <v>0.05</v>
      </c>
      <c r="J1205" s="6">
        <v>0.73913043478260865</v>
      </c>
      <c r="K1205" s="6">
        <v>0.76431372549019616</v>
      </c>
      <c r="L1205" s="6">
        <v>0.63289898519263887</v>
      </c>
      <c r="M1205" s="4" t="s">
        <v>50</v>
      </c>
      <c r="N1205" s="5">
        <v>8.4912910332739774E-2</v>
      </c>
      <c r="O1205" s="4">
        <v>0</v>
      </c>
    </row>
    <row r="1206" spans="1:15" x14ac:dyDescent="0.3">
      <c r="A1206" s="4">
        <v>402</v>
      </c>
      <c r="B1206" s="4">
        <v>402000</v>
      </c>
      <c r="C1206" s="4" t="s">
        <v>15</v>
      </c>
      <c r="D1206" s="4" t="s">
        <v>161</v>
      </c>
      <c r="E1206" s="4" t="s">
        <v>17</v>
      </c>
      <c r="F1206" s="4" t="s">
        <v>18</v>
      </c>
      <c r="G1206" s="5">
        <v>0.72222222222222221</v>
      </c>
      <c r="H1206" s="5">
        <v>0.4</v>
      </c>
      <c r="I1206" s="5">
        <v>0.05</v>
      </c>
      <c r="J1206" s="6">
        <v>0.53623188405797106</v>
      </c>
      <c r="K1206" s="6">
        <v>0.85729729729729709</v>
      </c>
      <c r="L1206" s="6">
        <v>0.76403440727916638</v>
      </c>
      <c r="M1206" s="4" t="s">
        <v>50</v>
      </c>
      <c r="N1206" s="5">
        <v>8.4912910332739774E-2</v>
      </c>
      <c r="O1206" s="4">
        <v>0</v>
      </c>
    </row>
    <row r="1207" spans="1:15" x14ac:dyDescent="0.3">
      <c r="A1207" s="4">
        <v>402</v>
      </c>
      <c r="B1207" s="4">
        <v>402000</v>
      </c>
      <c r="C1207" s="4" t="s">
        <v>15</v>
      </c>
      <c r="D1207" s="4" t="s">
        <v>162</v>
      </c>
      <c r="E1207" s="4" t="s">
        <v>17</v>
      </c>
      <c r="F1207" s="4" t="s">
        <v>18</v>
      </c>
      <c r="G1207" s="5">
        <v>0.9</v>
      </c>
      <c r="H1207" s="5">
        <v>0.4</v>
      </c>
      <c r="I1207" s="5">
        <v>0.05</v>
      </c>
      <c r="J1207" s="6">
        <v>0.39130434782608697</v>
      </c>
      <c r="K1207" s="6">
        <v>0.86111111111111094</v>
      </c>
      <c r="L1207" s="6">
        <v>0.75024974165697411</v>
      </c>
      <c r="M1207" s="4" t="s">
        <v>50</v>
      </c>
      <c r="N1207" s="5">
        <v>8.4912910332739774E-2</v>
      </c>
      <c r="O1207" s="4">
        <v>0</v>
      </c>
    </row>
    <row r="1208" spans="1:15" x14ac:dyDescent="0.3">
      <c r="A1208" s="4">
        <v>403</v>
      </c>
      <c r="B1208" s="4">
        <v>403000</v>
      </c>
      <c r="C1208" s="4" t="s">
        <v>15</v>
      </c>
      <c r="D1208" s="4" t="s">
        <v>16</v>
      </c>
      <c r="E1208" s="4" t="s">
        <v>17</v>
      </c>
      <c r="F1208" s="4" t="s">
        <v>18</v>
      </c>
      <c r="G1208" s="5">
        <v>0.1</v>
      </c>
      <c r="H1208" s="5">
        <v>0.4</v>
      </c>
      <c r="I1208" s="5">
        <v>0.05</v>
      </c>
      <c r="J1208" s="6">
        <v>0.69230769230769229</v>
      </c>
      <c r="K1208" s="6">
        <v>0.78400000000000003</v>
      </c>
      <c r="L1208" s="6">
        <v>0.64623268138469425</v>
      </c>
      <c r="M1208" s="4" t="s">
        <v>112</v>
      </c>
      <c r="N1208" s="5">
        <v>0.12322038303248101</v>
      </c>
      <c r="O1208" s="4">
        <v>0</v>
      </c>
    </row>
    <row r="1209" spans="1:15" x14ac:dyDescent="0.3">
      <c r="A1209" s="4">
        <v>403</v>
      </c>
      <c r="B1209" s="4">
        <v>403000</v>
      </c>
      <c r="C1209" s="4" t="s">
        <v>15</v>
      </c>
      <c r="D1209" s="4" t="s">
        <v>161</v>
      </c>
      <c r="E1209" s="4" t="s">
        <v>17</v>
      </c>
      <c r="F1209" s="4" t="s">
        <v>18</v>
      </c>
      <c r="G1209" s="5">
        <v>0.72222222222222221</v>
      </c>
      <c r="H1209" s="5">
        <v>0.4</v>
      </c>
      <c r="I1209" s="5">
        <v>0.05</v>
      </c>
      <c r="J1209" s="6">
        <v>0.55384615384615388</v>
      </c>
      <c r="K1209" s="6">
        <v>0.85499999999999987</v>
      </c>
      <c r="L1209" s="6">
        <v>0.75186028182438747</v>
      </c>
      <c r="M1209" s="4" t="s">
        <v>112</v>
      </c>
      <c r="N1209" s="5">
        <v>0.12322038303248101</v>
      </c>
      <c r="O1209" s="4">
        <v>0</v>
      </c>
    </row>
    <row r="1210" spans="1:15" x14ac:dyDescent="0.3">
      <c r="A1210" s="4">
        <v>403</v>
      </c>
      <c r="B1210" s="4">
        <v>403000</v>
      </c>
      <c r="C1210" s="4" t="s">
        <v>15</v>
      </c>
      <c r="D1210" s="4" t="s">
        <v>162</v>
      </c>
      <c r="E1210" s="4" t="s">
        <v>17</v>
      </c>
      <c r="F1210" s="4" t="s">
        <v>18</v>
      </c>
      <c r="G1210" s="5">
        <v>0.9</v>
      </c>
      <c r="H1210" s="5">
        <v>0.4</v>
      </c>
      <c r="I1210" s="5">
        <v>0.05</v>
      </c>
      <c r="J1210" s="6">
        <v>0.44615384615384618</v>
      </c>
      <c r="K1210" s="6">
        <v>0.86448275862068968</v>
      </c>
      <c r="L1210" s="6">
        <v>0.76376460541916269</v>
      </c>
      <c r="M1210" s="4" t="s">
        <v>112</v>
      </c>
      <c r="N1210" s="5">
        <v>0.12322038303248101</v>
      </c>
      <c r="O1210" s="4">
        <v>0</v>
      </c>
    </row>
    <row r="1211" spans="1:15" x14ac:dyDescent="0.3">
      <c r="A1211" s="4">
        <v>404</v>
      </c>
      <c r="B1211" s="4">
        <v>404000</v>
      </c>
      <c r="C1211" s="4" t="s">
        <v>15</v>
      </c>
      <c r="D1211" s="4" t="s">
        <v>16</v>
      </c>
      <c r="E1211" s="4" t="s">
        <v>17</v>
      </c>
      <c r="F1211" s="4" t="s">
        <v>18</v>
      </c>
      <c r="G1211" s="5">
        <v>0.1</v>
      </c>
      <c r="H1211" s="5">
        <v>0.4</v>
      </c>
      <c r="I1211" s="5">
        <v>0.05</v>
      </c>
      <c r="J1211" s="6">
        <v>0.72580645161290325</v>
      </c>
      <c r="K1211" s="6">
        <v>0.79866666666666675</v>
      </c>
      <c r="L1211" s="6">
        <v>0.71250923737863348</v>
      </c>
      <c r="M1211" s="4" t="s">
        <v>147</v>
      </c>
      <c r="N1211" s="5">
        <v>0.1524296833999616</v>
      </c>
      <c r="O1211" s="4">
        <v>1</v>
      </c>
    </row>
    <row r="1212" spans="1:15" x14ac:dyDescent="0.3">
      <c r="A1212" s="4">
        <v>404</v>
      </c>
      <c r="B1212" s="4">
        <v>404000</v>
      </c>
      <c r="C1212" s="4" t="s">
        <v>15</v>
      </c>
      <c r="D1212" s="4" t="s">
        <v>161</v>
      </c>
      <c r="E1212" s="4" t="s">
        <v>17</v>
      </c>
      <c r="F1212" s="4" t="s">
        <v>18</v>
      </c>
      <c r="G1212" s="5">
        <v>0.72222222222222221</v>
      </c>
      <c r="H1212" s="5">
        <v>0.4</v>
      </c>
      <c r="I1212" s="5">
        <v>0.05</v>
      </c>
      <c r="J1212" s="6">
        <v>0.59677419354838712</v>
      </c>
      <c r="K1212" s="6">
        <v>0.85486486486486479</v>
      </c>
      <c r="L1212" s="6">
        <v>0.79338786823351815</v>
      </c>
      <c r="M1212" s="4" t="s">
        <v>147</v>
      </c>
      <c r="N1212" s="5">
        <v>0.1524296833999616</v>
      </c>
      <c r="O1212" s="4">
        <v>1</v>
      </c>
    </row>
    <row r="1213" spans="1:15" x14ac:dyDescent="0.3">
      <c r="A1213" s="4">
        <v>404</v>
      </c>
      <c r="B1213" s="4">
        <v>404000</v>
      </c>
      <c r="C1213" s="4" t="s">
        <v>15</v>
      </c>
      <c r="D1213" s="4" t="s">
        <v>162</v>
      </c>
      <c r="E1213" s="4" t="s">
        <v>17</v>
      </c>
      <c r="F1213" s="4" t="s">
        <v>18</v>
      </c>
      <c r="G1213" s="5">
        <v>0.81111111111111112</v>
      </c>
      <c r="H1213" s="5">
        <v>0.4</v>
      </c>
      <c r="I1213" s="5">
        <v>0.05</v>
      </c>
      <c r="J1213" s="6">
        <v>0.54838709677419351</v>
      </c>
      <c r="K1213" s="6">
        <v>0.86264705882352921</v>
      </c>
      <c r="L1213" s="6">
        <v>0.76309702542724034</v>
      </c>
      <c r="M1213" s="4" t="s">
        <v>147</v>
      </c>
      <c r="N1213" s="5">
        <v>0.1524296833999616</v>
      </c>
      <c r="O1213" s="4">
        <v>1</v>
      </c>
    </row>
    <row r="1214" spans="1:15" x14ac:dyDescent="0.3">
      <c r="A1214" s="4">
        <v>405</v>
      </c>
      <c r="B1214" s="4">
        <v>405000</v>
      </c>
      <c r="C1214" s="4" t="s">
        <v>15</v>
      </c>
      <c r="D1214" s="4" t="s">
        <v>16</v>
      </c>
      <c r="E1214" s="4" t="s">
        <v>17</v>
      </c>
      <c r="F1214" s="4" t="s">
        <v>18</v>
      </c>
      <c r="G1214" s="5">
        <v>0.1</v>
      </c>
      <c r="H1214" s="5">
        <v>0.4</v>
      </c>
      <c r="I1214" s="5">
        <v>0.05</v>
      </c>
      <c r="J1214" s="6">
        <v>0.74576271186440679</v>
      </c>
      <c r="K1214" s="6">
        <v>0.7893181818181817</v>
      </c>
      <c r="L1214" s="6">
        <v>0.60675014513037528</v>
      </c>
      <c r="M1214" s="4" t="s">
        <v>19</v>
      </c>
      <c r="N1214" s="5">
        <v>1</v>
      </c>
      <c r="O1214" s="4">
        <v>1</v>
      </c>
    </row>
    <row r="1215" spans="1:15" x14ac:dyDescent="0.3">
      <c r="A1215" s="4">
        <v>405</v>
      </c>
      <c r="B1215" s="4">
        <v>405000</v>
      </c>
      <c r="C1215" s="4" t="s">
        <v>15</v>
      </c>
      <c r="D1215" s="4" t="s">
        <v>161</v>
      </c>
      <c r="E1215" s="4" t="s">
        <v>17</v>
      </c>
      <c r="F1215" s="4" t="s">
        <v>18</v>
      </c>
      <c r="G1215" s="5">
        <v>0.9</v>
      </c>
      <c r="H1215" s="5">
        <v>0.4</v>
      </c>
      <c r="I1215" s="5">
        <v>0.05</v>
      </c>
      <c r="J1215" s="6">
        <v>0.49152542372881358</v>
      </c>
      <c r="K1215" s="6">
        <v>0.86034482758620678</v>
      </c>
      <c r="L1215" s="6">
        <v>0.78135427572038452</v>
      </c>
      <c r="M1215" s="4" t="s">
        <v>19</v>
      </c>
      <c r="N1215" s="5">
        <v>1</v>
      </c>
      <c r="O1215" s="4">
        <v>1</v>
      </c>
    </row>
    <row r="1216" spans="1:15" x14ac:dyDescent="0.3">
      <c r="A1216" s="4">
        <v>405</v>
      </c>
      <c r="B1216" s="4">
        <v>405000</v>
      </c>
      <c r="C1216" s="4" t="s">
        <v>15</v>
      </c>
      <c r="D1216" s="4" t="s">
        <v>162</v>
      </c>
      <c r="E1216" s="4" t="s">
        <v>17</v>
      </c>
      <c r="F1216" s="4" t="s">
        <v>18</v>
      </c>
      <c r="G1216" s="5">
        <v>0.9</v>
      </c>
      <c r="H1216" s="5">
        <v>0.4</v>
      </c>
      <c r="I1216" s="5">
        <v>0.05</v>
      </c>
      <c r="J1216" s="6">
        <v>0.49152542372881358</v>
      </c>
      <c r="K1216" s="6">
        <v>0.86034482758620678</v>
      </c>
      <c r="L1216" s="6">
        <v>0.78135427572038452</v>
      </c>
      <c r="M1216" s="4" t="s">
        <v>19</v>
      </c>
      <c r="N1216" s="5">
        <v>1</v>
      </c>
      <c r="O1216" s="4">
        <v>1</v>
      </c>
    </row>
    <row r="1217" spans="1:15" x14ac:dyDescent="0.3">
      <c r="A1217" s="4">
        <v>406</v>
      </c>
      <c r="B1217" s="4">
        <v>406000</v>
      </c>
      <c r="C1217" s="4" t="s">
        <v>15</v>
      </c>
      <c r="D1217" s="4" t="s">
        <v>16</v>
      </c>
      <c r="E1217" s="4" t="s">
        <v>17</v>
      </c>
      <c r="F1217" s="4" t="s">
        <v>18</v>
      </c>
      <c r="G1217" s="5">
        <v>0.1</v>
      </c>
      <c r="H1217" s="5">
        <v>0.4</v>
      </c>
      <c r="I1217" s="5">
        <v>0.05</v>
      </c>
      <c r="J1217" s="6">
        <v>0.77586206896551724</v>
      </c>
      <c r="K1217" s="6">
        <v>0.74755555555555542</v>
      </c>
      <c r="L1217" s="6">
        <v>0.56490577367305228</v>
      </c>
      <c r="M1217" s="4" t="s">
        <v>19</v>
      </c>
      <c r="N1217" s="5">
        <v>1</v>
      </c>
      <c r="O1217" s="4">
        <v>1</v>
      </c>
    </row>
    <row r="1218" spans="1:15" x14ac:dyDescent="0.3">
      <c r="A1218" s="4">
        <v>406</v>
      </c>
      <c r="B1218" s="4">
        <v>406000</v>
      </c>
      <c r="C1218" s="4" t="s">
        <v>15</v>
      </c>
      <c r="D1218" s="4" t="s">
        <v>161</v>
      </c>
      <c r="E1218" s="4" t="s">
        <v>17</v>
      </c>
      <c r="F1218" s="4" t="s">
        <v>18</v>
      </c>
      <c r="G1218" s="5">
        <v>0.81111111111111112</v>
      </c>
      <c r="H1218" s="5">
        <v>0.4</v>
      </c>
      <c r="I1218" s="5">
        <v>0.05</v>
      </c>
      <c r="J1218" s="6">
        <v>0.55172413793103448</v>
      </c>
      <c r="K1218" s="6">
        <v>0.82687499999999992</v>
      </c>
      <c r="L1218" s="6">
        <v>0.74293738618576044</v>
      </c>
      <c r="M1218" s="4" t="s">
        <v>19</v>
      </c>
      <c r="N1218" s="5">
        <v>1</v>
      </c>
      <c r="O1218" s="4">
        <v>1</v>
      </c>
    </row>
    <row r="1219" spans="1:15" x14ac:dyDescent="0.3">
      <c r="A1219" s="4">
        <v>406</v>
      </c>
      <c r="B1219" s="4">
        <v>406000</v>
      </c>
      <c r="C1219" s="4" t="s">
        <v>15</v>
      </c>
      <c r="D1219" s="4" t="s">
        <v>162</v>
      </c>
      <c r="E1219" s="4" t="s">
        <v>17</v>
      </c>
      <c r="F1219" s="4" t="s">
        <v>18</v>
      </c>
      <c r="G1219" s="5">
        <v>0.9</v>
      </c>
      <c r="H1219" s="5">
        <v>0.60000000000000009</v>
      </c>
      <c r="I1219" s="5">
        <v>0.05</v>
      </c>
      <c r="J1219" s="6">
        <v>0.46551724137931028</v>
      </c>
      <c r="K1219" s="6">
        <v>0.85370370370370374</v>
      </c>
      <c r="L1219" s="6">
        <v>0.73995279624326804</v>
      </c>
      <c r="M1219" s="4" t="s">
        <v>19</v>
      </c>
      <c r="N1219" s="5">
        <v>1</v>
      </c>
      <c r="O1219" s="4">
        <v>1</v>
      </c>
    </row>
    <row r="1220" spans="1:15" x14ac:dyDescent="0.3">
      <c r="A1220" s="4">
        <v>407</v>
      </c>
      <c r="B1220" s="4">
        <v>407000</v>
      </c>
      <c r="C1220" s="4" t="s">
        <v>15</v>
      </c>
      <c r="D1220" s="4" t="s">
        <v>16</v>
      </c>
      <c r="E1220" s="4" t="s">
        <v>17</v>
      </c>
      <c r="F1220" s="4" t="s">
        <v>18</v>
      </c>
      <c r="G1220" s="5">
        <v>0.1</v>
      </c>
      <c r="H1220" s="5">
        <v>0.4</v>
      </c>
      <c r="I1220" s="5">
        <v>0.05</v>
      </c>
      <c r="J1220" s="6">
        <v>0.67692307692307696</v>
      </c>
      <c r="K1220" s="6">
        <v>0.73272727272727256</v>
      </c>
      <c r="L1220" s="6">
        <v>0.57509056900837874</v>
      </c>
      <c r="M1220" s="4" t="s">
        <v>22</v>
      </c>
      <c r="N1220" s="5">
        <v>9.3826213834182839E-2</v>
      </c>
      <c r="O1220" s="4">
        <v>0</v>
      </c>
    </row>
    <row r="1221" spans="1:15" x14ac:dyDescent="0.3">
      <c r="A1221" s="4">
        <v>407</v>
      </c>
      <c r="B1221" s="4">
        <v>407000</v>
      </c>
      <c r="C1221" s="4" t="s">
        <v>15</v>
      </c>
      <c r="D1221" s="4" t="s">
        <v>161</v>
      </c>
      <c r="E1221" s="4" t="s">
        <v>17</v>
      </c>
      <c r="F1221" s="4" t="s">
        <v>18</v>
      </c>
      <c r="G1221" s="5">
        <v>0.81111111111111112</v>
      </c>
      <c r="H1221" s="5">
        <v>0.4</v>
      </c>
      <c r="I1221" s="5">
        <v>0.05</v>
      </c>
      <c r="J1221" s="6">
        <v>0.47692307692307689</v>
      </c>
      <c r="K1221" s="6">
        <v>0.82483870967741924</v>
      </c>
      <c r="L1221" s="6">
        <v>0.73820660499674207</v>
      </c>
      <c r="M1221" s="4" t="s">
        <v>22</v>
      </c>
      <c r="N1221" s="5">
        <v>9.3826213834182839E-2</v>
      </c>
      <c r="O1221" s="4">
        <v>0</v>
      </c>
    </row>
    <row r="1222" spans="1:15" x14ac:dyDescent="0.3">
      <c r="A1222" s="4">
        <v>407</v>
      </c>
      <c r="B1222" s="4">
        <v>407000</v>
      </c>
      <c r="C1222" s="4" t="s">
        <v>15</v>
      </c>
      <c r="D1222" s="4" t="s">
        <v>162</v>
      </c>
      <c r="E1222" s="4" t="s">
        <v>17</v>
      </c>
      <c r="F1222" s="4" t="s">
        <v>18</v>
      </c>
      <c r="G1222" s="5">
        <v>0.9</v>
      </c>
      <c r="H1222" s="5">
        <v>0.60000000000000009</v>
      </c>
      <c r="I1222" s="5">
        <v>0.05</v>
      </c>
      <c r="J1222" s="6">
        <v>0.41538461538461541</v>
      </c>
      <c r="K1222" s="6">
        <v>0.82074074074074077</v>
      </c>
      <c r="L1222" s="6">
        <v>0.69903157503776703</v>
      </c>
      <c r="M1222" s="4" t="s">
        <v>22</v>
      </c>
      <c r="N1222" s="5">
        <v>9.3826213834182839E-2</v>
      </c>
      <c r="O1222" s="4">
        <v>0</v>
      </c>
    </row>
    <row r="1223" spans="1:15" x14ac:dyDescent="0.3">
      <c r="A1223" s="4">
        <v>408</v>
      </c>
      <c r="B1223" s="4">
        <v>408000</v>
      </c>
      <c r="C1223" s="4" t="s">
        <v>15</v>
      </c>
      <c r="D1223" s="4" t="s">
        <v>16</v>
      </c>
      <c r="E1223" s="4" t="s">
        <v>17</v>
      </c>
      <c r="F1223" s="4" t="s">
        <v>18</v>
      </c>
      <c r="G1223" s="5">
        <v>0.1</v>
      </c>
      <c r="H1223" s="5">
        <v>0.4</v>
      </c>
      <c r="I1223" s="5">
        <v>0.05</v>
      </c>
      <c r="J1223" s="6">
        <v>0.70769230769230773</v>
      </c>
      <c r="K1223" s="6">
        <v>0.73304347826086969</v>
      </c>
      <c r="L1223" s="6">
        <v>0.5880480527857449</v>
      </c>
      <c r="M1223" s="4" t="s">
        <v>19</v>
      </c>
      <c r="N1223" s="5">
        <v>1</v>
      </c>
      <c r="O1223" s="4">
        <v>1</v>
      </c>
    </row>
    <row r="1224" spans="1:15" x14ac:dyDescent="0.3">
      <c r="A1224" s="4">
        <v>408</v>
      </c>
      <c r="B1224" s="4">
        <v>408000</v>
      </c>
      <c r="C1224" s="4" t="s">
        <v>15</v>
      </c>
      <c r="D1224" s="4" t="s">
        <v>161</v>
      </c>
      <c r="E1224" s="4" t="s">
        <v>17</v>
      </c>
      <c r="F1224" s="4" t="s">
        <v>18</v>
      </c>
      <c r="G1224" s="5">
        <v>0.54444444444444451</v>
      </c>
      <c r="H1224" s="5">
        <v>0.8</v>
      </c>
      <c r="I1224" s="5">
        <v>0.05</v>
      </c>
      <c r="J1224" s="6">
        <v>0.53846153846153844</v>
      </c>
      <c r="K1224" s="6">
        <v>0.86142857142857143</v>
      </c>
      <c r="L1224" s="6">
        <v>0.78307076553754773</v>
      </c>
      <c r="M1224" s="4" t="s">
        <v>19</v>
      </c>
      <c r="N1224" s="5">
        <v>1</v>
      </c>
      <c r="O1224" s="4">
        <v>1</v>
      </c>
    </row>
    <row r="1225" spans="1:15" x14ac:dyDescent="0.3">
      <c r="A1225" s="4">
        <v>408</v>
      </c>
      <c r="B1225" s="4">
        <v>408000</v>
      </c>
      <c r="C1225" s="4" t="s">
        <v>15</v>
      </c>
      <c r="D1225" s="4" t="s">
        <v>162</v>
      </c>
      <c r="E1225" s="4" t="s">
        <v>17</v>
      </c>
      <c r="F1225" s="4" t="s">
        <v>18</v>
      </c>
      <c r="G1225" s="5">
        <v>0.9</v>
      </c>
      <c r="H1225" s="5">
        <v>0.8</v>
      </c>
      <c r="I1225" s="5">
        <v>0.05</v>
      </c>
      <c r="J1225" s="6">
        <v>0.35384615384615392</v>
      </c>
      <c r="K1225" s="6">
        <v>0.88652173913043464</v>
      </c>
      <c r="L1225" s="6">
        <v>0.61124506205847984</v>
      </c>
      <c r="M1225" s="4" t="s">
        <v>19</v>
      </c>
      <c r="N1225" s="5">
        <v>1</v>
      </c>
      <c r="O1225" s="4">
        <v>1</v>
      </c>
    </row>
    <row r="1226" spans="1:15" x14ac:dyDescent="0.3">
      <c r="A1226" s="4">
        <v>409</v>
      </c>
      <c r="B1226" s="4">
        <v>409000</v>
      </c>
      <c r="C1226" s="4" t="s">
        <v>15</v>
      </c>
      <c r="D1226" s="4" t="s">
        <v>16</v>
      </c>
      <c r="E1226" s="4" t="s">
        <v>17</v>
      </c>
      <c r="F1226" s="4" t="s">
        <v>18</v>
      </c>
      <c r="G1226" s="5">
        <v>0.1</v>
      </c>
      <c r="H1226" s="5">
        <v>0.4</v>
      </c>
      <c r="I1226" s="5">
        <v>0.05</v>
      </c>
      <c r="J1226" s="6">
        <v>0.69696969696969702</v>
      </c>
      <c r="K1226" s="6">
        <v>0.74891304347826082</v>
      </c>
      <c r="L1226" s="6">
        <v>0.61982240736718841</v>
      </c>
      <c r="M1226" s="4" t="s">
        <v>93</v>
      </c>
      <c r="N1226" s="5">
        <v>0.1051215568661734</v>
      </c>
      <c r="O1226" s="4">
        <v>0</v>
      </c>
    </row>
    <row r="1227" spans="1:15" x14ac:dyDescent="0.3">
      <c r="A1227" s="4">
        <v>409</v>
      </c>
      <c r="B1227" s="4">
        <v>409000</v>
      </c>
      <c r="C1227" s="4" t="s">
        <v>15</v>
      </c>
      <c r="D1227" s="4" t="s">
        <v>161</v>
      </c>
      <c r="E1227" s="4" t="s">
        <v>17</v>
      </c>
      <c r="F1227" s="4" t="s">
        <v>18</v>
      </c>
      <c r="G1227" s="5">
        <v>0.54444444444444451</v>
      </c>
      <c r="H1227" s="5">
        <v>0.8</v>
      </c>
      <c r="I1227" s="5">
        <v>0.05</v>
      </c>
      <c r="J1227" s="6">
        <v>0.53030303030303028</v>
      </c>
      <c r="K1227" s="6">
        <v>0.87171428571428544</v>
      </c>
      <c r="L1227" s="6">
        <v>0.7986534406408603</v>
      </c>
      <c r="M1227" s="4" t="s">
        <v>93</v>
      </c>
      <c r="N1227" s="5">
        <v>0.1051215568661734</v>
      </c>
      <c r="O1227" s="4">
        <v>0</v>
      </c>
    </row>
    <row r="1228" spans="1:15" x14ac:dyDescent="0.3">
      <c r="A1228" s="4">
        <v>409</v>
      </c>
      <c r="B1228" s="4">
        <v>409000</v>
      </c>
      <c r="C1228" s="4" t="s">
        <v>15</v>
      </c>
      <c r="D1228" s="4" t="s">
        <v>162</v>
      </c>
      <c r="E1228" s="4" t="s">
        <v>17</v>
      </c>
      <c r="F1228" s="4" t="s">
        <v>18</v>
      </c>
      <c r="G1228" s="5">
        <v>0.9</v>
      </c>
      <c r="H1228" s="5">
        <v>0.8</v>
      </c>
      <c r="I1228" s="5">
        <v>0.05</v>
      </c>
      <c r="J1228" s="6">
        <v>0.39393939393939392</v>
      </c>
      <c r="K1228" s="6">
        <v>0.89076923076923065</v>
      </c>
      <c r="L1228" s="6">
        <v>0.67651228226019533</v>
      </c>
      <c r="M1228" s="4" t="s">
        <v>93</v>
      </c>
      <c r="N1228" s="5">
        <v>0.1051215568661734</v>
      </c>
      <c r="O1228" s="4">
        <v>0</v>
      </c>
    </row>
    <row r="1229" spans="1:15" x14ac:dyDescent="0.3">
      <c r="A1229" s="4">
        <v>410</v>
      </c>
      <c r="B1229" s="4">
        <v>410000</v>
      </c>
      <c r="C1229" s="4" t="s">
        <v>15</v>
      </c>
      <c r="D1229" s="4" t="s">
        <v>16</v>
      </c>
      <c r="E1229" s="4" t="s">
        <v>17</v>
      </c>
      <c r="F1229" s="4" t="s">
        <v>18</v>
      </c>
      <c r="G1229" s="5">
        <v>0.1</v>
      </c>
      <c r="H1229" s="5">
        <v>0.4</v>
      </c>
      <c r="I1229" s="5">
        <v>0.05</v>
      </c>
      <c r="J1229" s="6">
        <v>0.61764705882352944</v>
      </c>
      <c r="K1229" s="6">
        <v>0.80380952380952375</v>
      </c>
      <c r="L1229" s="6">
        <v>0.71349003616729945</v>
      </c>
      <c r="M1229" s="4" t="s">
        <v>19</v>
      </c>
      <c r="N1229" s="5">
        <v>1</v>
      </c>
      <c r="O1229" s="4">
        <v>1</v>
      </c>
    </row>
    <row r="1230" spans="1:15" x14ac:dyDescent="0.3">
      <c r="A1230" s="4">
        <v>410</v>
      </c>
      <c r="B1230" s="4">
        <v>410000</v>
      </c>
      <c r="C1230" s="4" t="s">
        <v>15</v>
      </c>
      <c r="D1230" s="4" t="s">
        <v>161</v>
      </c>
      <c r="E1230" s="4" t="s">
        <v>17</v>
      </c>
      <c r="F1230" s="4" t="s">
        <v>18</v>
      </c>
      <c r="G1230" s="5">
        <v>0.27777777777777779</v>
      </c>
      <c r="H1230" s="5">
        <v>0.8</v>
      </c>
      <c r="I1230" s="5">
        <v>0.05</v>
      </c>
      <c r="J1230" s="6">
        <v>0.58823529411764708</v>
      </c>
      <c r="K1230" s="6">
        <v>0.83850000000000002</v>
      </c>
      <c r="L1230" s="6">
        <v>0.81245565388291718</v>
      </c>
      <c r="M1230" s="4" t="s">
        <v>19</v>
      </c>
      <c r="N1230" s="5">
        <v>1</v>
      </c>
      <c r="O1230" s="4">
        <v>1</v>
      </c>
    </row>
    <row r="1231" spans="1:15" x14ac:dyDescent="0.3">
      <c r="A1231" s="4">
        <v>410</v>
      </c>
      <c r="B1231" s="4">
        <v>410000</v>
      </c>
      <c r="C1231" s="4" t="s">
        <v>15</v>
      </c>
      <c r="D1231" s="4" t="s">
        <v>162</v>
      </c>
      <c r="E1231" s="4" t="s">
        <v>17</v>
      </c>
      <c r="F1231" s="4" t="s">
        <v>18</v>
      </c>
      <c r="G1231" s="5">
        <v>0.9</v>
      </c>
      <c r="H1231" s="5">
        <v>0.8</v>
      </c>
      <c r="I1231" s="5">
        <v>0.05</v>
      </c>
      <c r="J1231" s="6">
        <v>0.38235294117647062</v>
      </c>
      <c r="K1231" s="6">
        <v>0.88961538461538425</v>
      </c>
      <c r="L1231" s="6">
        <v>0.73555149847757051</v>
      </c>
      <c r="M1231" s="4" t="s">
        <v>19</v>
      </c>
      <c r="N1231" s="5">
        <v>1</v>
      </c>
      <c r="O1231" s="4">
        <v>1</v>
      </c>
    </row>
    <row r="1232" spans="1:15" x14ac:dyDescent="0.3">
      <c r="A1232" s="4">
        <v>411</v>
      </c>
      <c r="B1232" s="4">
        <v>411000</v>
      </c>
      <c r="C1232" s="4" t="s">
        <v>15</v>
      </c>
      <c r="D1232" s="4" t="s">
        <v>16</v>
      </c>
      <c r="E1232" s="4" t="s">
        <v>17</v>
      </c>
      <c r="F1232" s="4" t="s">
        <v>18</v>
      </c>
      <c r="G1232" s="5">
        <v>0.1</v>
      </c>
      <c r="H1232" s="5">
        <v>0.4</v>
      </c>
      <c r="I1232" s="5">
        <v>0.05</v>
      </c>
      <c r="J1232" s="6">
        <v>0.6428571428571429</v>
      </c>
      <c r="K1232" s="6">
        <v>0.78866666666666652</v>
      </c>
      <c r="L1232" s="6">
        <v>0.72978409505770292</v>
      </c>
      <c r="M1232" s="4" t="s">
        <v>50</v>
      </c>
      <c r="N1232" s="5">
        <v>8.4968342512731443E-2</v>
      </c>
      <c r="O1232" s="4">
        <v>0</v>
      </c>
    </row>
    <row r="1233" spans="1:15" x14ac:dyDescent="0.3">
      <c r="A1233" s="4">
        <v>411</v>
      </c>
      <c r="B1233" s="4">
        <v>411000</v>
      </c>
      <c r="C1233" s="4" t="s">
        <v>15</v>
      </c>
      <c r="D1233" s="4" t="s">
        <v>161</v>
      </c>
      <c r="E1233" s="4" t="s">
        <v>17</v>
      </c>
      <c r="F1233" s="4" t="s">
        <v>18</v>
      </c>
      <c r="G1233" s="5">
        <v>0.27777777777777779</v>
      </c>
      <c r="H1233" s="5">
        <v>0.8</v>
      </c>
      <c r="I1233" s="5">
        <v>0.05</v>
      </c>
      <c r="J1233" s="6">
        <v>0.62857142857142856</v>
      </c>
      <c r="K1233" s="6">
        <v>0.80136363636363628</v>
      </c>
      <c r="L1233" s="6">
        <v>0.80862668765029555</v>
      </c>
      <c r="M1233" s="4" t="s">
        <v>50</v>
      </c>
      <c r="N1233" s="5">
        <v>8.4968342512731443E-2</v>
      </c>
      <c r="O1233" s="4">
        <v>0</v>
      </c>
    </row>
    <row r="1234" spans="1:15" x14ac:dyDescent="0.3">
      <c r="A1234" s="4">
        <v>411</v>
      </c>
      <c r="B1234" s="4">
        <v>411000</v>
      </c>
      <c r="C1234" s="4" t="s">
        <v>15</v>
      </c>
      <c r="D1234" s="4" t="s">
        <v>162</v>
      </c>
      <c r="E1234" s="4" t="s">
        <v>17</v>
      </c>
      <c r="F1234" s="4" t="s">
        <v>18</v>
      </c>
      <c r="G1234" s="5">
        <v>0.9</v>
      </c>
      <c r="H1234" s="5">
        <v>0.8</v>
      </c>
      <c r="I1234" s="5">
        <v>0.05</v>
      </c>
      <c r="J1234" s="6">
        <v>0.4</v>
      </c>
      <c r="K1234" s="6">
        <v>0.86071428571428554</v>
      </c>
      <c r="L1234" s="6">
        <v>0.76904713207144826</v>
      </c>
      <c r="M1234" s="4" t="s">
        <v>50</v>
      </c>
      <c r="N1234" s="5">
        <v>8.4968342512731443E-2</v>
      </c>
      <c r="O1234" s="4">
        <v>0</v>
      </c>
    </row>
    <row r="1235" spans="1:15" x14ac:dyDescent="0.3">
      <c r="A1235" s="4">
        <v>412</v>
      </c>
      <c r="B1235" s="4">
        <v>412000</v>
      </c>
      <c r="C1235" s="4" t="s">
        <v>15</v>
      </c>
      <c r="D1235" s="4" t="s">
        <v>16</v>
      </c>
      <c r="E1235" s="4" t="s">
        <v>17</v>
      </c>
      <c r="F1235" s="4" t="s">
        <v>18</v>
      </c>
      <c r="G1235" s="5">
        <v>0.1</v>
      </c>
      <c r="H1235" s="5">
        <v>0.4</v>
      </c>
      <c r="I1235" s="5">
        <v>0.05</v>
      </c>
      <c r="J1235" s="6">
        <v>0.61971830985915488</v>
      </c>
      <c r="K1235" s="6">
        <v>0.79068181818181815</v>
      </c>
      <c r="L1235" s="6">
        <v>0.67091958008096286</v>
      </c>
      <c r="M1235" s="4" t="s">
        <v>142</v>
      </c>
      <c r="N1235" s="5">
        <v>0.1098775851874243</v>
      </c>
      <c r="O1235" s="4">
        <v>0</v>
      </c>
    </row>
    <row r="1236" spans="1:15" x14ac:dyDescent="0.3">
      <c r="A1236" s="4">
        <v>412</v>
      </c>
      <c r="B1236" s="4">
        <v>412000</v>
      </c>
      <c r="C1236" s="4" t="s">
        <v>15</v>
      </c>
      <c r="D1236" s="4" t="s">
        <v>161</v>
      </c>
      <c r="E1236" s="4" t="s">
        <v>17</v>
      </c>
      <c r="F1236" s="4" t="s">
        <v>18</v>
      </c>
      <c r="G1236" s="5">
        <v>0.27777777777777779</v>
      </c>
      <c r="H1236" s="5">
        <v>0.8</v>
      </c>
      <c r="I1236" s="5">
        <v>0.05</v>
      </c>
      <c r="J1236" s="6">
        <v>0.60563380281690138</v>
      </c>
      <c r="K1236" s="6">
        <v>0.80348837209302315</v>
      </c>
      <c r="L1236" s="6">
        <v>0.71972189109663376</v>
      </c>
      <c r="M1236" s="4" t="s">
        <v>142</v>
      </c>
      <c r="N1236" s="5">
        <v>0.1098775851874243</v>
      </c>
      <c r="O1236" s="4">
        <v>0</v>
      </c>
    </row>
    <row r="1237" spans="1:15" x14ac:dyDescent="0.3">
      <c r="A1237" s="4">
        <v>412</v>
      </c>
      <c r="B1237" s="4">
        <v>412000</v>
      </c>
      <c r="C1237" s="4" t="s">
        <v>15</v>
      </c>
      <c r="D1237" s="4" t="s">
        <v>162</v>
      </c>
      <c r="E1237" s="4" t="s">
        <v>17</v>
      </c>
      <c r="F1237" s="4" t="s">
        <v>18</v>
      </c>
      <c r="G1237" s="5">
        <v>0.9</v>
      </c>
      <c r="H1237" s="5">
        <v>0.8</v>
      </c>
      <c r="I1237" s="5">
        <v>0.05</v>
      </c>
      <c r="J1237" s="6">
        <v>0.38028169014084512</v>
      </c>
      <c r="K1237" s="6">
        <v>0.85703703703703693</v>
      </c>
      <c r="L1237" s="6">
        <v>0.76403244271999005</v>
      </c>
      <c r="M1237" s="4" t="s">
        <v>142</v>
      </c>
      <c r="N1237" s="5">
        <v>0.1098775851874243</v>
      </c>
      <c r="O1237" s="4">
        <v>0</v>
      </c>
    </row>
    <row r="1238" spans="1:15" x14ac:dyDescent="0.3">
      <c r="A1238" s="4">
        <v>413</v>
      </c>
      <c r="B1238" s="4">
        <v>413000</v>
      </c>
      <c r="C1238" s="4" t="s">
        <v>15</v>
      </c>
      <c r="D1238" s="4" t="s">
        <v>16</v>
      </c>
      <c r="E1238" s="4" t="s">
        <v>17</v>
      </c>
      <c r="F1238" s="4" t="s">
        <v>18</v>
      </c>
      <c r="G1238" s="5">
        <v>0.1</v>
      </c>
      <c r="H1238" s="5">
        <v>0.4</v>
      </c>
      <c r="I1238" s="5">
        <v>0.05</v>
      </c>
      <c r="J1238" s="6">
        <v>0.64473684210526316</v>
      </c>
      <c r="K1238" s="6">
        <v>0.7846938775510206</v>
      </c>
      <c r="L1238" s="6">
        <v>0.68368569300271231</v>
      </c>
      <c r="M1238" s="4" t="s">
        <v>88</v>
      </c>
      <c r="N1238" s="5">
        <v>0.14797721779737971</v>
      </c>
      <c r="O1238" s="4">
        <v>0</v>
      </c>
    </row>
    <row r="1239" spans="1:15" x14ac:dyDescent="0.3">
      <c r="A1239" s="4">
        <v>413</v>
      </c>
      <c r="B1239" s="4">
        <v>413000</v>
      </c>
      <c r="C1239" s="4" t="s">
        <v>15</v>
      </c>
      <c r="D1239" s="4" t="s">
        <v>161</v>
      </c>
      <c r="E1239" s="4" t="s">
        <v>17</v>
      </c>
      <c r="F1239" s="4" t="s">
        <v>18</v>
      </c>
      <c r="G1239" s="5">
        <v>0.27777777777777779</v>
      </c>
      <c r="H1239" s="5">
        <v>0.8</v>
      </c>
      <c r="I1239" s="5">
        <v>0.05</v>
      </c>
      <c r="J1239" s="6">
        <v>0.63157894736842102</v>
      </c>
      <c r="K1239" s="6">
        <v>0.79895833333333355</v>
      </c>
      <c r="L1239" s="6">
        <v>0.69709268867264129</v>
      </c>
      <c r="M1239" s="4" t="s">
        <v>88</v>
      </c>
      <c r="N1239" s="5">
        <v>0.14797721779737971</v>
      </c>
      <c r="O1239" s="4">
        <v>0</v>
      </c>
    </row>
    <row r="1240" spans="1:15" x14ac:dyDescent="0.3">
      <c r="A1240" s="4">
        <v>413</v>
      </c>
      <c r="B1240" s="4">
        <v>413000</v>
      </c>
      <c r="C1240" s="4" t="s">
        <v>15</v>
      </c>
      <c r="D1240" s="4" t="s">
        <v>162</v>
      </c>
      <c r="E1240" s="4" t="s">
        <v>17</v>
      </c>
      <c r="F1240" s="4" t="s">
        <v>18</v>
      </c>
      <c r="G1240" s="5">
        <v>0.9</v>
      </c>
      <c r="H1240" s="5">
        <v>0.8</v>
      </c>
      <c r="I1240" s="5">
        <v>0.05</v>
      </c>
      <c r="J1240" s="6">
        <v>0.35526315789473678</v>
      </c>
      <c r="K1240" s="6">
        <v>0.85851851851851835</v>
      </c>
      <c r="L1240" s="6">
        <v>0.75553818687877039</v>
      </c>
      <c r="M1240" s="4" t="s">
        <v>88</v>
      </c>
      <c r="N1240" s="5">
        <v>0.14797721779737971</v>
      </c>
      <c r="O1240" s="4">
        <v>0</v>
      </c>
    </row>
    <row r="1241" spans="1:15" x14ac:dyDescent="0.3">
      <c r="A1241" s="4">
        <v>414</v>
      </c>
      <c r="B1241" s="4">
        <v>414000</v>
      </c>
      <c r="C1241" s="4" t="s">
        <v>15</v>
      </c>
      <c r="D1241" s="4" t="s">
        <v>16</v>
      </c>
      <c r="E1241" s="4" t="s">
        <v>17</v>
      </c>
      <c r="F1241" s="4" t="s">
        <v>18</v>
      </c>
      <c r="G1241" s="5">
        <v>0.1</v>
      </c>
      <c r="H1241" s="5">
        <v>0.4</v>
      </c>
      <c r="I1241" s="5">
        <v>0.05</v>
      </c>
      <c r="J1241" s="6">
        <v>0.67142857142857137</v>
      </c>
      <c r="K1241" s="6">
        <v>0.8119148936170214</v>
      </c>
      <c r="L1241" s="6">
        <v>0.648396584208768</v>
      </c>
      <c r="M1241" s="4" t="s">
        <v>135</v>
      </c>
      <c r="N1241" s="5">
        <v>0.1439936474326052</v>
      </c>
      <c r="O1241" s="4">
        <v>0</v>
      </c>
    </row>
    <row r="1242" spans="1:15" x14ac:dyDescent="0.3">
      <c r="A1242" s="4">
        <v>414</v>
      </c>
      <c r="B1242" s="4">
        <v>414000</v>
      </c>
      <c r="C1242" s="4" t="s">
        <v>15</v>
      </c>
      <c r="D1242" s="4" t="s">
        <v>161</v>
      </c>
      <c r="E1242" s="4" t="s">
        <v>17</v>
      </c>
      <c r="F1242" s="4" t="s">
        <v>18</v>
      </c>
      <c r="G1242" s="5">
        <v>0.27777777777777779</v>
      </c>
      <c r="H1242" s="5">
        <v>0.8</v>
      </c>
      <c r="I1242" s="5">
        <v>0.05</v>
      </c>
      <c r="J1242" s="6">
        <v>0.67142857142857137</v>
      </c>
      <c r="K1242" s="6">
        <v>0.8119148936170214</v>
      </c>
      <c r="L1242" s="6">
        <v>0.648396584208768</v>
      </c>
      <c r="M1242" s="4" t="s">
        <v>135</v>
      </c>
      <c r="N1242" s="5">
        <v>0.1439936474326052</v>
      </c>
      <c r="O1242" s="4">
        <v>0</v>
      </c>
    </row>
    <row r="1243" spans="1:15" x14ac:dyDescent="0.3">
      <c r="A1243" s="4">
        <v>414</v>
      </c>
      <c r="B1243" s="4">
        <v>414000</v>
      </c>
      <c r="C1243" s="4" t="s">
        <v>15</v>
      </c>
      <c r="D1243" s="4" t="s">
        <v>162</v>
      </c>
      <c r="E1243" s="4" t="s">
        <v>17</v>
      </c>
      <c r="F1243" s="4" t="s">
        <v>18</v>
      </c>
      <c r="G1243" s="5">
        <v>0.9</v>
      </c>
      <c r="H1243" s="5">
        <v>0.8</v>
      </c>
      <c r="I1243" s="5">
        <v>0.05</v>
      </c>
      <c r="J1243" s="6">
        <v>0.38571428571428568</v>
      </c>
      <c r="K1243" s="6">
        <v>0.85925925925925895</v>
      </c>
      <c r="L1243" s="6">
        <v>0.76743762420971684</v>
      </c>
      <c r="M1243" s="4" t="s">
        <v>135</v>
      </c>
      <c r="N1243" s="5">
        <v>0.1439936474326052</v>
      </c>
      <c r="O1243" s="4">
        <v>0</v>
      </c>
    </row>
    <row r="1244" spans="1:15" x14ac:dyDescent="0.3">
      <c r="A1244" s="4">
        <v>415</v>
      </c>
      <c r="B1244" s="4">
        <v>415000</v>
      </c>
      <c r="C1244" s="4" t="s">
        <v>15</v>
      </c>
      <c r="D1244" s="4" t="s">
        <v>16</v>
      </c>
      <c r="E1244" s="4" t="s">
        <v>17</v>
      </c>
      <c r="F1244" s="4" t="s">
        <v>18</v>
      </c>
      <c r="G1244" s="5">
        <v>0.1</v>
      </c>
      <c r="H1244" s="5">
        <v>0.4</v>
      </c>
      <c r="I1244" s="5">
        <v>0.05</v>
      </c>
      <c r="J1244" s="6">
        <v>0.703125</v>
      </c>
      <c r="K1244" s="6">
        <v>0.78488888888888908</v>
      </c>
      <c r="L1244" s="6">
        <v>0.58915671993066399</v>
      </c>
      <c r="M1244" s="4" t="s">
        <v>19</v>
      </c>
      <c r="N1244" s="5">
        <v>1</v>
      </c>
      <c r="O1244" s="4">
        <v>1</v>
      </c>
    </row>
    <row r="1245" spans="1:15" x14ac:dyDescent="0.3">
      <c r="A1245" s="4">
        <v>415</v>
      </c>
      <c r="B1245" s="4">
        <v>415000</v>
      </c>
      <c r="C1245" s="4" t="s">
        <v>15</v>
      </c>
      <c r="D1245" s="4" t="s">
        <v>161</v>
      </c>
      <c r="E1245" s="4" t="s">
        <v>17</v>
      </c>
      <c r="F1245" s="4" t="s">
        <v>18</v>
      </c>
      <c r="G1245" s="5">
        <v>0.81111111111111112</v>
      </c>
      <c r="H1245" s="5">
        <v>0.4</v>
      </c>
      <c r="I1245" s="5">
        <v>0.05</v>
      </c>
      <c r="J1245" s="6">
        <v>0.484375</v>
      </c>
      <c r="K1245" s="6">
        <v>0.85290322580645139</v>
      </c>
      <c r="L1245" s="6">
        <v>0.75342793388944518</v>
      </c>
      <c r="M1245" s="4" t="s">
        <v>19</v>
      </c>
      <c r="N1245" s="5">
        <v>1</v>
      </c>
      <c r="O1245" s="4">
        <v>1</v>
      </c>
    </row>
    <row r="1246" spans="1:15" x14ac:dyDescent="0.3">
      <c r="A1246" s="4">
        <v>415</v>
      </c>
      <c r="B1246" s="4">
        <v>415000</v>
      </c>
      <c r="C1246" s="4" t="s">
        <v>15</v>
      </c>
      <c r="D1246" s="4" t="s">
        <v>162</v>
      </c>
      <c r="E1246" s="4" t="s">
        <v>17</v>
      </c>
      <c r="F1246" s="4" t="s">
        <v>18</v>
      </c>
      <c r="G1246" s="5">
        <v>0.81111111111111112</v>
      </c>
      <c r="H1246" s="5">
        <v>0.4</v>
      </c>
      <c r="I1246" s="5">
        <v>0.05</v>
      </c>
      <c r="J1246" s="6">
        <v>0.484375</v>
      </c>
      <c r="K1246" s="6">
        <v>0.85290322580645139</v>
      </c>
      <c r="L1246" s="6">
        <v>0.75342793388944518</v>
      </c>
      <c r="M1246" s="4" t="s">
        <v>19</v>
      </c>
      <c r="N1246" s="5">
        <v>1</v>
      </c>
      <c r="O1246" s="4">
        <v>1</v>
      </c>
    </row>
    <row r="1247" spans="1:15" x14ac:dyDescent="0.3">
      <c r="A1247" s="4">
        <v>416</v>
      </c>
      <c r="B1247" s="4">
        <v>416000</v>
      </c>
      <c r="C1247" s="4" t="s">
        <v>15</v>
      </c>
      <c r="D1247" s="4" t="s">
        <v>16</v>
      </c>
      <c r="E1247" s="4" t="s">
        <v>17</v>
      </c>
      <c r="F1247" s="4" t="s">
        <v>18</v>
      </c>
      <c r="G1247" s="5">
        <v>0.1</v>
      </c>
      <c r="H1247" s="5">
        <v>0.4</v>
      </c>
      <c r="I1247" s="5">
        <v>0.05</v>
      </c>
      <c r="J1247" s="6">
        <v>0.72580645161290325</v>
      </c>
      <c r="K1247" s="6">
        <v>0.7393333333333334</v>
      </c>
      <c r="L1247" s="6">
        <v>0.55540294894655096</v>
      </c>
      <c r="M1247" s="4" t="s">
        <v>19</v>
      </c>
      <c r="N1247" s="5">
        <v>1</v>
      </c>
      <c r="O1247" s="4">
        <v>1</v>
      </c>
    </row>
    <row r="1248" spans="1:15" x14ac:dyDescent="0.3">
      <c r="A1248" s="4">
        <v>416</v>
      </c>
      <c r="B1248" s="4">
        <v>416000</v>
      </c>
      <c r="C1248" s="4" t="s">
        <v>15</v>
      </c>
      <c r="D1248" s="4" t="s">
        <v>161</v>
      </c>
      <c r="E1248" s="4" t="s">
        <v>17</v>
      </c>
      <c r="F1248" s="4" t="s">
        <v>18</v>
      </c>
      <c r="G1248" s="5">
        <v>0.54444444444444451</v>
      </c>
      <c r="H1248" s="5">
        <v>0.60000000000000009</v>
      </c>
      <c r="I1248" s="5">
        <v>0.05</v>
      </c>
      <c r="J1248" s="6">
        <v>0.59677419354838712</v>
      </c>
      <c r="K1248" s="6">
        <v>0.82486486486486488</v>
      </c>
      <c r="L1248" s="6">
        <v>0.75980007473191946</v>
      </c>
      <c r="M1248" s="4" t="s">
        <v>19</v>
      </c>
      <c r="N1248" s="5">
        <v>1</v>
      </c>
      <c r="O1248" s="4">
        <v>1</v>
      </c>
    </row>
    <row r="1249" spans="1:15" x14ac:dyDescent="0.3">
      <c r="A1249" s="4">
        <v>416</v>
      </c>
      <c r="B1249" s="4">
        <v>416000</v>
      </c>
      <c r="C1249" s="4" t="s">
        <v>15</v>
      </c>
      <c r="D1249" s="4" t="s">
        <v>162</v>
      </c>
      <c r="E1249" s="4" t="s">
        <v>17</v>
      </c>
      <c r="F1249" s="4" t="s">
        <v>18</v>
      </c>
      <c r="G1249" s="5">
        <v>0.81111111111111112</v>
      </c>
      <c r="H1249" s="5">
        <v>0.60000000000000009</v>
      </c>
      <c r="I1249" s="5">
        <v>0.05</v>
      </c>
      <c r="J1249" s="6">
        <v>0.45161290322580638</v>
      </c>
      <c r="K1249" s="6">
        <v>0.84928571428571409</v>
      </c>
      <c r="L1249" s="6">
        <v>0.7132562114589146</v>
      </c>
      <c r="M1249" s="4" t="s">
        <v>19</v>
      </c>
      <c r="N1249" s="5">
        <v>1</v>
      </c>
      <c r="O1249" s="4">
        <v>1</v>
      </c>
    </row>
    <row r="1250" spans="1:15" x14ac:dyDescent="0.3">
      <c r="A1250" s="4">
        <v>417</v>
      </c>
      <c r="B1250" s="4">
        <v>417000</v>
      </c>
      <c r="C1250" s="4" t="s">
        <v>15</v>
      </c>
      <c r="D1250" s="4" t="s">
        <v>16</v>
      </c>
      <c r="E1250" s="4" t="s">
        <v>17</v>
      </c>
      <c r="F1250" s="4" t="s">
        <v>18</v>
      </c>
      <c r="G1250" s="5">
        <v>0.1</v>
      </c>
      <c r="H1250" s="5">
        <v>0.4</v>
      </c>
      <c r="I1250" s="5">
        <v>0.05</v>
      </c>
      <c r="J1250" s="6">
        <v>0.68965517241379315</v>
      </c>
      <c r="K1250" s="6">
        <v>0.73949999999999971</v>
      </c>
      <c r="L1250" s="6">
        <v>0.60685702785872986</v>
      </c>
      <c r="M1250" s="4" t="s">
        <v>148</v>
      </c>
      <c r="N1250" s="5">
        <v>0.23355748943770499</v>
      </c>
      <c r="O1250" s="4">
        <v>1</v>
      </c>
    </row>
    <row r="1251" spans="1:15" x14ac:dyDescent="0.3">
      <c r="A1251" s="4">
        <v>417</v>
      </c>
      <c r="B1251" s="4">
        <v>417000</v>
      </c>
      <c r="C1251" s="4" t="s">
        <v>15</v>
      </c>
      <c r="D1251" s="4" t="s">
        <v>161</v>
      </c>
      <c r="E1251" s="4" t="s">
        <v>17</v>
      </c>
      <c r="F1251" s="4" t="s">
        <v>18</v>
      </c>
      <c r="G1251" s="5">
        <v>0.4555555555555556</v>
      </c>
      <c r="H1251" s="5">
        <v>0.60000000000000009</v>
      </c>
      <c r="I1251" s="5">
        <v>0.05</v>
      </c>
      <c r="J1251" s="6">
        <v>0.62068965517241381</v>
      </c>
      <c r="K1251" s="6">
        <v>0.8030555555555553</v>
      </c>
      <c r="L1251" s="6">
        <v>0.75567503407102388</v>
      </c>
      <c r="M1251" s="4" t="s">
        <v>148</v>
      </c>
      <c r="N1251" s="5">
        <v>0.23355748943770499</v>
      </c>
      <c r="O1251" s="4">
        <v>1</v>
      </c>
    </row>
    <row r="1252" spans="1:15" x14ac:dyDescent="0.3">
      <c r="A1252" s="4">
        <v>417</v>
      </c>
      <c r="B1252" s="4">
        <v>417000</v>
      </c>
      <c r="C1252" s="4" t="s">
        <v>15</v>
      </c>
      <c r="D1252" s="4" t="s">
        <v>162</v>
      </c>
      <c r="E1252" s="4" t="s">
        <v>17</v>
      </c>
      <c r="F1252" s="4" t="s">
        <v>18</v>
      </c>
      <c r="G1252" s="5">
        <v>0.81111111111111112</v>
      </c>
      <c r="H1252" s="5">
        <v>0.60000000000000009</v>
      </c>
      <c r="I1252" s="5">
        <v>0.05</v>
      </c>
      <c r="J1252" s="6">
        <v>0.5</v>
      </c>
      <c r="K1252" s="6">
        <v>0.84310344827586181</v>
      </c>
      <c r="L1252" s="6">
        <v>0.72419035343534077</v>
      </c>
      <c r="M1252" s="4" t="s">
        <v>148</v>
      </c>
      <c r="N1252" s="5">
        <v>0.23355748943770499</v>
      </c>
      <c r="O1252" s="4">
        <v>1</v>
      </c>
    </row>
    <row r="1253" spans="1:15" x14ac:dyDescent="0.3">
      <c r="A1253" s="4">
        <v>418</v>
      </c>
      <c r="B1253" s="4">
        <v>418000</v>
      </c>
      <c r="C1253" s="4" t="s">
        <v>15</v>
      </c>
      <c r="D1253" s="4" t="s">
        <v>16</v>
      </c>
      <c r="E1253" s="4" t="s">
        <v>17</v>
      </c>
      <c r="F1253" s="4" t="s">
        <v>18</v>
      </c>
      <c r="G1253" s="5">
        <v>0.1</v>
      </c>
      <c r="H1253" s="5">
        <v>0.4</v>
      </c>
      <c r="I1253" s="5">
        <v>0.05</v>
      </c>
      <c r="J1253" s="6">
        <v>0.7</v>
      </c>
      <c r="K1253" s="6">
        <v>0.75642857142857145</v>
      </c>
      <c r="L1253" s="6">
        <v>0.71069565186160322</v>
      </c>
      <c r="M1253" s="4" t="s">
        <v>124</v>
      </c>
      <c r="N1253" s="5">
        <v>0.16753343952191141</v>
      </c>
      <c r="O1253" s="4">
        <v>1</v>
      </c>
    </row>
    <row r="1254" spans="1:15" x14ac:dyDescent="0.3">
      <c r="A1254" s="4">
        <v>418</v>
      </c>
      <c r="B1254" s="4">
        <v>418000</v>
      </c>
      <c r="C1254" s="4" t="s">
        <v>15</v>
      </c>
      <c r="D1254" s="4" t="s">
        <v>161</v>
      </c>
      <c r="E1254" s="4" t="s">
        <v>17</v>
      </c>
      <c r="F1254" s="4" t="s">
        <v>18</v>
      </c>
      <c r="G1254" s="5">
        <v>0.27777777777777779</v>
      </c>
      <c r="H1254" s="5">
        <v>0.60000000000000009</v>
      </c>
      <c r="I1254" s="5">
        <v>0.05</v>
      </c>
      <c r="J1254" s="6">
        <v>0.65</v>
      </c>
      <c r="K1254" s="6">
        <v>0.80897435897435899</v>
      </c>
      <c r="L1254" s="6">
        <v>0.81162035044793968</v>
      </c>
      <c r="M1254" s="4" t="s">
        <v>124</v>
      </c>
      <c r="N1254" s="5">
        <v>0.16753343952191141</v>
      </c>
      <c r="O1254" s="4">
        <v>1</v>
      </c>
    </row>
    <row r="1255" spans="1:15" x14ac:dyDescent="0.3">
      <c r="A1255" s="4">
        <v>418</v>
      </c>
      <c r="B1255" s="4">
        <v>418000</v>
      </c>
      <c r="C1255" s="4" t="s">
        <v>15</v>
      </c>
      <c r="D1255" s="4" t="s">
        <v>162</v>
      </c>
      <c r="E1255" s="4" t="s">
        <v>17</v>
      </c>
      <c r="F1255" s="4" t="s">
        <v>18</v>
      </c>
      <c r="G1255" s="5">
        <v>0.81111111111111112</v>
      </c>
      <c r="H1255" s="5">
        <v>0.60000000000000009</v>
      </c>
      <c r="I1255" s="5">
        <v>0.05</v>
      </c>
      <c r="J1255" s="6">
        <v>0.5</v>
      </c>
      <c r="K1255" s="6">
        <v>0.85333333333333328</v>
      </c>
      <c r="L1255" s="6">
        <v>0.76598209869975054</v>
      </c>
      <c r="M1255" s="4" t="s">
        <v>124</v>
      </c>
      <c r="N1255" s="5">
        <v>0.16753343952191141</v>
      </c>
      <c r="O1255" s="4">
        <v>1</v>
      </c>
    </row>
    <row r="1256" spans="1:15" x14ac:dyDescent="0.3">
      <c r="A1256" s="4">
        <v>419</v>
      </c>
      <c r="B1256" s="4">
        <v>419000</v>
      </c>
      <c r="C1256" s="4" t="s">
        <v>15</v>
      </c>
      <c r="D1256" s="4" t="s">
        <v>16</v>
      </c>
      <c r="E1256" s="4" t="s">
        <v>17</v>
      </c>
      <c r="F1256" s="4" t="s">
        <v>18</v>
      </c>
      <c r="G1256" s="5">
        <v>0.1</v>
      </c>
      <c r="H1256" s="5">
        <v>0.4</v>
      </c>
      <c r="I1256" s="5">
        <v>0.05</v>
      </c>
      <c r="J1256" s="6">
        <v>0.69230769230769229</v>
      </c>
      <c r="K1256" s="6">
        <v>0.74377777777777776</v>
      </c>
      <c r="L1256" s="6">
        <v>0.60459531314289483</v>
      </c>
      <c r="M1256" s="4" t="s">
        <v>149</v>
      </c>
      <c r="N1256" s="5">
        <v>0.12697421822915381</v>
      </c>
      <c r="O1256" s="4">
        <v>0</v>
      </c>
    </row>
    <row r="1257" spans="1:15" x14ac:dyDescent="0.3">
      <c r="A1257" s="4">
        <v>419</v>
      </c>
      <c r="B1257" s="4">
        <v>419000</v>
      </c>
      <c r="C1257" s="4" t="s">
        <v>15</v>
      </c>
      <c r="D1257" s="4" t="s">
        <v>161</v>
      </c>
      <c r="E1257" s="4" t="s">
        <v>17</v>
      </c>
      <c r="F1257" s="4" t="s">
        <v>18</v>
      </c>
      <c r="G1257" s="5">
        <v>0.27777777777777779</v>
      </c>
      <c r="H1257" s="5">
        <v>0.60000000000000009</v>
      </c>
      <c r="I1257" s="5">
        <v>0.05</v>
      </c>
      <c r="J1257" s="6">
        <v>0.67692307692307696</v>
      </c>
      <c r="K1257" s="6">
        <v>0.76068181818181813</v>
      </c>
      <c r="L1257" s="6">
        <v>0.64662315658917791</v>
      </c>
      <c r="M1257" s="4" t="s">
        <v>149</v>
      </c>
      <c r="N1257" s="5">
        <v>0.12697421822915381</v>
      </c>
      <c r="O1257" s="4">
        <v>0</v>
      </c>
    </row>
    <row r="1258" spans="1:15" x14ac:dyDescent="0.3">
      <c r="A1258" s="4">
        <v>419</v>
      </c>
      <c r="B1258" s="4">
        <v>419000</v>
      </c>
      <c r="C1258" s="4" t="s">
        <v>15</v>
      </c>
      <c r="D1258" s="4" t="s">
        <v>162</v>
      </c>
      <c r="E1258" s="4" t="s">
        <v>17</v>
      </c>
      <c r="F1258" s="4" t="s">
        <v>18</v>
      </c>
      <c r="G1258" s="5">
        <v>0.81111111111111112</v>
      </c>
      <c r="H1258" s="5">
        <v>0.60000000000000009</v>
      </c>
      <c r="I1258" s="5">
        <v>0.05</v>
      </c>
      <c r="J1258" s="6">
        <v>0.49230769230769228</v>
      </c>
      <c r="K1258" s="6">
        <v>0.82593749999999988</v>
      </c>
      <c r="L1258" s="6">
        <v>0.74224680878670912</v>
      </c>
      <c r="M1258" s="4" t="s">
        <v>149</v>
      </c>
      <c r="N1258" s="5">
        <v>0.12697421822915381</v>
      </c>
      <c r="O1258" s="4">
        <v>0</v>
      </c>
    </row>
    <row r="1259" spans="1:15" x14ac:dyDescent="0.3">
      <c r="A1259" s="4">
        <v>420</v>
      </c>
      <c r="B1259" s="4">
        <v>420000</v>
      </c>
      <c r="C1259" s="4" t="s">
        <v>15</v>
      </c>
      <c r="D1259" s="4" t="s">
        <v>16</v>
      </c>
      <c r="E1259" s="4" t="s">
        <v>17</v>
      </c>
      <c r="F1259" s="4" t="s">
        <v>18</v>
      </c>
      <c r="G1259" s="5">
        <v>0.1</v>
      </c>
      <c r="H1259" s="5">
        <v>0.4</v>
      </c>
      <c r="I1259" s="5">
        <v>0.05</v>
      </c>
      <c r="J1259" s="6">
        <v>0.65625</v>
      </c>
      <c r="K1259" s="6">
        <v>0.79380952380952374</v>
      </c>
      <c r="L1259" s="6">
        <v>0.78991301729443542</v>
      </c>
      <c r="M1259" s="4" t="s">
        <v>69</v>
      </c>
      <c r="N1259" s="5">
        <v>0.16253765354727609</v>
      </c>
      <c r="O1259" s="4">
        <v>1</v>
      </c>
    </row>
    <row r="1260" spans="1:15" x14ac:dyDescent="0.3">
      <c r="A1260" s="4">
        <v>420</v>
      </c>
      <c r="B1260" s="4">
        <v>420000</v>
      </c>
      <c r="C1260" s="4" t="s">
        <v>15</v>
      </c>
      <c r="D1260" s="4" t="s">
        <v>161</v>
      </c>
      <c r="E1260" s="4" t="s">
        <v>17</v>
      </c>
      <c r="F1260" s="4" t="s">
        <v>18</v>
      </c>
      <c r="G1260" s="5">
        <v>0.1</v>
      </c>
      <c r="H1260" s="5">
        <v>0.8</v>
      </c>
      <c r="I1260" s="5">
        <v>0.05</v>
      </c>
      <c r="J1260" s="6">
        <v>0.640625</v>
      </c>
      <c r="K1260" s="6">
        <v>0.81317073170731702</v>
      </c>
      <c r="L1260" s="6">
        <v>0.81107703845845658</v>
      </c>
      <c r="M1260" s="4" t="s">
        <v>69</v>
      </c>
      <c r="N1260" s="5">
        <v>0.16253765354727609</v>
      </c>
      <c r="O1260" s="4">
        <v>1</v>
      </c>
    </row>
    <row r="1261" spans="1:15" x14ac:dyDescent="0.3">
      <c r="A1261" s="4">
        <v>420</v>
      </c>
      <c r="B1261" s="4">
        <v>420000</v>
      </c>
      <c r="C1261" s="4" t="s">
        <v>15</v>
      </c>
      <c r="D1261" s="4" t="s">
        <v>162</v>
      </c>
      <c r="E1261" s="4" t="s">
        <v>17</v>
      </c>
      <c r="F1261" s="4" t="s">
        <v>18</v>
      </c>
      <c r="G1261" s="5">
        <v>0.81111111111111112</v>
      </c>
      <c r="H1261" s="5">
        <v>0.8</v>
      </c>
      <c r="I1261" s="5">
        <v>0.05</v>
      </c>
      <c r="J1261" s="6">
        <v>0.484375</v>
      </c>
      <c r="K1261" s="6">
        <v>0.85935483870967744</v>
      </c>
      <c r="L1261" s="6">
        <v>0.77125986784410483</v>
      </c>
      <c r="M1261" s="4" t="s">
        <v>69</v>
      </c>
      <c r="N1261" s="5">
        <v>0.16253765354727609</v>
      </c>
      <c r="O1261" s="4">
        <v>1</v>
      </c>
    </row>
    <row r="1262" spans="1:15" x14ac:dyDescent="0.3">
      <c r="A1262" s="4">
        <v>421</v>
      </c>
      <c r="B1262" s="4">
        <v>421000</v>
      </c>
      <c r="C1262" s="4" t="s">
        <v>15</v>
      </c>
      <c r="D1262" s="4" t="s">
        <v>16</v>
      </c>
      <c r="E1262" s="4" t="s">
        <v>17</v>
      </c>
      <c r="F1262" s="4" t="s">
        <v>18</v>
      </c>
      <c r="G1262" s="5">
        <v>0.1</v>
      </c>
      <c r="H1262" s="5">
        <v>0.4</v>
      </c>
      <c r="I1262" s="5">
        <v>0.05</v>
      </c>
      <c r="J1262" s="6">
        <v>0.70769230769230773</v>
      </c>
      <c r="K1262" s="6">
        <v>0.76891304347826084</v>
      </c>
      <c r="L1262" s="6">
        <v>0.61626382331401774</v>
      </c>
      <c r="M1262" s="4" t="s">
        <v>19</v>
      </c>
      <c r="N1262" s="5">
        <v>1</v>
      </c>
      <c r="O1262" s="4">
        <v>1</v>
      </c>
    </row>
    <row r="1263" spans="1:15" x14ac:dyDescent="0.3">
      <c r="A1263" s="4">
        <v>421</v>
      </c>
      <c r="B1263" s="4">
        <v>421000</v>
      </c>
      <c r="C1263" s="4" t="s">
        <v>15</v>
      </c>
      <c r="D1263" s="4" t="s">
        <v>161</v>
      </c>
      <c r="E1263" s="4" t="s">
        <v>17</v>
      </c>
      <c r="F1263" s="4" t="s">
        <v>18</v>
      </c>
      <c r="G1263" s="5">
        <v>0.72222222222222221</v>
      </c>
      <c r="H1263" s="5">
        <v>0.8</v>
      </c>
      <c r="I1263" s="5">
        <v>0.05</v>
      </c>
      <c r="J1263" s="6">
        <v>0.58461538461538465</v>
      </c>
      <c r="K1263" s="6">
        <v>0.84947368421052616</v>
      </c>
      <c r="L1263" s="6">
        <v>0.80409675126449787</v>
      </c>
      <c r="M1263" s="4" t="s">
        <v>19</v>
      </c>
      <c r="N1263" s="5">
        <v>1</v>
      </c>
      <c r="O1263" s="4">
        <v>1</v>
      </c>
    </row>
    <row r="1264" spans="1:15" x14ac:dyDescent="0.3">
      <c r="A1264" s="4">
        <v>421</v>
      </c>
      <c r="B1264" s="4">
        <v>421000</v>
      </c>
      <c r="C1264" s="4" t="s">
        <v>15</v>
      </c>
      <c r="D1264" s="4" t="s">
        <v>162</v>
      </c>
      <c r="E1264" s="4" t="s">
        <v>17</v>
      </c>
      <c r="F1264" s="4" t="s">
        <v>18</v>
      </c>
      <c r="G1264" s="5">
        <v>0.81111111111111112</v>
      </c>
      <c r="H1264" s="5">
        <v>0.8</v>
      </c>
      <c r="I1264" s="5">
        <v>0.05</v>
      </c>
      <c r="J1264" s="6">
        <v>0.49230769230769228</v>
      </c>
      <c r="K1264" s="6">
        <v>0.86499999999999977</v>
      </c>
      <c r="L1264" s="6">
        <v>0.75575206242113824</v>
      </c>
      <c r="M1264" s="4" t="s">
        <v>19</v>
      </c>
      <c r="N1264" s="5">
        <v>1</v>
      </c>
      <c r="O1264" s="4">
        <v>1</v>
      </c>
    </row>
    <row r="1265" spans="1:15" x14ac:dyDescent="0.3">
      <c r="A1265" s="4">
        <v>422</v>
      </c>
      <c r="B1265" s="4">
        <v>422000</v>
      </c>
      <c r="C1265" s="4" t="s">
        <v>15</v>
      </c>
      <c r="D1265" s="4" t="s">
        <v>16</v>
      </c>
      <c r="E1265" s="4" t="s">
        <v>17</v>
      </c>
      <c r="F1265" s="4" t="s">
        <v>18</v>
      </c>
      <c r="G1265" s="5">
        <v>0.1</v>
      </c>
      <c r="H1265" s="5">
        <v>0.4</v>
      </c>
      <c r="I1265" s="5">
        <v>0.05</v>
      </c>
      <c r="J1265" s="6">
        <v>0.71666666666666667</v>
      </c>
      <c r="K1265" s="6">
        <v>0.79325581395348832</v>
      </c>
      <c r="L1265" s="6">
        <v>0.6467401536329106</v>
      </c>
      <c r="M1265" s="4" t="s">
        <v>150</v>
      </c>
      <c r="N1265" s="5">
        <v>9.4629182924216973E-2</v>
      </c>
      <c r="O1265" s="4">
        <v>0</v>
      </c>
    </row>
    <row r="1266" spans="1:15" x14ac:dyDescent="0.3">
      <c r="A1266" s="4">
        <v>422</v>
      </c>
      <c r="B1266" s="4">
        <v>422000</v>
      </c>
      <c r="C1266" s="4" t="s">
        <v>15</v>
      </c>
      <c r="D1266" s="4" t="s">
        <v>161</v>
      </c>
      <c r="E1266" s="4" t="s">
        <v>17</v>
      </c>
      <c r="F1266" s="4" t="s">
        <v>18</v>
      </c>
      <c r="G1266" s="5">
        <v>0.72222222222222221</v>
      </c>
      <c r="H1266" s="5">
        <v>0.8</v>
      </c>
      <c r="I1266" s="5">
        <v>0.05</v>
      </c>
      <c r="J1266" s="6">
        <v>0.6166666666666667</v>
      </c>
      <c r="K1266" s="6">
        <v>0.85054054054054051</v>
      </c>
      <c r="L1266" s="6">
        <v>0.79443955250455933</v>
      </c>
      <c r="M1266" s="4" t="s">
        <v>150</v>
      </c>
      <c r="N1266" s="5">
        <v>9.4629182924216973E-2</v>
      </c>
      <c r="O1266" s="4">
        <v>0</v>
      </c>
    </row>
    <row r="1267" spans="1:15" x14ac:dyDescent="0.3">
      <c r="A1267" s="4">
        <v>422</v>
      </c>
      <c r="B1267" s="4">
        <v>422000</v>
      </c>
      <c r="C1267" s="4" t="s">
        <v>15</v>
      </c>
      <c r="D1267" s="4" t="s">
        <v>162</v>
      </c>
      <c r="E1267" s="4" t="s">
        <v>17</v>
      </c>
      <c r="F1267" s="4" t="s">
        <v>18</v>
      </c>
      <c r="G1267" s="5">
        <v>0.81111111111111112</v>
      </c>
      <c r="H1267" s="5">
        <v>0.8</v>
      </c>
      <c r="I1267" s="5">
        <v>0.05</v>
      </c>
      <c r="J1267" s="6">
        <v>0.55000000000000004</v>
      </c>
      <c r="K1267" s="6">
        <v>0.86121212121212121</v>
      </c>
      <c r="L1267" s="6">
        <v>0.75947829066163153</v>
      </c>
      <c r="M1267" s="4" t="s">
        <v>150</v>
      </c>
      <c r="N1267" s="5">
        <v>9.4629182924216973E-2</v>
      </c>
      <c r="O1267" s="4">
        <v>0</v>
      </c>
    </row>
    <row r="1268" spans="1:15" x14ac:dyDescent="0.3">
      <c r="A1268" s="4">
        <v>423</v>
      </c>
      <c r="B1268" s="4">
        <v>423000</v>
      </c>
      <c r="C1268" s="4" t="s">
        <v>15</v>
      </c>
      <c r="D1268" s="4" t="s">
        <v>16</v>
      </c>
      <c r="E1268" s="4" t="s">
        <v>17</v>
      </c>
      <c r="F1268" s="4" t="s">
        <v>18</v>
      </c>
      <c r="G1268" s="5">
        <v>0.1</v>
      </c>
      <c r="H1268" s="5">
        <v>0.4</v>
      </c>
      <c r="I1268" s="5">
        <v>0.05</v>
      </c>
      <c r="J1268" s="6">
        <v>0.6470588235294118</v>
      </c>
      <c r="K1268" s="6">
        <v>0.78818181818181798</v>
      </c>
      <c r="L1268" s="6">
        <v>0.63410002837883661</v>
      </c>
      <c r="M1268" s="4" t="s">
        <v>19</v>
      </c>
      <c r="N1268" s="5">
        <v>1</v>
      </c>
      <c r="O1268" s="4">
        <v>1</v>
      </c>
    </row>
    <row r="1269" spans="1:15" x14ac:dyDescent="0.3">
      <c r="A1269" s="4">
        <v>423</v>
      </c>
      <c r="B1269" s="4">
        <v>423000</v>
      </c>
      <c r="C1269" s="4" t="s">
        <v>15</v>
      </c>
      <c r="D1269" s="4" t="s">
        <v>161</v>
      </c>
      <c r="E1269" s="4" t="s">
        <v>17</v>
      </c>
      <c r="F1269" s="4" t="s">
        <v>18</v>
      </c>
      <c r="G1269" s="5">
        <v>0.72222222222222221</v>
      </c>
      <c r="H1269" s="5">
        <v>0.4</v>
      </c>
      <c r="I1269" s="5">
        <v>0.05</v>
      </c>
      <c r="J1269" s="6">
        <v>0.52941176470588236</v>
      </c>
      <c r="K1269" s="6">
        <v>0.85333333333333306</v>
      </c>
      <c r="L1269" s="6">
        <v>0.7851014967143275</v>
      </c>
      <c r="M1269" s="4" t="s">
        <v>19</v>
      </c>
      <c r="N1269" s="5">
        <v>1</v>
      </c>
      <c r="O1269" s="4">
        <v>1</v>
      </c>
    </row>
    <row r="1270" spans="1:15" x14ac:dyDescent="0.3">
      <c r="A1270" s="4">
        <v>423</v>
      </c>
      <c r="B1270" s="4">
        <v>423000</v>
      </c>
      <c r="C1270" s="4" t="s">
        <v>15</v>
      </c>
      <c r="D1270" s="4" t="s">
        <v>162</v>
      </c>
      <c r="E1270" s="4" t="s">
        <v>17</v>
      </c>
      <c r="F1270" s="4" t="s">
        <v>18</v>
      </c>
      <c r="G1270" s="5">
        <v>0.9</v>
      </c>
      <c r="H1270" s="5">
        <v>0.4</v>
      </c>
      <c r="I1270" s="5">
        <v>0.05</v>
      </c>
      <c r="J1270" s="6">
        <v>0.41176470588235292</v>
      </c>
      <c r="K1270" s="6">
        <v>0.86071428571428565</v>
      </c>
      <c r="L1270" s="6">
        <v>0.72163949327309151</v>
      </c>
      <c r="M1270" s="4" t="s">
        <v>19</v>
      </c>
      <c r="N1270" s="5">
        <v>1</v>
      </c>
      <c r="O1270" s="4">
        <v>1</v>
      </c>
    </row>
    <row r="1271" spans="1:15" x14ac:dyDescent="0.3">
      <c r="A1271" s="4">
        <v>424</v>
      </c>
      <c r="B1271" s="4">
        <v>424000</v>
      </c>
      <c r="C1271" s="4" t="s">
        <v>15</v>
      </c>
      <c r="D1271" s="4" t="s">
        <v>16</v>
      </c>
      <c r="E1271" s="4" t="s">
        <v>17</v>
      </c>
      <c r="F1271" s="4" t="s">
        <v>18</v>
      </c>
      <c r="G1271" s="5">
        <v>0.1</v>
      </c>
      <c r="H1271" s="5">
        <v>0.4</v>
      </c>
      <c r="I1271" s="5">
        <v>0.05</v>
      </c>
      <c r="J1271" s="6">
        <v>0.71212121212121215</v>
      </c>
      <c r="K1271" s="6">
        <v>0.76234042553191483</v>
      </c>
      <c r="L1271" s="6">
        <v>0.67082710230568798</v>
      </c>
      <c r="M1271" s="4" t="s">
        <v>24</v>
      </c>
      <c r="N1271" s="5">
        <v>7.272510486154346E-2</v>
      </c>
      <c r="O1271" s="4">
        <v>0</v>
      </c>
    </row>
    <row r="1272" spans="1:15" x14ac:dyDescent="0.3">
      <c r="A1272" s="4">
        <v>424</v>
      </c>
      <c r="B1272" s="4">
        <v>424000</v>
      </c>
      <c r="C1272" s="4" t="s">
        <v>15</v>
      </c>
      <c r="D1272" s="4" t="s">
        <v>161</v>
      </c>
      <c r="E1272" s="4" t="s">
        <v>17</v>
      </c>
      <c r="F1272" s="4" t="s">
        <v>18</v>
      </c>
      <c r="G1272" s="5">
        <v>0.72222222222222221</v>
      </c>
      <c r="H1272" s="5">
        <v>0.4</v>
      </c>
      <c r="I1272" s="5">
        <v>0.05</v>
      </c>
      <c r="J1272" s="6">
        <v>0.56060606060606055</v>
      </c>
      <c r="K1272" s="6">
        <v>0.84432432432432414</v>
      </c>
      <c r="L1272" s="6">
        <v>0.77456139526530687</v>
      </c>
      <c r="M1272" s="4" t="s">
        <v>24</v>
      </c>
      <c r="N1272" s="5">
        <v>7.272510486154346E-2</v>
      </c>
      <c r="O1272" s="4">
        <v>0</v>
      </c>
    </row>
    <row r="1273" spans="1:15" x14ac:dyDescent="0.3">
      <c r="A1273" s="4">
        <v>424</v>
      </c>
      <c r="B1273" s="4">
        <v>424000</v>
      </c>
      <c r="C1273" s="4" t="s">
        <v>15</v>
      </c>
      <c r="D1273" s="4" t="s">
        <v>162</v>
      </c>
      <c r="E1273" s="4" t="s">
        <v>17</v>
      </c>
      <c r="F1273" s="4" t="s">
        <v>18</v>
      </c>
      <c r="G1273" s="5">
        <v>0.9</v>
      </c>
      <c r="H1273" s="5">
        <v>0.4</v>
      </c>
      <c r="I1273" s="5">
        <v>0.05</v>
      </c>
      <c r="J1273" s="6">
        <v>0.39393939393939392</v>
      </c>
      <c r="K1273" s="6">
        <v>0.85615384615384593</v>
      </c>
      <c r="L1273" s="6">
        <v>0.71483380279097419</v>
      </c>
      <c r="M1273" s="4" t="s">
        <v>24</v>
      </c>
      <c r="N1273" s="5">
        <v>7.272510486154346E-2</v>
      </c>
      <c r="O1273" s="4">
        <v>0</v>
      </c>
    </row>
    <row r="1274" spans="1:15" x14ac:dyDescent="0.3">
      <c r="A1274" s="4">
        <v>425</v>
      </c>
      <c r="B1274" s="4">
        <v>425000</v>
      </c>
      <c r="C1274" s="4" t="s">
        <v>15</v>
      </c>
      <c r="D1274" s="4" t="s">
        <v>16</v>
      </c>
      <c r="E1274" s="4" t="s">
        <v>17</v>
      </c>
      <c r="F1274" s="4" t="s">
        <v>18</v>
      </c>
      <c r="G1274" s="5">
        <v>0.1</v>
      </c>
      <c r="H1274" s="5">
        <v>0.4</v>
      </c>
      <c r="I1274" s="5">
        <v>0.05</v>
      </c>
      <c r="J1274" s="6">
        <v>0.70491803278688525</v>
      </c>
      <c r="K1274" s="6">
        <v>0.78930232558139535</v>
      </c>
      <c r="L1274" s="6">
        <v>0.72972590774089119</v>
      </c>
      <c r="M1274" s="4" t="s">
        <v>19</v>
      </c>
      <c r="N1274" s="5">
        <v>1</v>
      </c>
      <c r="O1274" s="4">
        <v>1</v>
      </c>
    </row>
    <row r="1275" spans="1:15" x14ac:dyDescent="0.3">
      <c r="A1275" s="4">
        <v>425</v>
      </c>
      <c r="B1275" s="4">
        <v>425000</v>
      </c>
      <c r="C1275" s="4" t="s">
        <v>15</v>
      </c>
      <c r="D1275" s="4" t="s">
        <v>161</v>
      </c>
      <c r="E1275" s="4" t="s">
        <v>17</v>
      </c>
      <c r="F1275" s="4" t="s">
        <v>18</v>
      </c>
      <c r="G1275" s="5">
        <v>0.1</v>
      </c>
      <c r="H1275" s="5">
        <v>0.8</v>
      </c>
      <c r="I1275" s="5">
        <v>0.1166666666666667</v>
      </c>
      <c r="J1275" s="6">
        <v>0.60655737704918034</v>
      </c>
      <c r="K1275" s="6">
        <v>0.83135135135135119</v>
      </c>
      <c r="L1275" s="6">
        <v>0.81580845537646662</v>
      </c>
      <c r="M1275" s="4" t="s">
        <v>19</v>
      </c>
      <c r="N1275" s="5">
        <v>1</v>
      </c>
      <c r="O1275" s="4">
        <v>1</v>
      </c>
    </row>
    <row r="1276" spans="1:15" x14ac:dyDescent="0.3">
      <c r="A1276" s="4">
        <v>425</v>
      </c>
      <c r="B1276" s="4">
        <v>425000</v>
      </c>
      <c r="C1276" s="4" t="s">
        <v>15</v>
      </c>
      <c r="D1276" s="4" t="s">
        <v>162</v>
      </c>
      <c r="E1276" s="4" t="s">
        <v>17</v>
      </c>
      <c r="F1276" s="4" t="s">
        <v>18</v>
      </c>
      <c r="G1276" s="5">
        <v>0.9</v>
      </c>
      <c r="H1276" s="5">
        <v>0.8</v>
      </c>
      <c r="I1276" s="5">
        <v>0.05</v>
      </c>
      <c r="J1276" s="6">
        <v>0.37704918032786883</v>
      </c>
      <c r="K1276" s="6">
        <v>0.88739130434782598</v>
      </c>
      <c r="L1276" s="6">
        <v>0.65127132313010827</v>
      </c>
      <c r="M1276" s="4" t="s">
        <v>19</v>
      </c>
      <c r="N1276" s="5">
        <v>1</v>
      </c>
      <c r="O1276" s="4">
        <v>1</v>
      </c>
    </row>
    <row r="1277" spans="1:15" x14ac:dyDescent="0.3">
      <c r="A1277" s="4">
        <v>426</v>
      </c>
      <c r="B1277" s="4">
        <v>426000</v>
      </c>
      <c r="C1277" s="4" t="s">
        <v>15</v>
      </c>
      <c r="D1277" s="4" t="s">
        <v>16</v>
      </c>
      <c r="E1277" s="4" t="s">
        <v>17</v>
      </c>
      <c r="F1277" s="4" t="s">
        <v>18</v>
      </c>
      <c r="G1277" s="5">
        <v>0.1</v>
      </c>
      <c r="H1277" s="5">
        <v>0.4</v>
      </c>
      <c r="I1277" s="5">
        <v>0.05</v>
      </c>
      <c r="J1277" s="6">
        <v>0.76666666666666672</v>
      </c>
      <c r="K1277" s="6">
        <v>0.79521739130434799</v>
      </c>
      <c r="L1277" s="6">
        <v>0.62851470477791715</v>
      </c>
      <c r="M1277" s="4" t="s">
        <v>78</v>
      </c>
      <c r="N1277" s="5">
        <v>9.5877794918638307E-2</v>
      </c>
      <c r="O1277" s="4">
        <v>0</v>
      </c>
    </row>
    <row r="1278" spans="1:15" x14ac:dyDescent="0.3">
      <c r="A1278" s="4">
        <v>426</v>
      </c>
      <c r="B1278" s="4">
        <v>426000</v>
      </c>
      <c r="C1278" s="4" t="s">
        <v>15</v>
      </c>
      <c r="D1278" s="4" t="s">
        <v>161</v>
      </c>
      <c r="E1278" s="4" t="s">
        <v>17</v>
      </c>
      <c r="F1278" s="4" t="s">
        <v>18</v>
      </c>
      <c r="G1278" s="5">
        <v>0.1</v>
      </c>
      <c r="H1278" s="5">
        <v>0.8</v>
      </c>
      <c r="I1278" s="5">
        <v>0.1166666666666667</v>
      </c>
      <c r="J1278" s="6">
        <v>0.65</v>
      </c>
      <c r="K1278" s="6">
        <v>0.80538461538461548</v>
      </c>
      <c r="L1278" s="6">
        <v>0.57140672304889928</v>
      </c>
      <c r="M1278" s="4" t="s">
        <v>78</v>
      </c>
      <c r="N1278" s="5">
        <v>9.5877794918638307E-2</v>
      </c>
      <c r="O1278" s="4">
        <v>0</v>
      </c>
    </row>
    <row r="1279" spans="1:15" x14ac:dyDescent="0.3">
      <c r="A1279" s="4">
        <v>426</v>
      </c>
      <c r="B1279" s="4">
        <v>426000</v>
      </c>
      <c r="C1279" s="4" t="s">
        <v>15</v>
      </c>
      <c r="D1279" s="4" t="s">
        <v>162</v>
      </c>
      <c r="E1279" s="4" t="s">
        <v>17</v>
      </c>
      <c r="F1279" s="4" t="s">
        <v>18</v>
      </c>
      <c r="G1279" s="5">
        <v>0.9</v>
      </c>
      <c r="H1279" s="5">
        <v>0.8</v>
      </c>
      <c r="I1279" s="5">
        <v>0.05</v>
      </c>
      <c r="J1279" s="6">
        <v>0.41666666666666669</v>
      </c>
      <c r="K1279" s="6">
        <v>0.85399999999999987</v>
      </c>
      <c r="L1279" s="6">
        <v>0.67749263188724862</v>
      </c>
      <c r="M1279" s="4" t="s">
        <v>78</v>
      </c>
      <c r="N1279" s="5">
        <v>9.5877794918638307E-2</v>
      </c>
      <c r="O1279" s="4">
        <v>0</v>
      </c>
    </row>
    <row r="1280" spans="1:15" x14ac:dyDescent="0.3">
      <c r="A1280" s="4">
        <v>427</v>
      </c>
      <c r="B1280" s="4">
        <v>427000</v>
      </c>
      <c r="C1280" s="4" t="s">
        <v>15</v>
      </c>
      <c r="D1280" s="4" t="s">
        <v>16</v>
      </c>
      <c r="E1280" s="4" t="s">
        <v>17</v>
      </c>
      <c r="F1280" s="4" t="s">
        <v>18</v>
      </c>
      <c r="G1280" s="5">
        <v>0.1</v>
      </c>
      <c r="H1280" s="5">
        <v>0.4</v>
      </c>
      <c r="I1280" s="5">
        <v>0.05</v>
      </c>
      <c r="J1280" s="6">
        <v>0.78688524590163933</v>
      </c>
      <c r="K1280" s="6">
        <v>0.76145833333333324</v>
      </c>
      <c r="L1280" s="6">
        <v>0.59761533351286966</v>
      </c>
      <c r="M1280" s="4" t="s">
        <v>19</v>
      </c>
      <c r="N1280" s="5">
        <v>1</v>
      </c>
      <c r="O1280" s="4">
        <v>1</v>
      </c>
    </row>
    <row r="1281" spans="1:15" x14ac:dyDescent="0.3">
      <c r="A1281" s="4">
        <v>427</v>
      </c>
      <c r="B1281" s="4">
        <v>427000</v>
      </c>
      <c r="C1281" s="4" t="s">
        <v>15</v>
      </c>
      <c r="D1281" s="4" t="s">
        <v>161</v>
      </c>
      <c r="E1281" s="4" t="s">
        <v>17</v>
      </c>
      <c r="F1281" s="4" t="s">
        <v>18</v>
      </c>
      <c r="G1281" s="5">
        <v>0.81111111111111112</v>
      </c>
      <c r="H1281" s="5">
        <v>0.4</v>
      </c>
      <c r="I1281" s="5">
        <v>0.05</v>
      </c>
      <c r="J1281" s="6">
        <v>0.49180327868852458</v>
      </c>
      <c r="K1281" s="6">
        <v>0.85233333333333305</v>
      </c>
      <c r="L1281" s="6">
        <v>0.72941566455002205</v>
      </c>
      <c r="M1281" s="4" t="s">
        <v>19</v>
      </c>
      <c r="N1281" s="5">
        <v>1</v>
      </c>
      <c r="O1281" s="4">
        <v>1</v>
      </c>
    </row>
    <row r="1282" spans="1:15" x14ac:dyDescent="0.3">
      <c r="A1282" s="4">
        <v>427</v>
      </c>
      <c r="B1282" s="4">
        <v>427000</v>
      </c>
      <c r="C1282" s="4" t="s">
        <v>15</v>
      </c>
      <c r="D1282" s="4" t="s">
        <v>162</v>
      </c>
      <c r="E1282" s="4" t="s">
        <v>17</v>
      </c>
      <c r="F1282" s="4" t="s">
        <v>18</v>
      </c>
      <c r="G1282" s="5">
        <v>0.81111111111111112</v>
      </c>
      <c r="H1282" s="5">
        <v>0.4</v>
      </c>
      <c r="I1282" s="5">
        <v>0.05</v>
      </c>
      <c r="J1282" s="6">
        <v>0.49180327868852458</v>
      </c>
      <c r="K1282" s="6">
        <v>0.85233333333333305</v>
      </c>
      <c r="L1282" s="6">
        <v>0.72941566455002205</v>
      </c>
      <c r="M1282" s="4" t="s">
        <v>19</v>
      </c>
      <c r="N1282" s="5">
        <v>1</v>
      </c>
      <c r="O1282" s="4">
        <v>1</v>
      </c>
    </row>
    <row r="1283" spans="1:15" x14ac:dyDescent="0.3">
      <c r="A1283" s="4">
        <v>428</v>
      </c>
      <c r="B1283" s="4">
        <v>428000</v>
      </c>
      <c r="C1283" s="4" t="s">
        <v>15</v>
      </c>
      <c r="D1283" s="4" t="s">
        <v>16</v>
      </c>
      <c r="E1283" s="4" t="s">
        <v>17</v>
      </c>
      <c r="F1283" s="4" t="s">
        <v>18</v>
      </c>
      <c r="G1283" s="5">
        <v>0.1</v>
      </c>
      <c r="H1283" s="5">
        <v>0.4</v>
      </c>
      <c r="I1283" s="5">
        <v>0.05</v>
      </c>
      <c r="J1283" s="6">
        <v>0.77611940298507465</v>
      </c>
      <c r="K1283" s="6">
        <v>0.77076923076923076</v>
      </c>
      <c r="L1283" s="6">
        <v>0.65072900034419257</v>
      </c>
      <c r="M1283" s="4" t="s">
        <v>119</v>
      </c>
      <c r="N1283" s="5">
        <v>0.1451423377780213</v>
      </c>
      <c r="O1283" s="4">
        <v>0</v>
      </c>
    </row>
    <row r="1284" spans="1:15" x14ac:dyDescent="0.3">
      <c r="A1284" s="4">
        <v>428</v>
      </c>
      <c r="B1284" s="4">
        <v>428000</v>
      </c>
      <c r="C1284" s="4" t="s">
        <v>15</v>
      </c>
      <c r="D1284" s="4" t="s">
        <v>161</v>
      </c>
      <c r="E1284" s="4" t="s">
        <v>17</v>
      </c>
      <c r="F1284" s="4" t="s">
        <v>18</v>
      </c>
      <c r="G1284" s="5">
        <v>0.81111111111111112</v>
      </c>
      <c r="H1284" s="5">
        <v>0.4</v>
      </c>
      <c r="I1284" s="5">
        <v>0.05</v>
      </c>
      <c r="J1284" s="6">
        <v>0.5074626865671642</v>
      </c>
      <c r="K1284" s="6">
        <v>0.86</v>
      </c>
      <c r="L1284" s="6">
        <v>0.80782396497327902</v>
      </c>
      <c r="M1284" s="4" t="s">
        <v>119</v>
      </c>
      <c r="N1284" s="5">
        <v>0.1451423377780213</v>
      </c>
      <c r="O1284" s="4">
        <v>0</v>
      </c>
    </row>
    <row r="1285" spans="1:15" x14ac:dyDescent="0.3">
      <c r="A1285" s="4">
        <v>428</v>
      </c>
      <c r="B1285" s="4">
        <v>428000</v>
      </c>
      <c r="C1285" s="4" t="s">
        <v>15</v>
      </c>
      <c r="D1285" s="4" t="s">
        <v>162</v>
      </c>
      <c r="E1285" s="4" t="s">
        <v>17</v>
      </c>
      <c r="F1285" s="4" t="s">
        <v>18</v>
      </c>
      <c r="G1285" s="5">
        <v>0.81111111111111112</v>
      </c>
      <c r="H1285" s="5">
        <v>0.4</v>
      </c>
      <c r="I1285" s="5">
        <v>0.05</v>
      </c>
      <c r="J1285" s="6">
        <v>0.5074626865671642</v>
      </c>
      <c r="K1285" s="6">
        <v>0.86</v>
      </c>
      <c r="L1285" s="6">
        <v>0.80782396497327902</v>
      </c>
      <c r="M1285" s="4" t="s">
        <v>119</v>
      </c>
      <c r="N1285" s="5">
        <v>0.1451423377780213</v>
      </c>
      <c r="O1285" s="4">
        <v>0</v>
      </c>
    </row>
    <row r="1286" spans="1:15" x14ac:dyDescent="0.3">
      <c r="A1286" s="4">
        <v>429</v>
      </c>
      <c r="B1286" s="4">
        <v>429000</v>
      </c>
      <c r="C1286" s="4" t="s">
        <v>15</v>
      </c>
      <c r="D1286" s="4" t="s">
        <v>16</v>
      </c>
      <c r="E1286" s="4" t="s">
        <v>17</v>
      </c>
      <c r="F1286" s="4" t="s">
        <v>18</v>
      </c>
      <c r="G1286" s="5">
        <v>0.1</v>
      </c>
      <c r="H1286" s="5">
        <v>0.4</v>
      </c>
      <c r="I1286" s="5">
        <v>0.05</v>
      </c>
      <c r="J1286" s="6">
        <v>0.72727272727272729</v>
      </c>
      <c r="K1286" s="6">
        <v>0.77145833333333336</v>
      </c>
      <c r="L1286" s="6">
        <v>0.65815843864100876</v>
      </c>
      <c r="M1286" s="4" t="s">
        <v>69</v>
      </c>
      <c r="N1286" s="5">
        <v>0.16339333480545309</v>
      </c>
      <c r="O1286" s="4">
        <v>1</v>
      </c>
    </row>
    <row r="1287" spans="1:15" x14ac:dyDescent="0.3">
      <c r="A1287" s="4">
        <v>429</v>
      </c>
      <c r="B1287" s="4">
        <v>429000</v>
      </c>
      <c r="C1287" s="4" t="s">
        <v>15</v>
      </c>
      <c r="D1287" s="4" t="s">
        <v>161</v>
      </c>
      <c r="E1287" s="4" t="s">
        <v>17</v>
      </c>
      <c r="F1287" s="4" t="s">
        <v>18</v>
      </c>
      <c r="G1287" s="5">
        <v>0.54444444444444451</v>
      </c>
      <c r="H1287" s="5">
        <v>0.4</v>
      </c>
      <c r="I1287" s="5">
        <v>0.05</v>
      </c>
      <c r="J1287" s="6">
        <v>0.5757575757575758</v>
      </c>
      <c r="K1287" s="6">
        <v>0.84894736842105256</v>
      </c>
      <c r="L1287" s="6">
        <v>0.7898802395414587</v>
      </c>
      <c r="M1287" s="4" t="s">
        <v>69</v>
      </c>
      <c r="N1287" s="5">
        <v>0.16339333480545309</v>
      </c>
      <c r="O1287" s="4">
        <v>1</v>
      </c>
    </row>
    <row r="1288" spans="1:15" x14ac:dyDescent="0.3">
      <c r="A1288" s="4">
        <v>429</v>
      </c>
      <c r="B1288" s="4">
        <v>429000</v>
      </c>
      <c r="C1288" s="4" t="s">
        <v>15</v>
      </c>
      <c r="D1288" s="4" t="s">
        <v>162</v>
      </c>
      <c r="E1288" s="4" t="s">
        <v>17</v>
      </c>
      <c r="F1288" s="4" t="s">
        <v>18</v>
      </c>
      <c r="G1288" s="5">
        <v>0.9</v>
      </c>
      <c r="H1288" s="5">
        <v>0.4</v>
      </c>
      <c r="I1288" s="5">
        <v>0.05</v>
      </c>
      <c r="J1288" s="6">
        <v>0.40909090909090912</v>
      </c>
      <c r="K1288" s="6">
        <v>0.86111111111111094</v>
      </c>
      <c r="L1288" s="6">
        <v>0.73270657670401818</v>
      </c>
      <c r="M1288" s="4" t="s">
        <v>69</v>
      </c>
      <c r="N1288" s="5">
        <v>0.16339333480545309</v>
      </c>
      <c r="O1288" s="4">
        <v>1</v>
      </c>
    </row>
    <row r="1289" spans="1:15" x14ac:dyDescent="0.3">
      <c r="A1289" s="4">
        <v>430</v>
      </c>
      <c r="B1289" s="4">
        <v>430000</v>
      </c>
      <c r="C1289" s="4" t="s">
        <v>15</v>
      </c>
      <c r="D1289" s="4" t="s">
        <v>16</v>
      </c>
      <c r="E1289" s="4" t="s">
        <v>17</v>
      </c>
      <c r="F1289" s="4" t="s">
        <v>18</v>
      </c>
      <c r="G1289" s="5">
        <v>0.1</v>
      </c>
      <c r="H1289" s="5">
        <v>0.4</v>
      </c>
      <c r="I1289" s="5">
        <v>0.05</v>
      </c>
      <c r="J1289" s="6">
        <v>0.765625</v>
      </c>
      <c r="K1289" s="6">
        <v>0.77857142857142869</v>
      </c>
      <c r="L1289" s="6">
        <v>0.61525764208383948</v>
      </c>
      <c r="M1289" s="4" t="s">
        <v>82</v>
      </c>
      <c r="N1289" s="5">
        <v>0.10177121811269151</v>
      </c>
      <c r="O1289" s="4">
        <v>0</v>
      </c>
    </row>
    <row r="1290" spans="1:15" x14ac:dyDescent="0.3">
      <c r="A1290" s="4">
        <v>430</v>
      </c>
      <c r="B1290" s="4">
        <v>430000</v>
      </c>
      <c r="C1290" s="4" t="s">
        <v>15</v>
      </c>
      <c r="D1290" s="4" t="s">
        <v>161</v>
      </c>
      <c r="E1290" s="4" t="s">
        <v>17</v>
      </c>
      <c r="F1290" s="4" t="s">
        <v>18</v>
      </c>
      <c r="G1290" s="5">
        <v>0.54444444444444451</v>
      </c>
      <c r="H1290" s="5">
        <v>0.4</v>
      </c>
      <c r="I1290" s="5">
        <v>0.05</v>
      </c>
      <c r="J1290" s="6">
        <v>0.609375</v>
      </c>
      <c r="K1290" s="6">
        <v>0.85</v>
      </c>
      <c r="L1290" s="6">
        <v>0.80113391576447945</v>
      </c>
      <c r="M1290" s="4" t="s">
        <v>82</v>
      </c>
      <c r="N1290" s="5">
        <v>0.10177121811269151</v>
      </c>
      <c r="O1290" s="4">
        <v>0</v>
      </c>
    </row>
    <row r="1291" spans="1:15" x14ac:dyDescent="0.3">
      <c r="A1291" s="4">
        <v>430</v>
      </c>
      <c r="B1291" s="4">
        <v>430000</v>
      </c>
      <c r="C1291" s="4" t="s">
        <v>15</v>
      </c>
      <c r="D1291" s="4" t="s">
        <v>162</v>
      </c>
      <c r="E1291" s="4" t="s">
        <v>17</v>
      </c>
      <c r="F1291" s="4" t="s">
        <v>18</v>
      </c>
      <c r="G1291" s="5">
        <v>0.9</v>
      </c>
      <c r="H1291" s="5">
        <v>0.4</v>
      </c>
      <c r="I1291" s="5">
        <v>0.05</v>
      </c>
      <c r="J1291" s="6">
        <v>0.46875</v>
      </c>
      <c r="K1291" s="6">
        <v>0.86933333333333318</v>
      </c>
      <c r="L1291" s="6">
        <v>0.79050221618389249</v>
      </c>
      <c r="M1291" s="4" t="s">
        <v>82</v>
      </c>
      <c r="N1291" s="5">
        <v>0.10177121811269151</v>
      </c>
      <c r="O1291" s="4">
        <v>0</v>
      </c>
    </row>
    <row r="1292" spans="1:15" x14ac:dyDescent="0.3">
      <c r="A1292" s="4">
        <v>431</v>
      </c>
      <c r="B1292" s="4">
        <v>431000</v>
      </c>
      <c r="C1292" s="4" t="s">
        <v>15</v>
      </c>
      <c r="D1292" s="4" t="s">
        <v>16</v>
      </c>
      <c r="E1292" s="4" t="s">
        <v>17</v>
      </c>
      <c r="F1292" s="4" t="s">
        <v>18</v>
      </c>
      <c r="G1292" s="5">
        <v>0.1</v>
      </c>
      <c r="H1292" s="5">
        <v>0.4</v>
      </c>
      <c r="I1292" s="5">
        <v>0.05</v>
      </c>
      <c r="J1292" s="6">
        <v>0.76271186440677963</v>
      </c>
      <c r="K1292" s="6">
        <v>0.78800000000000003</v>
      </c>
      <c r="L1292" s="6">
        <v>0.67627895975394592</v>
      </c>
      <c r="M1292" s="4" t="s">
        <v>32</v>
      </c>
      <c r="N1292" s="5">
        <v>0.13176301307503821</v>
      </c>
      <c r="O1292" s="4">
        <v>0</v>
      </c>
    </row>
    <row r="1293" spans="1:15" x14ac:dyDescent="0.3">
      <c r="A1293" s="4">
        <v>431</v>
      </c>
      <c r="B1293" s="4">
        <v>431000</v>
      </c>
      <c r="C1293" s="4" t="s">
        <v>15</v>
      </c>
      <c r="D1293" s="4" t="s">
        <v>161</v>
      </c>
      <c r="E1293" s="4" t="s">
        <v>17</v>
      </c>
      <c r="F1293" s="4" t="s">
        <v>18</v>
      </c>
      <c r="G1293" s="5">
        <v>0.54444444444444451</v>
      </c>
      <c r="H1293" s="5">
        <v>0.4</v>
      </c>
      <c r="I1293" s="5">
        <v>0.05</v>
      </c>
      <c r="J1293" s="6">
        <v>0.64406779661016944</v>
      </c>
      <c r="K1293" s="6">
        <v>0.85447368421052605</v>
      </c>
      <c r="L1293" s="6">
        <v>0.77727049734481379</v>
      </c>
      <c r="M1293" s="4" t="s">
        <v>32</v>
      </c>
      <c r="N1293" s="5">
        <v>0.13176301307503821</v>
      </c>
      <c r="O1293" s="4">
        <v>0</v>
      </c>
    </row>
    <row r="1294" spans="1:15" x14ac:dyDescent="0.3">
      <c r="A1294" s="4">
        <v>431</v>
      </c>
      <c r="B1294" s="4">
        <v>431000</v>
      </c>
      <c r="C1294" s="4" t="s">
        <v>15</v>
      </c>
      <c r="D1294" s="4" t="s">
        <v>162</v>
      </c>
      <c r="E1294" s="4" t="s">
        <v>17</v>
      </c>
      <c r="F1294" s="4" t="s">
        <v>18</v>
      </c>
      <c r="G1294" s="5">
        <v>0.9</v>
      </c>
      <c r="H1294" s="5">
        <v>0.4</v>
      </c>
      <c r="I1294" s="5">
        <v>0.05</v>
      </c>
      <c r="J1294" s="6">
        <v>0.47457627118644069</v>
      </c>
      <c r="K1294" s="6">
        <v>0.86464285714285705</v>
      </c>
      <c r="L1294" s="6">
        <v>0.71855726417070109</v>
      </c>
      <c r="M1294" s="4" t="s">
        <v>32</v>
      </c>
      <c r="N1294" s="5">
        <v>0.13176301307503821</v>
      </c>
      <c r="O1294" s="4">
        <v>0</v>
      </c>
    </row>
    <row r="1295" spans="1:15" x14ac:dyDescent="0.3">
      <c r="A1295" s="4">
        <v>432</v>
      </c>
      <c r="B1295" s="4">
        <v>432000</v>
      </c>
      <c r="C1295" s="4" t="s">
        <v>15</v>
      </c>
      <c r="D1295" s="4" t="s">
        <v>16</v>
      </c>
      <c r="E1295" s="4" t="s">
        <v>17</v>
      </c>
      <c r="F1295" s="4" t="s">
        <v>18</v>
      </c>
      <c r="G1295" s="5">
        <v>0.1</v>
      </c>
      <c r="H1295" s="5">
        <v>0.4</v>
      </c>
      <c r="I1295" s="5">
        <v>0.05</v>
      </c>
      <c r="J1295" s="6">
        <v>0.69230769230769229</v>
      </c>
      <c r="K1295" s="6">
        <v>0.79822222222222206</v>
      </c>
      <c r="L1295" s="6">
        <v>0.74351499074403027</v>
      </c>
      <c r="M1295" s="4" t="s">
        <v>151</v>
      </c>
      <c r="N1295" s="5">
        <v>0.19308236799393599</v>
      </c>
      <c r="O1295" s="4">
        <v>1</v>
      </c>
    </row>
    <row r="1296" spans="1:15" x14ac:dyDescent="0.3">
      <c r="A1296" s="4">
        <v>432</v>
      </c>
      <c r="B1296" s="4">
        <v>432000</v>
      </c>
      <c r="C1296" s="4" t="s">
        <v>15</v>
      </c>
      <c r="D1296" s="4" t="s">
        <v>161</v>
      </c>
      <c r="E1296" s="4" t="s">
        <v>17</v>
      </c>
      <c r="F1296" s="4" t="s">
        <v>18</v>
      </c>
      <c r="G1296" s="5">
        <v>0.9</v>
      </c>
      <c r="H1296" s="5">
        <v>0.4</v>
      </c>
      <c r="I1296" s="5">
        <v>0.05</v>
      </c>
      <c r="J1296" s="6">
        <v>0.46153846153846162</v>
      </c>
      <c r="K1296" s="6">
        <v>0.86833333333333307</v>
      </c>
      <c r="L1296" s="6">
        <v>0.80720418159267282</v>
      </c>
      <c r="M1296" s="4" t="s">
        <v>151</v>
      </c>
      <c r="N1296" s="5">
        <v>0.19308236799393599</v>
      </c>
      <c r="O1296" s="4">
        <v>1</v>
      </c>
    </row>
    <row r="1297" spans="1:15" x14ac:dyDescent="0.3">
      <c r="A1297" s="4">
        <v>432</v>
      </c>
      <c r="B1297" s="4">
        <v>432000</v>
      </c>
      <c r="C1297" s="4" t="s">
        <v>15</v>
      </c>
      <c r="D1297" s="4" t="s">
        <v>162</v>
      </c>
      <c r="E1297" s="4" t="s">
        <v>17</v>
      </c>
      <c r="F1297" s="4" t="s">
        <v>18</v>
      </c>
      <c r="G1297" s="5">
        <v>0.9</v>
      </c>
      <c r="H1297" s="5">
        <v>0.4</v>
      </c>
      <c r="I1297" s="5">
        <v>0.05</v>
      </c>
      <c r="J1297" s="6">
        <v>0.46153846153846162</v>
      </c>
      <c r="K1297" s="6">
        <v>0.86833333333333307</v>
      </c>
      <c r="L1297" s="6">
        <v>0.80720418159267282</v>
      </c>
      <c r="M1297" s="4" t="s">
        <v>151</v>
      </c>
      <c r="N1297" s="5">
        <v>0.19308236799393599</v>
      </c>
      <c r="O1297" s="4">
        <v>1</v>
      </c>
    </row>
    <row r="1298" spans="1:15" x14ac:dyDescent="0.3">
      <c r="A1298" s="4">
        <v>433</v>
      </c>
      <c r="B1298" s="4">
        <v>433000</v>
      </c>
      <c r="C1298" s="4" t="s">
        <v>15</v>
      </c>
      <c r="D1298" s="4" t="s">
        <v>16</v>
      </c>
      <c r="E1298" s="4" t="s">
        <v>17</v>
      </c>
      <c r="F1298" s="4" t="s">
        <v>18</v>
      </c>
      <c r="G1298" s="5">
        <v>0.1</v>
      </c>
      <c r="H1298" s="5">
        <v>0.4</v>
      </c>
      <c r="I1298" s="5">
        <v>0.05</v>
      </c>
      <c r="J1298" s="6">
        <v>0.6901408450704225</v>
      </c>
      <c r="K1298" s="6">
        <v>0.76346938775510209</v>
      </c>
      <c r="L1298" s="6">
        <v>0.72167191974470224</v>
      </c>
      <c r="M1298" s="4" t="s">
        <v>152</v>
      </c>
      <c r="N1298" s="5">
        <v>7.4722192456363926E-2</v>
      </c>
      <c r="O1298" s="4">
        <v>0</v>
      </c>
    </row>
    <row r="1299" spans="1:15" x14ac:dyDescent="0.3">
      <c r="A1299" s="4">
        <v>433</v>
      </c>
      <c r="B1299" s="4">
        <v>433000</v>
      </c>
      <c r="C1299" s="4" t="s">
        <v>15</v>
      </c>
      <c r="D1299" s="4" t="s">
        <v>161</v>
      </c>
      <c r="E1299" s="4" t="s">
        <v>17</v>
      </c>
      <c r="F1299" s="4" t="s">
        <v>18</v>
      </c>
      <c r="G1299" s="5">
        <v>0.9</v>
      </c>
      <c r="H1299" s="5">
        <v>0.4</v>
      </c>
      <c r="I1299" s="5">
        <v>0.05</v>
      </c>
      <c r="J1299" s="6">
        <v>0.40845070422535212</v>
      </c>
      <c r="K1299" s="6">
        <v>0.86448275862068935</v>
      </c>
      <c r="L1299" s="6">
        <v>0.80525861492400486</v>
      </c>
      <c r="M1299" s="4" t="s">
        <v>152</v>
      </c>
      <c r="N1299" s="5">
        <v>7.4722192456363926E-2</v>
      </c>
      <c r="O1299" s="4">
        <v>0</v>
      </c>
    </row>
    <row r="1300" spans="1:15" x14ac:dyDescent="0.3">
      <c r="A1300" s="4">
        <v>433</v>
      </c>
      <c r="B1300" s="4">
        <v>433000</v>
      </c>
      <c r="C1300" s="4" t="s">
        <v>15</v>
      </c>
      <c r="D1300" s="4" t="s">
        <v>162</v>
      </c>
      <c r="E1300" s="4" t="s">
        <v>17</v>
      </c>
      <c r="F1300" s="4" t="s">
        <v>18</v>
      </c>
      <c r="G1300" s="5">
        <v>0.9</v>
      </c>
      <c r="H1300" s="5">
        <v>0.4</v>
      </c>
      <c r="I1300" s="5">
        <v>0.05</v>
      </c>
      <c r="J1300" s="6">
        <v>0.40845070422535212</v>
      </c>
      <c r="K1300" s="6">
        <v>0.86448275862068935</v>
      </c>
      <c r="L1300" s="6">
        <v>0.80525861492400486</v>
      </c>
      <c r="M1300" s="4" t="s">
        <v>152</v>
      </c>
      <c r="N1300" s="5">
        <v>7.4722192456363926E-2</v>
      </c>
      <c r="O1300" s="4">
        <v>0</v>
      </c>
    </row>
    <row r="1301" spans="1:15" x14ac:dyDescent="0.3">
      <c r="A1301" s="4">
        <v>434</v>
      </c>
      <c r="B1301" s="4">
        <v>434000</v>
      </c>
      <c r="C1301" s="4" t="s">
        <v>15</v>
      </c>
      <c r="D1301" s="4" t="s">
        <v>16</v>
      </c>
      <c r="E1301" s="4" t="s">
        <v>17</v>
      </c>
      <c r="F1301" s="4" t="s">
        <v>18</v>
      </c>
      <c r="G1301" s="5">
        <v>0.1</v>
      </c>
      <c r="H1301" s="5">
        <v>0.4</v>
      </c>
      <c r="I1301" s="5">
        <v>0.05</v>
      </c>
      <c r="J1301" s="6">
        <v>0.68571428571428572</v>
      </c>
      <c r="K1301" s="6">
        <v>0.76250000000000007</v>
      </c>
      <c r="L1301" s="6">
        <v>0.71714763201423126</v>
      </c>
      <c r="M1301" s="4" t="s">
        <v>94</v>
      </c>
      <c r="N1301" s="5">
        <v>0.13460984222883221</v>
      </c>
      <c r="O1301" s="4">
        <v>0</v>
      </c>
    </row>
    <row r="1302" spans="1:15" x14ac:dyDescent="0.3">
      <c r="A1302" s="4">
        <v>434</v>
      </c>
      <c r="B1302" s="4">
        <v>434000</v>
      </c>
      <c r="C1302" s="4" t="s">
        <v>15</v>
      </c>
      <c r="D1302" s="4" t="s">
        <v>161</v>
      </c>
      <c r="E1302" s="4" t="s">
        <v>17</v>
      </c>
      <c r="F1302" s="4" t="s">
        <v>18</v>
      </c>
      <c r="G1302" s="5">
        <v>0.9</v>
      </c>
      <c r="H1302" s="5">
        <v>0.4</v>
      </c>
      <c r="I1302" s="5">
        <v>0.05</v>
      </c>
      <c r="J1302" s="6">
        <v>0.38571428571428568</v>
      </c>
      <c r="K1302" s="6">
        <v>0.85962962962962941</v>
      </c>
      <c r="L1302" s="6">
        <v>0.74424740231145714</v>
      </c>
      <c r="M1302" s="4" t="s">
        <v>94</v>
      </c>
      <c r="N1302" s="5">
        <v>0.13460984222883221</v>
      </c>
      <c r="O1302" s="4">
        <v>0</v>
      </c>
    </row>
    <row r="1303" spans="1:15" x14ac:dyDescent="0.3">
      <c r="A1303" s="4">
        <v>434</v>
      </c>
      <c r="B1303" s="4">
        <v>434000</v>
      </c>
      <c r="C1303" s="4" t="s">
        <v>15</v>
      </c>
      <c r="D1303" s="4" t="s">
        <v>162</v>
      </c>
      <c r="E1303" s="4" t="s">
        <v>17</v>
      </c>
      <c r="F1303" s="4" t="s">
        <v>18</v>
      </c>
      <c r="G1303" s="5">
        <v>0.9</v>
      </c>
      <c r="H1303" s="5">
        <v>0.4</v>
      </c>
      <c r="I1303" s="5">
        <v>0.05</v>
      </c>
      <c r="J1303" s="6">
        <v>0.38571428571428568</v>
      </c>
      <c r="K1303" s="6">
        <v>0.85962962962962941</v>
      </c>
      <c r="L1303" s="6">
        <v>0.74424740231145714</v>
      </c>
      <c r="M1303" s="4" t="s">
        <v>94</v>
      </c>
      <c r="N1303" s="5">
        <v>0.13460984222883221</v>
      </c>
      <c r="O1303" s="4">
        <v>0</v>
      </c>
    </row>
    <row r="1304" spans="1:15" x14ac:dyDescent="0.3">
      <c r="A1304" s="4">
        <v>435</v>
      </c>
      <c r="B1304" s="4">
        <v>435000</v>
      </c>
      <c r="C1304" s="4" t="s">
        <v>15</v>
      </c>
      <c r="D1304" s="4" t="s">
        <v>16</v>
      </c>
      <c r="E1304" s="4" t="s">
        <v>17</v>
      </c>
      <c r="F1304" s="4" t="s">
        <v>18</v>
      </c>
      <c r="G1304" s="5">
        <v>0.1</v>
      </c>
      <c r="H1304" s="5">
        <v>0.4</v>
      </c>
      <c r="I1304" s="5">
        <v>0.05</v>
      </c>
      <c r="J1304" s="6">
        <v>0.72307692307692306</v>
      </c>
      <c r="K1304" s="6">
        <v>0.7776595744680852</v>
      </c>
      <c r="L1304" s="6">
        <v>0.70869169535761101</v>
      </c>
      <c r="M1304" s="4" t="s">
        <v>115</v>
      </c>
      <c r="N1304" s="5">
        <v>0.1241194706800685</v>
      </c>
      <c r="O1304" s="4">
        <v>0</v>
      </c>
    </row>
    <row r="1305" spans="1:15" x14ac:dyDescent="0.3">
      <c r="A1305" s="4">
        <v>435</v>
      </c>
      <c r="B1305" s="4">
        <v>435000</v>
      </c>
      <c r="C1305" s="4" t="s">
        <v>15</v>
      </c>
      <c r="D1305" s="4" t="s">
        <v>161</v>
      </c>
      <c r="E1305" s="4" t="s">
        <v>17</v>
      </c>
      <c r="F1305" s="4" t="s">
        <v>18</v>
      </c>
      <c r="G1305" s="5">
        <v>0.9</v>
      </c>
      <c r="H1305" s="5">
        <v>0.4</v>
      </c>
      <c r="I1305" s="5">
        <v>0.05</v>
      </c>
      <c r="J1305" s="6">
        <v>0.43076923076923079</v>
      </c>
      <c r="K1305" s="6">
        <v>0.86071428571428565</v>
      </c>
      <c r="L1305" s="6">
        <v>0.7608983314585106</v>
      </c>
      <c r="M1305" s="4" t="s">
        <v>115</v>
      </c>
      <c r="N1305" s="5">
        <v>0.1241194706800685</v>
      </c>
      <c r="O1305" s="4">
        <v>0</v>
      </c>
    </row>
    <row r="1306" spans="1:15" x14ac:dyDescent="0.3">
      <c r="A1306" s="4">
        <v>435</v>
      </c>
      <c r="B1306" s="4">
        <v>435000</v>
      </c>
      <c r="C1306" s="4" t="s">
        <v>15</v>
      </c>
      <c r="D1306" s="4" t="s">
        <v>162</v>
      </c>
      <c r="E1306" s="4" t="s">
        <v>17</v>
      </c>
      <c r="F1306" s="4" t="s">
        <v>18</v>
      </c>
      <c r="G1306" s="5">
        <v>0.9</v>
      </c>
      <c r="H1306" s="5">
        <v>0.4</v>
      </c>
      <c r="I1306" s="5">
        <v>0.05</v>
      </c>
      <c r="J1306" s="6">
        <v>0.43076923076923079</v>
      </c>
      <c r="K1306" s="6">
        <v>0.86071428571428565</v>
      </c>
      <c r="L1306" s="6">
        <v>0.7608983314585106</v>
      </c>
      <c r="M1306" s="4" t="s">
        <v>115</v>
      </c>
      <c r="N1306" s="5">
        <v>0.1241194706800685</v>
      </c>
      <c r="O1306" s="4">
        <v>0</v>
      </c>
    </row>
    <row r="1307" spans="1:15" x14ac:dyDescent="0.3">
      <c r="A1307" s="4">
        <v>436</v>
      </c>
      <c r="B1307" s="4">
        <v>436000</v>
      </c>
      <c r="C1307" s="4" t="s">
        <v>15</v>
      </c>
      <c r="D1307" s="4" t="s">
        <v>16</v>
      </c>
      <c r="E1307" s="4" t="s">
        <v>17</v>
      </c>
      <c r="F1307" s="4" t="s">
        <v>18</v>
      </c>
      <c r="G1307" s="5">
        <v>0.1</v>
      </c>
      <c r="H1307" s="5">
        <v>0.4</v>
      </c>
      <c r="I1307" s="5">
        <v>0.05</v>
      </c>
      <c r="J1307" s="6">
        <v>0.70967741935483875</v>
      </c>
      <c r="K1307" s="6">
        <v>0.78295454545454535</v>
      </c>
      <c r="L1307" s="6">
        <v>0.62495931199272015</v>
      </c>
      <c r="M1307" s="4" t="s">
        <v>153</v>
      </c>
      <c r="N1307" s="5">
        <v>0.2013470916296215</v>
      </c>
      <c r="O1307" s="4">
        <v>1</v>
      </c>
    </row>
    <row r="1308" spans="1:15" x14ac:dyDescent="0.3">
      <c r="A1308" s="4">
        <v>436</v>
      </c>
      <c r="B1308" s="4">
        <v>436000</v>
      </c>
      <c r="C1308" s="4" t="s">
        <v>15</v>
      </c>
      <c r="D1308" s="4" t="s">
        <v>161</v>
      </c>
      <c r="E1308" s="4" t="s">
        <v>17</v>
      </c>
      <c r="F1308" s="4" t="s">
        <v>18</v>
      </c>
      <c r="G1308" s="5">
        <v>0.72222222222222221</v>
      </c>
      <c r="H1308" s="5">
        <v>0.4</v>
      </c>
      <c r="I1308" s="5">
        <v>0.05</v>
      </c>
      <c r="J1308" s="6">
        <v>0.54838709677419351</v>
      </c>
      <c r="K1308" s="6">
        <v>0.84411764705882342</v>
      </c>
      <c r="L1308" s="6">
        <v>0.77833599447942503</v>
      </c>
      <c r="M1308" s="4" t="s">
        <v>153</v>
      </c>
      <c r="N1308" s="5">
        <v>0.2013470916296215</v>
      </c>
      <c r="O1308" s="4">
        <v>1</v>
      </c>
    </row>
    <row r="1309" spans="1:15" x14ac:dyDescent="0.3">
      <c r="A1309" s="4">
        <v>436</v>
      </c>
      <c r="B1309" s="4">
        <v>436000</v>
      </c>
      <c r="C1309" s="4" t="s">
        <v>15</v>
      </c>
      <c r="D1309" s="4" t="s">
        <v>162</v>
      </c>
      <c r="E1309" s="4" t="s">
        <v>17</v>
      </c>
      <c r="F1309" s="4" t="s">
        <v>18</v>
      </c>
      <c r="G1309" s="5">
        <v>0.81111111111111112</v>
      </c>
      <c r="H1309" s="5">
        <v>0.4</v>
      </c>
      <c r="I1309" s="5">
        <v>0.1166666666666667</v>
      </c>
      <c r="J1309" s="6">
        <v>0.45161290322580638</v>
      </c>
      <c r="K1309" s="6">
        <v>0.85214285714285698</v>
      </c>
      <c r="L1309" s="6">
        <v>0.75927573944182036</v>
      </c>
      <c r="M1309" s="4" t="s">
        <v>153</v>
      </c>
      <c r="N1309" s="5">
        <v>0.2013470916296215</v>
      </c>
      <c r="O1309" s="4">
        <v>1</v>
      </c>
    </row>
    <row r="1310" spans="1:15" x14ac:dyDescent="0.3">
      <c r="A1310" s="4">
        <v>437</v>
      </c>
      <c r="B1310" s="4">
        <v>437000</v>
      </c>
      <c r="C1310" s="4" t="s">
        <v>15</v>
      </c>
      <c r="D1310" s="4" t="s">
        <v>16</v>
      </c>
      <c r="E1310" s="4" t="s">
        <v>17</v>
      </c>
      <c r="F1310" s="4" t="s">
        <v>18</v>
      </c>
      <c r="G1310" s="5">
        <v>0.1</v>
      </c>
      <c r="H1310" s="5">
        <v>0.4</v>
      </c>
      <c r="I1310" s="5">
        <v>0.05</v>
      </c>
      <c r="J1310" s="6">
        <v>0.75</v>
      </c>
      <c r="K1310" s="6">
        <v>0.77791666666666692</v>
      </c>
      <c r="L1310" s="6">
        <v>0.70755863922558426</v>
      </c>
      <c r="M1310" s="4" t="s">
        <v>115</v>
      </c>
      <c r="N1310" s="5">
        <v>0.12354812087232191</v>
      </c>
      <c r="O1310" s="4">
        <v>0</v>
      </c>
    </row>
    <row r="1311" spans="1:15" x14ac:dyDescent="0.3">
      <c r="A1311" s="4">
        <v>437</v>
      </c>
      <c r="B1311" s="4">
        <v>437000</v>
      </c>
      <c r="C1311" s="4" t="s">
        <v>15</v>
      </c>
      <c r="D1311" s="4" t="s">
        <v>161</v>
      </c>
      <c r="E1311" s="4" t="s">
        <v>17</v>
      </c>
      <c r="F1311" s="4" t="s">
        <v>18</v>
      </c>
      <c r="G1311" s="5">
        <v>0.72222222222222221</v>
      </c>
      <c r="H1311" s="5">
        <v>0.4</v>
      </c>
      <c r="I1311" s="5">
        <v>0.05</v>
      </c>
      <c r="J1311" s="6">
        <v>0.578125</v>
      </c>
      <c r="K1311" s="6">
        <v>0.84459459459459429</v>
      </c>
      <c r="L1311" s="6">
        <v>0.79291459794775965</v>
      </c>
      <c r="M1311" s="4" t="s">
        <v>115</v>
      </c>
      <c r="N1311" s="5">
        <v>0.12354812087232191</v>
      </c>
      <c r="O1311" s="4">
        <v>0</v>
      </c>
    </row>
    <row r="1312" spans="1:15" x14ac:dyDescent="0.3">
      <c r="A1312" s="4">
        <v>437</v>
      </c>
      <c r="B1312" s="4">
        <v>437000</v>
      </c>
      <c r="C1312" s="4" t="s">
        <v>15</v>
      </c>
      <c r="D1312" s="4" t="s">
        <v>162</v>
      </c>
      <c r="E1312" s="4" t="s">
        <v>17</v>
      </c>
      <c r="F1312" s="4" t="s">
        <v>18</v>
      </c>
      <c r="G1312" s="5">
        <v>0.81111111111111112</v>
      </c>
      <c r="H1312" s="5">
        <v>0.4</v>
      </c>
      <c r="I1312" s="5">
        <v>0.1166666666666667</v>
      </c>
      <c r="J1312" s="6">
        <v>0.421875</v>
      </c>
      <c r="K1312" s="6">
        <v>0.84925925925925894</v>
      </c>
      <c r="L1312" s="6">
        <v>0.57876206660921581</v>
      </c>
      <c r="M1312" s="4" t="s">
        <v>115</v>
      </c>
      <c r="N1312" s="5">
        <v>0.12354812087232191</v>
      </c>
      <c r="O1312" s="4">
        <v>0</v>
      </c>
    </row>
    <row r="1313" spans="1:15" x14ac:dyDescent="0.3">
      <c r="A1313" s="4">
        <v>438</v>
      </c>
      <c r="B1313" s="4">
        <v>438000</v>
      </c>
      <c r="C1313" s="4" t="s">
        <v>15</v>
      </c>
      <c r="D1313" s="4" t="s">
        <v>16</v>
      </c>
      <c r="E1313" s="4" t="s">
        <v>17</v>
      </c>
      <c r="F1313" s="4" t="s">
        <v>18</v>
      </c>
      <c r="G1313" s="5">
        <v>0.1</v>
      </c>
      <c r="H1313" s="5">
        <v>0.4</v>
      </c>
      <c r="I1313" s="5">
        <v>0.05</v>
      </c>
      <c r="J1313" s="6">
        <v>0.61971830985915488</v>
      </c>
      <c r="K1313" s="6">
        <v>0.79340909090909095</v>
      </c>
      <c r="L1313" s="6">
        <v>0.58559906057017397</v>
      </c>
      <c r="M1313" s="4" t="s">
        <v>143</v>
      </c>
      <c r="N1313" s="5">
        <v>0.15938582686131761</v>
      </c>
      <c r="O1313" s="4">
        <v>1</v>
      </c>
    </row>
    <row r="1314" spans="1:15" x14ac:dyDescent="0.3">
      <c r="A1314" s="4">
        <v>438</v>
      </c>
      <c r="B1314" s="4">
        <v>438000</v>
      </c>
      <c r="C1314" s="4" t="s">
        <v>15</v>
      </c>
      <c r="D1314" s="4" t="s">
        <v>161</v>
      </c>
      <c r="E1314" s="4" t="s">
        <v>17</v>
      </c>
      <c r="F1314" s="4" t="s">
        <v>18</v>
      </c>
      <c r="G1314" s="5">
        <v>0.72222222222222221</v>
      </c>
      <c r="H1314" s="5">
        <v>0.4</v>
      </c>
      <c r="I1314" s="5">
        <v>0.05</v>
      </c>
      <c r="J1314" s="6">
        <v>0.52112676056338025</v>
      </c>
      <c r="K1314" s="6">
        <v>0.84135135135135108</v>
      </c>
      <c r="L1314" s="6">
        <v>0.78708005847711737</v>
      </c>
      <c r="M1314" s="4" t="s">
        <v>143</v>
      </c>
      <c r="N1314" s="5">
        <v>0.15938582686131761</v>
      </c>
      <c r="O1314" s="4">
        <v>1</v>
      </c>
    </row>
    <row r="1315" spans="1:15" x14ac:dyDescent="0.3">
      <c r="A1315" s="4">
        <v>438</v>
      </c>
      <c r="B1315" s="4">
        <v>438000</v>
      </c>
      <c r="C1315" s="4" t="s">
        <v>15</v>
      </c>
      <c r="D1315" s="4" t="s">
        <v>162</v>
      </c>
      <c r="E1315" s="4" t="s">
        <v>17</v>
      </c>
      <c r="F1315" s="4" t="s">
        <v>18</v>
      </c>
      <c r="G1315" s="5">
        <v>0.81111111111111112</v>
      </c>
      <c r="H1315" s="5">
        <v>0.4</v>
      </c>
      <c r="I1315" s="5">
        <v>0.05</v>
      </c>
      <c r="J1315" s="6">
        <v>0.45070422535211269</v>
      </c>
      <c r="K1315" s="6">
        <v>0.85531249999999981</v>
      </c>
      <c r="L1315" s="6">
        <v>0.74591441581637652</v>
      </c>
      <c r="M1315" s="4" t="s">
        <v>143</v>
      </c>
      <c r="N1315" s="5">
        <v>0.15938582686131761</v>
      </c>
      <c r="O1315" s="4">
        <v>1</v>
      </c>
    </row>
    <row r="1316" spans="1:15" x14ac:dyDescent="0.3">
      <c r="A1316" s="4">
        <v>439</v>
      </c>
      <c r="B1316" s="4">
        <v>439000</v>
      </c>
      <c r="C1316" s="4" t="s">
        <v>15</v>
      </c>
      <c r="D1316" s="4" t="s">
        <v>16</v>
      </c>
      <c r="E1316" s="4" t="s">
        <v>17</v>
      </c>
      <c r="F1316" s="4" t="s">
        <v>18</v>
      </c>
      <c r="G1316" s="5">
        <v>0.1</v>
      </c>
      <c r="H1316" s="5">
        <v>0.4</v>
      </c>
      <c r="I1316" s="5">
        <v>0.05</v>
      </c>
      <c r="J1316" s="6">
        <v>0.67567567567567566</v>
      </c>
      <c r="K1316" s="6">
        <v>0.74840000000000007</v>
      </c>
      <c r="L1316" s="6">
        <v>0.60062287224580946</v>
      </c>
      <c r="M1316" s="4" t="s">
        <v>73</v>
      </c>
      <c r="N1316" s="5">
        <v>9.2179487071023664E-2</v>
      </c>
      <c r="O1316" s="4">
        <v>0</v>
      </c>
    </row>
    <row r="1317" spans="1:15" x14ac:dyDescent="0.3">
      <c r="A1317" s="4">
        <v>439</v>
      </c>
      <c r="B1317" s="4">
        <v>439000</v>
      </c>
      <c r="C1317" s="4" t="s">
        <v>15</v>
      </c>
      <c r="D1317" s="4" t="s">
        <v>161</v>
      </c>
      <c r="E1317" s="4" t="s">
        <v>17</v>
      </c>
      <c r="F1317" s="4" t="s">
        <v>18</v>
      </c>
      <c r="G1317" s="5">
        <v>0.72222222222222221</v>
      </c>
      <c r="H1317" s="5">
        <v>0.4</v>
      </c>
      <c r="I1317" s="5">
        <v>0.05</v>
      </c>
      <c r="J1317" s="6">
        <v>0.5</v>
      </c>
      <c r="K1317" s="6">
        <v>0.82567567567567546</v>
      </c>
      <c r="L1317" s="6">
        <v>0.63269132805538475</v>
      </c>
      <c r="M1317" s="4" t="s">
        <v>73</v>
      </c>
      <c r="N1317" s="5">
        <v>9.2179487071023664E-2</v>
      </c>
      <c r="O1317" s="4">
        <v>0</v>
      </c>
    </row>
    <row r="1318" spans="1:15" x14ac:dyDescent="0.3">
      <c r="A1318" s="4">
        <v>439</v>
      </c>
      <c r="B1318" s="4">
        <v>439000</v>
      </c>
      <c r="C1318" s="4" t="s">
        <v>15</v>
      </c>
      <c r="D1318" s="4" t="s">
        <v>162</v>
      </c>
      <c r="E1318" s="4" t="s">
        <v>17</v>
      </c>
      <c r="F1318" s="4" t="s">
        <v>18</v>
      </c>
      <c r="G1318" s="5">
        <v>0.81111111111111112</v>
      </c>
      <c r="H1318" s="5">
        <v>0.4</v>
      </c>
      <c r="I1318" s="5">
        <v>0.05</v>
      </c>
      <c r="J1318" s="6">
        <v>0.43243243243243251</v>
      </c>
      <c r="K1318" s="6">
        <v>0.83437499999999976</v>
      </c>
      <c r="L1318" s="6">
        <v>0.71089538669294117</v>
      </c>
      <c r="M1318" s="4" t="s">
        <v>73</v>
      </c>
      <c r="N1318" s="5">
        <v>9.2179487071023664E-2</v>
      </c>
      <c r="O1318" s="4">
        <v>0</v>
      </c>
    </row>
    <row r="1319" spans="1:15" x14ac:dyDescent="0.3">
      <c r="A1319" s="4">
        <v>440</v>
      </c>
      <c r="B1319" s="4">
        <v>440000</v>
      </c>
      <c r="C1319" s="4" t="s">
        <v>15</v>
      </c>
      <c r="D1319" s="4" t="s">
        <v>16</v>
      </c>
      <c r="E1319" s="4" t="s">
        <v>17</v>
      </c>
      <c r="F1319" s="4" t="s">
        <v>18</v>
      </c>
      <c r="G1319" s="5">
        <v>0.1</v>
      </c>
      <c r="H1319" s="5">
        <v>0.4</v>
      </c>
      <c r="I1319" s="5">
        <v>0.05</v>
      </c>
      <c r="J1319" s="6">
        <v>0.65789473684210531</v>
      </c>
      <c r="K1319" s="6">
        <v>0.75840000000000019</v>
      </c>
      <c r="L1319" s="6">
        <v>0.56174883005679621</v>
      </c>
      <c r="M1319" s="4" t="s">
        <v>115</v>
      </c>
      <c r="N1319" s="5">
        <v>0.1242536887376247</v>
      </c>
      <c r="O1319" s="4">
        <v>0</v>
      </c>
    </row>
    <row r="1320" spans="1:15" x14ac:dyDescent="0.3">
      <c r="A1320" s="4">
        <v>440</v>
      </c>
      <c r="B1320" s="4">
        <v>440000</v>
      </c>
      <c r="C1320" s="4" t="s">
        <v>15</v>
      </c>
      <c r="D1320" s="4" t="s">
        <v>161</v>
      </c>
      <c r="E1320" s="4" t="s">
        <v>17</v>
      </c>
      <c r="F1320" s="4" t="s">
        <v>18</v>
      </c>
      <c r="G1320" s="5">
        <v>0.72222222222222221</v>
      </c>
      <c r="H1320" s="5">
        <v>0.4</v>
      </c>
      <c r="I1320" s="5">
        <v>0.05</v>
      </c>
      <c r="J1320" s="6">
        <v>0.51315789473684215</v>
      </c>
      <c r="K1320" s="6">
        <v>0.8438461538461538</v>
      </c>
      <c r="L1320" s="6">
        <v>0.71094084945714886</v>
      </c>
      <c r="M1320" s="4" t="s">
        <v>115</v>
      </c>
      <c r="N1320" s="5">
        <v>0.1242536887376247</v>
      </c>
      <c r="O1320" s="4">
        <v>0</v>
      </c>
    </row>
    <row r="1321" spans="1:15" x14ac:dyDescent="0.3">
      <c r="A1321" s="4">
        <v>440</v>
      </c>
      <c r="B1321" s="4">
        <v>440000</v>
      </c>
      <c r="C1321" s="4" t="s">
        <v>15</v>
      </c>
      <c r="D1321" s="4" t="s">
        <v>162</v>
      </c>
      <c r="E1321" s="4" t="s">
        <v>17</v>
      </c>
      <c r="F1321" s="4" t="s">
        <v>18</v>
      </c>
      <c r="G1321" s="5">
        <v>0.81111111111111112</v>
      </c>
      <c r="H1321" s="5">
        <v>0.4</v>
      </c>
      <c r="I1321" s="5">
        <v>0.05</v>
      </c>
      <c r="J1321" s="6">
        <v>0.42105263157894729</v>
      </c>
      <c r="K1321" s="6">
        <v>0.8609374999999998</v>
      </c>
      <c r="L1321" s="6">
        <v>0.78574331907665251</v>
      </c>
      <c r="M1321" s="4" t="s">
        <v>115</v>
      </c>
      <c r="N1321" s="5">
        <v>0.1242536887376247</v>
      </c>
      <c r="O1321" s="4">
        <v>0</v>
      </c>
    </row>
    <row r="1322" spans="1:15" x14ac:dyDescent="0.3">
      <c r="A1322" s="4">
        <v>441</v>
      </c>
      <c r="B1322" s="4">
        <v>441000</v>
      </c>
      <c r="C1322" s="4" t="s">
        <v>15</v>
      </c>
      <c r="D1322" s="4" t="s">
        <v>16</v>
      </c>
      <c r="E1322" s="4" t="s">
        <v>17</v>
      </c>
      <c r="F1322" s="4" t="s">
        <v>18</v>
      </c>
      <c r="G1322" s="5">
        <v>0.1</v>
      </c>
      <c r="H1322" s="5">
        <v>0.4</v>
      </c>
      <c r="I1322" s="5">
        <v>0.05</v>
      </c>
      <c r="J1322" s="6">
        <v>0.67567567567567566</v>
      </c>
      <c r="K1322" s="6">
        <v>0.75919999999999999</v>
      </c>
      <c r="L1322" s="6">
        <v>0.67511164537878221</v>
      </c>
      <c r="M1322" s="4" t="s">
        <v>19</v>
      </c>
      <c r="N1322" s="5">
        <v>1</v>
      </c>
      <c r="O1322" s="4">
        <v>1</v>
      </c>
    </row>
    <row r="1323" spans="1:15" x14ac:dyDescent="0.3">
      <c r="A1323" s="4">
        <v>441</v>
      </c>
      <c r="B1323" s="4">
        <v>441000</v>
      </c>
      <c r="C1323" s="4" t="s">
        <v>15</v>
      </c>
      <c r="D1323" s="4" t="s">
        <v>161</v>
      </c>
      <c r="E1323" s="4" t="s">
        <v>17</v>
      </c>
      <c r="F1323" s="4" t="s">
        <v>18</v>
      </c>
      <c r="G1323" s="5">
        <v>0.9</v>
      </c>
      <c r="H1323" s="5">
        <v>0.4</v>
      </c>
      <c r="I1323" s="5">
        <v>0.05</v>
      </c>
      <c r="J1323" s="6">
        <v>0.3783783783783784</v>
      </c>
      <c r="K1323" s="6">
        <v>0.8632142857142856</v>
      </c>
      <c r="L1323" s="6">
        <v>0.79658289670302607</v>
      </c>
      <c r="M1323" s="4" t="s">
        <v>19</v>
      </c>
      <c r="N1323" s="5">
        <v>1</v>
      </c>
      <c r="O1323" s="4">
        <v>1</v>
      </c>
    </row>
    <row r="1324" spans="1:15" x14ac:dyDescent="0.3">
      <c r="A1324" s="4">
        <v>441</v>
      </c>
      <c r="B1324" s="4">
        <v>441000</v>
      </c>
      <c r="C1324" s="4" t="s">
        <v>15</v>
      </c>
      <c r="D1324" s="4" t="s">
        <v>162</v>
      </c>
      <c r="E1324" s="4" t="s">
        <v>17</v>
      </c>
      <c r="F1324" s="4" t="s">
        <v>18</v>
      </c>
      <c r="G1324" s="5">
        <v>0.9</v>
      </c>
      <c r="H1324" s="5">
        <v>0.4</v>
      </c>
      <c r="I1324" s="5">
        <v>0.05</v>
      </c>
      <c r="J1324" s="6">
        <v>0.3783783783783784</v>
      </c>
      <c r="K1324" s="6">
        <v>0.8632142857142856</v>
      </c>
      <c r="L1324" s="6">
        <v>0.79658289670302607</v>
      </c>
      <c r="M1324" s="4" t="s">
        <v>19</v>
      </c>
      <c r="N1324" s="5">
        <v>1</v>
      </c>
      <c r="O1324" s="4">
        <v>1</v>
      </c>
    </row>
    <row r="1325" spans="1:15" x14ac:dyDescent="0.3">
      <c r="A1325" s="4">
        <v>442</v>
      </c>
      <c r="B1325" s="4">
        <v>442000</v>
      </c>
      <c r="C1325" s="4" t="s">
        <v>15</v>
      </c>
      <c r="D1325" s="4" t="s">
        <v>16</v>
      </c>
      <c r="E1325" s="4" t="s">
        <v>17</v>
      </c>
      <c r="F1325" s="4" t="s">
        <v>18</v>
      </c>
      <c r="G1325" s="5">
        <v>0.1</v>
      </c>
      <c r="H1325" s="5">
        <v>0.4</v>
      </c>
      <c r="I1325" s="5">
        <v>0.05</v>
      </c>
      <c r="J1325" s="6">
        <v>0.676056338028169</v>
      </c>
      <c r="K1325" s="6">
        <v>0.77395833333333364</v>
      </c>
      <c r="L1325" s="6">
        <v>0.64266994687755008</v>
      </c>
      <c r="M1325" s="4" t="s">
        <v>59</v>
      </c>
      <c r="N1325" s="5">
        <v>9.1132630929363689E-2</v>
      </c>
      <c r="O1325" s="4">
        <v>0</v>
      </c>
    </row>
    <row r="1326" spans="1:15" x14ac:dyDescent="0.3">
      <c r="A1326" s="4">
        <v>442</v>
      </c>
      <c r="B1326" s="4">
        <v>442000</v>
      </c>
      <c r="C1326" s="4" t="s">
        <v>15</v>
      </c>
      <c r="D1326" s="4" t="s">
        <v>161</v>
      </c>
      <c r="E1326" s="4" t="s">
        <v>17</v>
      </c>
      <c r="F1326" s="4" t="s">
        <v>18</v>
      </c>
      <c r="G1326" s="5">
        <v>0.9</v>
      </c>
      <c r="H1326" s="5">
        <v>0.4</v>
      </c>
      <c r="I1326" s="5">
        <v>0.05</v>
      </c>
      <c r="J1326" s="6">
        <v>0.42253521126760563</v>
      </c>
      <c r="K1326" s="6">
        <v>0.87000000000000022</v>
      </c>
      <c r="L1326" s="6">
        <v>0.761748790425261</v>
      </c>
      <c r="M1326" s="4" t="s">
        <v>59</v>
      </c>
      <c r="N1326" s="5">
        <v>9.1132630929363689E-2</v>
      </c>
      <c r="O1326" s="4">
        <v>0</v>
      </c>
    </row>
    <row r="1327" spans="1:15" x14ac:dyDescent="0.3">
      <c r="A1327" s="4">
        <v>442</v>
      </c>
      <c r="B1327" s="4">
        <v>442000</v>
      </c>
      <c r="C1327" s="4" t="s">
        <v>15</v>
      </c>
      <c r="D1327" s="4" t="s">
        <v>162</v>
      </c>
      <c r="E1327" s="4" t="s">
        <v>17</v>
      </c>
      <c r="F1327" s="4" t="s">
        <v>18</v>
      </c>
      <c r="G1327" s="5">
        <v>0.9</v>
      </c>
      <c r="H1327" s="5">
        <v>0.4</v>
      </c>
      <c r="I1327" s="5">
        <v>0.05</v>
      </c>
      <c r="J1327" s="6">
        <v>0.42253521126760563</v>
      </c>
      <c r="K1327" s="6">
        <v>0.87000000000000022</v>
      </c>
      <c r="L1327" s="6">
        <v>0.761748790425261</v>
      </c>
      <c r="M1327" s="4" t="s">
        <v>59</v>
      </c>
      <c r="N1327" s="5">
        <v>9.1132630929363689E-2</v>
      </c>
      <c r="O1327" s="4">
        <v>0</v>
      </c>
    </row>
    <row r="1328" spans="1:15" x14ac:dyDescent="0.3">
      <c r="A1328" s="4">
        <v>443</v>
      </c>
      <c r="B1328" s="4">
        <v>443000</v>
      </c>
      <c r="C1328" s="4" t="s">
        <v>15</v>
      </c>
      <c r="D1328" s="4" t="s">
        <v>16</v>
      </c>
      <c r="E1328" s="4" t="s">
        <v>17</v>
      </c>
      <c r="F1328" s="4" t="s">
        <v>18</v>
      </c>
      <c r="G1328" s="5">
        <v>0.1</v>
      </c>
      <c r="H1328" s="5">
        <v>0.4</v>
      </c>
      <c r="I1328" s="5">
        <v>0.05</v>
      </c>
      <c r="J1328" s="6">
        <v>0.73134328358208955</v>
      </c>
      <c r="K1328" s="6">
        <v>0.78061224489795922</v>
      </c>
      <c r="L1328" s="6">
        <v>0.72195667761324955</v>
      </c>
      <c r="M1328" s="4" t="s">
        <v>66</v>
      </c>
      <c r="N1328" s="5">
        <v>0.15438253131854951</v>
      </c>
      <c r="O1328" s="4">
        <v>1</v>
      </c>
    </row>
    <row r="1329" spans="1:15" x14ac:dyDescent="0.3">
      <c r="A1329" s="4">
        <v>443</v>
      </c>
      <c r="B1329" s="4">
        <v>443000</v>
      </c>
      <c r="C1329" s="4" t="s">
        <v>15</v>
      </c>
      <c r="D1329" s="4" t="s">
        <v>161</v>
      </c>
      <c r="E1329" s="4" t="s">
        <v>17</v>
      </c>
      <c r="F1329" s="4" t="s">
        <v>18</v>
      </c>
      <c r="G1329" s="5">
        <v>0.72222222222222221</v>
      </c>
      <c r="H1329" s="5">
        <v>0.4</v>
      </c>
      <c r="I1329" s="5">
        <v>0.05</v>
      </c>
      <c r="J1329" s="6">
        <v>0.53731343283582089</v>
      </c>
      <c r="K1329" s="6">
        <v>0.85916666666666619</v>
      </c>
      <c r="L1329" s="6">
        <v>0.7783786194658624</v>
      </c>
      <c r="M1329" s="4" t="s">
        <v>66</v>
      </c>
      <c r="N1329" s="5">
        <v>0.15438253131854951</v>
      </c>
      <c r="O1329" s="4">
        <v>1</v>
      </c>
    </row>
    <row r="1330" spans="1:15" x14ac:dyDescent="0.3">
      <c r="A1330" s="4">
        <v>443</v>
      </c>
      <c r="B1330" s="4">
        <v>443000</v>
      </c>
      <c r="C1330" s="4" t="s">
        <v>15</v>
      </c>
      <c r="D1330" s="4" t="s">
        <v>162</v>
      </c>
      <c r="E1330" s="4" t="s">
        <v>17</v>
      </c>
      <c r="F1330" s="4" t="s">
        <v>18</v>
      </c>
      <c r="G1330" s="5">
        <v>0.81111111111111112</v>
      </c>
      <c r="H1330" s="5">
        <v>0.4</v>
      </c>
      <c r="I1330" s="5">
        <v>0.05</v>
      </c>
      <c r="J1330" s="6">
        <v>0.4925373134328358</v>
      </c>
      <c r="K1330" s="6">
        <v>0.86727272727272686</v>
      </c>
      <c r="L1330" s="6">
        <v>0.77095912589266369</v>
      </c>
      <c r="M1330" s="4" t="s">
        <v>66</v>
      </c>
      <c r="N1330" s="5">
        <v>0.15438253131854951</v>
      </c>
      <c r="O1330" s="4">
        <v>1</v>
      </c>
    </row>
    <row r="1331" spans="1:15" x14ac:dyDescent="0.3">
      <c r="A1331" s="4">
        <v>444</v>
      </c>
      <c r="B1331" s="4">
        <v>444000</v>
      </c>
      <c r="C1331" s="4" t="s">
        <v>15</v>
      </c>
      <c r="D1331" s="4" t="s">
        <v>16</v>
      </c>
      <c r="E1331" s="4" t="s">
        <v>17</v>
      </c>
      <c r="F1331" s="4" t="s">
        <v>18</v>
      </c>
      <c r="G1331" s="5">
        <v>0.1</v>
      </c>
      <c r="H1331" s="5">
        <v>0.4</v>
      </c>
      <c r="I1331" s="5">
        <v>0.05</v>
      </c>
      <c r="J1331" s="6">
        <v>0.72580645161290325</v>
      </c>
      <c r="K1331" s="6">
        <v>0.79866666666666675</v>
      </c>
      <c r="L1331" s="6">
        <v>0.71012347949183052</v>
      </c>
      <c r="M1331" s="4" t="s">
        <v>19</v>
      </c>
      <c r="N1331" s="5">
        <v>1</v>
      </c>
      <c r="O1331" s="4">
        <v>1</v>
      </c>
    </row>
    <row r="1332" spans="1:15" x14ac:dyDescent="0.3">
      <c r="A1332" s="4">
        <v>444</v>
      </c>
      <c r="B1332" s="4">
        <v>444000</v>
      </c>
      <c r="C1332" s="4" t="s">
        <v>15</v>
      </c>
      <c r="D1332" s="4" t="s">
        <v>161</v>
      </c>
      <c r="E1332" s="4" t="s">
        <v>17</v>
      </c>
      <c r="F1332" s="4" t="s">
        <v>18</v>
      </c>
      <c r="G1332" s="5">
        <v>0.81111111111111112</v>
      </c>
      <c r="H1332" s="5">
        <v>0.4</v>
      </c>
      <c r="I1332" s="5">
        <v>0.05</v>
      </c>
      <c r="J1332" s="6">
        <v>0.54838709677419351</v>
      </c>
      <c r="K1332" s="6">
        <v>0.86058823529411732</v>
      </c>
      <c r="L1332" s="6">
        <v>0.7865815183412731</v>
      </c>
      <c r="M1332" s="4" t="s">
        <v>19</v>
      </c>
      <c r="N1332" s="5">
        <v>1</v>
      </c>
      <c r="O1332" s="4">
        <v>1</v>
      </c>
    </row>
    <row r="1333" spans="1:15" x14ac:dyDescent="0.3">
      <c r="A1333" s="4">
        <v>444</v>
      </c>
      <c r="B1333" s="4">
        <v>444000</v>
      </c>
      <c r="C1333" s="4" t="s">
        <v>15</v>
      </c>
      <c r="D1333" s="4" t="s">
        <v>162</v>
      </c>
      <c r="E1333" s="4" t="s">
        <v>17</v>
      </c>
      <c r="F1333" s="4" t="s">
        <v>18</v>
      </c>
      <c r="G1333" s="5">
        <v>0.81111111111111112</v>
      </c>
      <c r="H1333" s="5">
        <v>0.4</v>
      </c>
      <c r="I1333" s="5">
        <v>0.05</v>
      </c>
      <c r="J1333" s="6">
        <v>0.54838709677419351</v>
      </c>
      <c r="K1333" s="6">
        <v>0.86058823529411732</v>
      </c>
      <c r="L1333" s="6">
        <v>0.7865815183412731</v>
      </c>
      <c r="M1333" s="4" t="s">
        <v>19</v>
      </c>
      <c r="N1333" s="5">
        <v>1</v>
      </c>
      <c r="O1333" s="4">
        <v>1</v>
      </c>
    </row>
    <row r="1334" spans="1:15" x14ac:dyDescent="0.3">
      <c r="A1334" s="4">
        <v>445</v>
      </c>
      <c r="B1334" s="4">
        <v>445000</v>
      </c>
      <c r="C1334" s="4" t="s">
        <v>15</v>
      </c>
      <c r="D1334" s="4" t="s">
        <v>16</v>
      </c>
      <c r="E1334" s="4" t="s">
        <v>17</v>
      </c>
      <c r="F1334" s="4" t="s">
        <v>18</v>
      </c>
      <c r="G1334" s="5">
        <v>0.1</v>
      </c>
      <c r="H1334" s="5">
        <v>0.4</v>
      </c>
      <c r="I1334" s="5">
        <v>0.05</v>
      </c>
      <c r="J1334" s="6">
        <v>0.78260869565217395</v>
      </c>
      <c r="K1334" s="6">
        <v>0.75185185185185177</v>
      </c>
      <c r="L1334" s="6">
        <v>0.69050033723440929</v>
      </c>
      <c r="M1334" s="4" t="s">
        <v>19</v>
      </c>
      <c r="N1334" s="5">
        <v>1</v>
      </c>
      <c r="O1334" s="4">
        <v>1</v>
      </c>
    </row>
    <row r="1335" spans="1:15" x14ac:dyDescent="0.3">
      <c r="A1335" s="4">
        <v>445</v>
      </c>
      <c r="B1335" s="4">
        <v>445000</v>
      </c>
      <c r="C1335" s="4" t="s">
        <v>15</v>
      </c>
      <c r="D1335" s="4" t="s">
        <v>161</v>
      </c>
      <c r="E1335" s="4" t="s">
        <v>17</v>
      </c>
      <c r="F1335" s="4" t="s">
        <v>18</v>
      </c>
      <c r="G1335" s="5">
        <v>0.72222222222222221</v>
      </c>
      <c r="H1335" s="5">
        <v>0.4</v>
      </c>
      <c r="I1335" s="5">
        <v>0.05</v>
      </c>
      <c r="J1335" s="6">
        <v>0.57971014492753625</v>
      </c>
      <c r="K1335" s="6">
        <v>0.8394999999999998</v>
      </c>
      <c r="L1335" s="6">
        <v>0.82613047964032393</v>
      </c>
      <c r="M1335" s="4" t="s">
        <v>19</v>
      </c>
      <c r="N1335" s="5">
        <v>1</v>
      </c>
      <c r="O1335" s="4">
        <v>1</v>
      </c>
    </row>
    <row r="1336" spans="1:15" x14ac:dyDescent="0.3">
      <c r="A1336" s="4">
        <v>445</v>
      </c>
      <c r="B1336" s="4">
        <v>445000</v>
      </c>
      <c r="C1336" s="4" t="s">
        <v>15</v>
      </c>
      <c r="D1336" s="4" t="s">
        <v>162</v>
      </c>
      <c r="E1336" s="4" t="s">
        <v>17</v>
      </c>
      <c r="F1336" s="4" t="s">
        <v>18</v>
      </c>
      <c r="G1336" s="5">
        <v>0.81111111111111112</v>
      </c>
      <c r="H1336" s="5">
        <v>0.4</v>
      </c>
      <c r="I1336" s="5">
        <v>0.05</v>
      </c>
      <c r="J1336" s="6">
        <v>0.44927536231884058</v>
      </c>
      <c r="K1336" s="6">
        <v>0.85709677419354824</v>
      </c>
      <c r="L1336" s="6">
        <v>0.76030360248339501</v>
      </c>
      <c r="M1336" s="4" t="s">
        <v>19</v>
      </c>
      <c r="N1336" s="5">
        <v>1</v>
      </c>
      <c r="O1336" s="4">
        <v>1</v>
      </c>
    </row>
    <row r="1337" spans="1:15" x14ac:dyDescent="0.3">
      <c r="A1337" s="4">
        <v>446</v>
      </c>
      <c r="B1337" s="4">
        <v>446000</v>
      </c>
      <c r="C1337" s="4" t="s">
        <v>15</v>
      </c>
      <c r="D1337" s="4" t="s">
        <v>16</v>
      </c>
      <c r="E1337" s="4" t="s">
        <v>17</v>
      </c>
      <c r="F1337" s="4" t="s">
        <v>18</v>
      </c>
      <c r="G1337" s="5">
        <v>0.1</v>
      </c>
      <c r="H1337" s="5">
        <v>0.4</v>
      </c>
      <c r="I1337" s="5">
        <v>0.05</v>
      </c>
      <c r="J1337" s="6">
        <v>0.74647887323943662</v>
      </c>
      <c r="K1337" s="6">
        <v>0.76113207547169803</v>
      </c>
      <c r="L1337" s="6">
        <v>0.72329079274020514</v>
      </c>
      <c r="M1337" s="4" t="s">
        <v>154</v>
      </c>
      <c r="N1337" s="5">
        <v>9.7822354927621341E-2</v>
      </c>
      <c r="O1337" s="4">
        <v>0</v>
      </c>
    </row>
    <row r="1338" spans="1:15" x14ac:dyDescent="0.3">
      <c r="A1338" s="4">
        <v>446</v>
      </c>
      <c r="B1338" s="4">
        <v>446000</v>
      </c>
      <c r="C1338" s="4" t="s">
        <v>15</v>
      </c>
      <c r="D1338" s="4" t="s">
        <v>161</v>
      </c>
      <c r="E1338" s="4" t="s">
        <v>17</v>
      </c>
      <c r="F1338" s="4" t="s">
        <v>18</v>
      </c>
      <c r="G1338" s="5">
        <v>0.72222222222222221</v>
      </c>
      <c r="H1338" s="5">
        <v>0.4</v>
      </c>
      <c r="I1338" s="5">
        <v>0.05</v>
      </c>
      <c r="J1338" s="6">
        <v>0.56338028169014087</v>
      </c>
      <c r="K1338" s="6">
        <v>0.83924999999999961</v>
      </c>
      <c r="L1338" s="6">
        <v>0.79095277406484599</v>
      </c>
      <c r="M1338" s="4" t="s">
        <v>154</v>
      </c>
      <c r="N1338" s="5">
        <v>9.7822354927621341E-2</v>
      </c>
      <c r="O1338" s="4">
        <v>0</v>
      </c>
    </row>
    <row r="1339" spans="1:15" x14ac:dyDescent="0.3">
      <c r="A1339" s="4">
        <v>446</v>
      </c>
      <c r="B1339" s="4">
        <v>446000</v>
      </c>
      <c r="C1339" s="4" t="s">
        <v>15</v>
      </c>
      <c r="D1339" s="4" t="s">
        <v>162</v>
      </c>
      <c r="E1339" s="4" t="s">
        <v>17</v>
      </c>
      <c r="F1339" s="4" t="s">
        <v>18</v>
      </c>
      <c r="G1339" s="5">
        <v>0.81111111111111112</v>
      </c>
      <c r="H1339" s="5">
        <v>0.4</v>
      </c>
      <c r="I1339" s="5">
        <v>0.05</v>
      </c>
      <c r="J1339" s="6">
        <v>0.46478873239436619</v>
      </c>
      <c r="K1339" s="6">
        <v>0.85363636363636342</v>
      </c>
      <c r="L1339" s="6">
        <v>0.77335161750104664</v>
      </c>
      <c r="M1339" s="4" t="s">
        <v>154</v>
      </c>
      <c r="N1339" s="5">
        <v>9.7822354927621341E-2</v>
      </c>
      <c r="O1339" s="4">
        <v>0</v>
      </c>
    </row>
    <row r="1340" spans="1:15" x14ac:dyDescent="0.3">
      <c r="A1340" s="4">
        <v>447</v>
      </c>
      <c r="B1340" s="4">
        <v>447000</v>
      </c>
      <c r="C1340" s="4" t="s">
        <v>15</v>
      </c>
      <c r="D1340" s="4" t="s">
        <v>16</v>
      </c>
      <c r="E1340" s="4" t="s">
        <v>17</v>
      </c>
      <c r="F1340" s="4" t="s">
        <v>18</v>
      </c>
      <c r="G1340" s="5">
        <v>0.1</v>
      </c>
      <c r="H1340" s="5">
        <v>0.4</v>
      </c>
      <c r="I1340" s="5">
        <v>0.05</v>
      </c>
      <c r="J1340" s="6">
        <v>0.72222222222222221</v>
      </c>
      <c r="K1340" s="6">
        <v>0.79173076923076924</v>
      </c>
      <c r="L1340" s="6">
        <v>0.69843516217862511</v>
      </c>
      <c r="M1340" s="4" t="s">
        <v>115</v>
      </c>
      <c r="N1340" s="5">
        <v>0.1243350526493172</v>
      </c>
      <c r="O1340" s="4">
        <v>0</v>
      </c>
    </row>
    <row r="1341" spans="1:15" x14ac:dyDescent="0.3">
      <c r="A1341" s="4">
        <v>447</v>
      </c>
      <c r="B1341" s="4">
        <v>447000</v>
      </c>
      <c r="C1341" s="4" t="s">
        <v>15</v>
      </c>
      <c r="D1341" s="4" t="s">
        <v>161</v>
      </c>
      <c r="E1341" s="4" t="s">
        <v>17</v>
      </c>
      <c r="F1341" s="4" t="s">
        <v>18</v>
      </c>
      <c r="G1341" s="5">
        <v>0.72222222222222221</v>
      </c>
      <c r="H1341" s="5">
        <v>0.4</v>
      </c>
      <c r="I1341" s="5">
        <v>0.05</v>
      </c>
      <c r="J1341" s="6">
        <v>0.61111111111111116</v>
      </c>
      <c r="K1341" s="6">
        <v>0.82545454545454533</v>
      </c>
      <c r="L1341" s="6">
        <v>0.76619753733070606</v>
      </c>
      <c r="M1341" s="4" t="s">
        <v>115</v>
      </c>
      <c r="N1341" s="5">
        <v>0.1243350526493172</v>
      </c>
      <c r="O1341" s="4">
        <v>0</v>
      </c>
    </row>
    <row r="1342" spans="1:15" x14ac:dyDescent="0.3">
      <c r="A1342" s="4">
        <v>447</v>
      </c>
      <c r="B1342" s="4">
        <v>447000</v>
      </c>
      <c r="C1342" s="4" t="s">
        <v>15</v>
      </c>
      <c r="D1342" s="4" t="s">
        <v>162</v>
      </c>
      <c r="E1342" s="4" t="s">
        <v>17</v>
      </c>
      <c r="F1342" s="4" t="s">
        <v>18</v>
      </c>
      <c r="G1342" s="5">
        <v>0.81111111111111112</v>
      </c>
      <c r="H1342" s="5">
        <v>0.4</v>
      </c>
      <c r="I1342" s="5">
        <v>0.05</v>
      </c>
      <c r="J1342" s="6">
        <v>0.5</v>
      </c>
      <c r="K1342" s="6">
        <v>0.83444444444444421</v>
      </c>
      <c r="L1342" s="6">
        <v>0.74953674624196331</v>
      </c>
      <c r="M1342" s="4" t="s">
        <v>115</v>
      </c>
      <c r="N1342" s="5">
        <v>0.1243350526493172</v>
      </c>
      <c r="O1342" s="4">
        <v>0</v>
      </c>
    </row>
    <row r="1343" spans="1:15" x14ac:dyDescent="0.3">
      <c r="A1343" s="4">
        <v>448</v>
      </c>
      <c r="B1343" s="4">
        <v>448000</v>
      </c>
      <c r="C1343" s="4" t="s">
        <v>15</v>
      </c>
      <c r="D1343" s="4" t="s">
        <v>16</v>
      </c>
      <c r="E1343" s="4" t="s">
        <v>17</v>
      </c>
      <c r="F1343" s="4" t="s">
        <v>18</v>
      </c>
      <c r="G1343" s="5">
        <v>0.1</v>
      </c>
      <c r="H1343" s="5">
        <v>0.4</v>
      </c>
      <c r="I1343" s="5">
        <v>0.05</v>
      </c>
      <c r="J1343" s="6">
        <v>0.75</v>
      </c>
      <c r="K1343" s="6">
        <v>0.74912280701754408</v>
      </c>
      <c r="L1343" s="6">
        <v>0.67677542054953144</v>
      </c>
      <c r="M1343" s="4" t="s">
        <v>147</v>
      </c>
      <c r="N1343" s="5">
        <v>0.15194391468326129</v>
      </c>
      <c r="O1343" s="4">
        <v>1</v>
      </c>
    </row>
    <row r="1344" spans="1:15" x14ac:dyDescent="0.3">
      <c r="A1344" s="4">
        <v>448</v>
      </c>
      <c r="B1344" s="4">
        <v>448000</v>
      </c>
      <c r="C1344" s="4" t="s">
        <v>15</v>
      </c>
      <c r="D1344" s="4" t="s">
        <v>161</v>
      </c>
      <c r="E1344" s="4" t="s">
        <v>17</v>
      </c>
      <c r="F1344" s="4" t="s">
        <v>18</v>
      </c>
      <c r="G1344" s="5">
        <v>0.81111111111111112</v>
      </c>
      <c r="H1344" s="5">
        <v>0.60000000000000009</v>
      </c>
      <c r="I1344" s="5">
        <v>0.05</v>
      </c>
      <c r="J1344" s="6">
        <v>0.43421052631578949</v>
      </c>
      <c r="K1344" s="6">
        <v>0.86454545454545451</v>
      </c>
      <c r="L1344" s="6">
        <v>0.77888068882735295</v>
      </c>
      <c r="M1344" s="4" t="s">
        <v>147</v>
      </c>
      <c r="N1344" s="5">
        <v>0.15194391468326129</v>
      </c>
      <c r="O1344" s="4">
        <v>1</v>
      </c>
    </row>
    <row r="1345" spans="1:15" x14ac:dyDescent="0.3">
      <c r="A1345" s="4">
        <v>448</v>
      </c>
      <c r="B1345" s="4">
        <v>448000</v>
      </c>
      <c r="C1345" s="4" t="s">
        <v>15</v>
      </c>
      <c r="D1345" s="4" t="s">
        <v>162</v>
      </c>
      <c r="E1345" s="4" t="s">
        <v>17</v>
      </c>
      <c r="F1345" s="4" t="s">
        <v>18</v>
      </c>
      <c r="G1345" s="5">
        <v>0.81111111111111112</v>
      </c>
      <c r="H1345" s="5">
        <v>0.60000000000000009</v>
      </c>
      <c r="I1345" s="5">
        <v>0.05</v>
      </c>
      <c r="J1345" s="6">
        <v>0.43421052631578949</v>
      </c>
      <c r="K1345" s="6">
        <v>0.86454545454545451</v>
      </c>
      <c r="L1345" s="6">
        <v>0.77888068882735295</v>
      </c>
      <c r="M1345" s="4" t="s">
        <v>147</v>
      </c>
      <c r="N1345" s="5">
        <v>0.15194391468326129</v>
      </c>
      <c r="O1345" s="4">
        <v>1</v>
      </c>
    </row>
    <row r="1346" spans="1:15" x14ac:dyDescent="0.3">
      <c r="A1346" s="4">
        <v>449</v>
      </c>
      <c r="B1346" s="4">
        <v>449000</v>
      </c>
      <c r="C1346" s="4" t="s">
        <v>15</v>
      </c>
      <c r="D1346" s="4" t="s">
        <v>16</v>
      </c>
      <c r="E1346" s="4" t="s">
        <v>17</v>
      </c>
      <c r="F1346" s="4" t="s">
        <v>18</v>
      </c>
      <c r="G1346" s="5">
        <v>0.1</v>
      </c>
      <c r="H1346" s="5">
        <v>0.4</v>
      </c>
      <c r="I1346" s="5">
        <v>0.05</v>
      </c>
      <c r="J1346" s="6">
        <v>0.73684210526315785</v>
      </c>
      <c r="K1346" s="6">
        <v>0.73071428571428565</v>
      </c>
      <c r="L1346" s="6">
        <v>0.58926496861277589</v>
      </c>
      <c r="M1346" s="4" t="s">
        <v>155</v>
      </c>
      <c r="N1346" s="5">
        <v>6.7389635686301727E-2</v>
      </c>
      <c r="O1346" s="4">
        <v>0</v>
      </c>
    </row>
    <row r="1347" spans="1:15" x14ac:dyDescent="0.3">
      <c r="A1347" s="4">
        <v>449</v>
      </c>
      <c r="B1347" s="4">
        <v>449000</v>
      </c>
      <c r="C1347" s="4" t="s">
        <v>15</v>
      </c>
      <c r="D1347" s="4" t="s">
        <v>161</v>
      </c>
      <c r="E1347" s="4" t="s">
        <v>17</v>
      </c>
      <c r="F1347" s="4" t="s">
        <v>18</v>
      </c>
      <c r="G1347" s="5">
        <v>0.81111111111111112</v>
      </c>
      <c r="H1347" s="5">
        <v>0.60000000000000009</v>
      </c>
      <c r="I1347" s="5">
        <v>0.05</v>
      </c>
      <c r="J1347" s="6">
        <v>0.43421052631578949</v>
      </c>
      <c r="K1347" s="6">
        <v>0.86757575757575756</v>
      </c>
      <c r="L1347" s="6">
        <v>0.77965797628881184</v>
      </c>
      <c r="M1347" s="4" t="s">
        <v>155</v>
      </c>
      <c r="N1347" s="5">
        <v>6.7389635686301727E-2</v>
      </c>
      <c r="O1347" s="4">
        <v>0</v>
      </c>
    </row>
    <row r="1348" spans="1:15" x14ac:dyDescent="0.3">
      <c r="A1348" s="4">
        <v>449</v>
      </c>
      <c r="B1348" s="4">
        <v>449000</v>
      </c>
      <c r="C1348" s="4" t="s">
        <v>15</v>
      </c>
      <c r="D1348" s="4" t="s">
        <v>162</v>
      </c>
      <c r="E1348" s="4" t="s">
        <v>17</v>
      </c>
      <c r="F1348" s="4" t="s">
        <v>18</v>
      </c>
      <c r="G1348" s="5">
        <v>0.81111111111111112</v>
      </c>
      <c r="H1348" s="5">
        <v>0.60000000000000009</v>
      </c>
      <c r="I1348" s="5">
        <v>0.05</v>
      </c>
      <c r="J1348" s="6">
        <v>0.43421052631578949</v>
      </c>
      <c r="K1348" s="6">
        <v>0.86757575757575756</v>
      </c>
      <c r="L1348" s="6">
        <v>0.77965797628881184</v>
      </c>
      <c r="M1348" s="4" t="s">
        <v>155</v>
      </c>
      <c r="N1348" s="5">
        <v>6.7389635686301727E-2</v>
      </c>
      <c r="O1348" s="4">
        <v>0</v>
      </c>
    </row>
    <row r="1349" spans="1:15" x14ac:dyDescent="0.3">
      <c r="A1349" s="4">
        <v>450</v>
      </c>
      <c r="B1349" s="4">
        <v>450000</v>
      </c>
      <c r="C1349" s="4" t="s">
        <v>15</v>
      </c>
      <c r="D1349" s="4" t="s">
        <v>16</v>
      </c>
      <c r="E1349" s="4" t="s">
        <v>17</v>
      </c>
      <c r="F1349" s="4" t="s">
        <v>18</v>
      </c>
      <c r="G1349" s="5">
        <v>0.1</v>
      </c>
      <c r="H1349" s="5">
        <v>0.4</v>
      </c>
      <c r="I1349" s="5">
        <v>0.05</v>
      </c>
      <c r="J1349" s="6">
        <v>0.75</v>
      </c>
      <c r="K1349" s="6">
        <v>0.77196078431372572</v>
      </c>
      <c r="L1349" s="6">
        <v>0.69221343851465333</v>
      </c>
      <c r="M1349" s="4" t="s">
        <v>156</v>
      </c>
      <c r="N1349" s="5">
        <v>9.908581814494001E-2</v>
      </c>
      <c r="O1349" s="4">
        <v>0</v>
      </c>
    </row>
    <row r="1350" spans="1:15" x14ac:dyDescent="0.3">
      <c r="A1350" s="4">
        <v>450</v>
      </c>
      <c r="B1350" s="4">
        <v>450000</v>
      </c>
      <c r="C1350" s="4" t="s">
        <v>15</v>
      </c>
      <c r="D1350" s="4" t="s">
        <v>161</v>
      </c>
      <c r="E1350" s="4" t="s">
        <v>17</v>
      </c>
      <c r="F1350" s="4" t="s">
        <v>18</v>
      </c>
      <c r="G1350" s="5">
        <v>0.81111111111111112</v>
      </c>
      <c r="H1350" s="5">
        <v>0.60000000000000009</v>
      </c>
      <c r="I1350" s="5">
        <v>0.05</v>
      </c>
      <c r="J1350" s="6">
        <v>0.48529411764705882</v>
      </c>
      <c r="K1350" s="6">
        <v>0.86636363636363645</v>
      </c>
      <c r="L1350" s="6">
        <v>0.78426827804112231</v>
      </c>
      <c r="M1350" s="4" t="s">
        <v>156</v>
      </c>
      <c r="N1350" s="5">
        <v>9.908581814494001E-2</v>
      </c>
      <c r="O1350" s="4">
        <v>0</v>
      </c>
    </row>
    <row r="1351" spans="1:15" x14ac:dyDescent="0.3">
      <c r="A1351" s="4">
        <v>450</v>
      </c>
      <c r="B1351" s="4">
        <v>450000</v>
      </c>
      <c r="C1351" s="4" t="s">
        <v>15</v>
      </c>
      <c r="D1351" s="4" t="s">
        <v>162</v>
      </c>
      <c r="E1351" s="4" t="s">
        <v>17</v>
      </c>
      <c r="F1351" s="4" t="s">
        <v>18</v>
      </c>
      <c r="G1351" s="5">
        <v>0.81111111111111112</v>
      </c>
      <c r="H1351" s="5">
        <v>0.60000000000000009</v>
      </c>
      <c r="I1351" s="5">
        <v>0.05</v>
      </c>
      <c r="J1351" s="6">
        <v>0.48529411764705882</v>
      </c>
      <c r="K1351" s="6">
        <v>0.86636363636363645</v>
      </c>
      <c r="L1351" s="6">
        <v>0.78426827804112231</v>
      </c>
      <c r="M1351" s="4" t="s">
        <v>156</v>
      </c>
      <c r="N1351" s="5">
        <v>9.908581814494001E-2</v>
      </c>
      <c r="O1351" s="4">
        <v>0</v>
      </c>
    </row>
    <row r="1352" spans="1:15" x14ac:dyDescent="0.3">
      <c r="A1352" s="4">
        <v>451</v>
      </c>
      <c r="B1352" s="4">
        <v>451000</v>
      </c>
      <c r="C1352" s="4" t="s">
        <v>15</v>
      </c>
      <c r="D1352" s="4" t="s">
        <v>16</v>
      </c>
      <c r="E1352" s="4" t="s">
        <v>17</v>
      </c>
      <c r="F1352" s="4" t="s">
        <v>18</v>
      </c>
      <c r="G1352" s="5">
        <v>0.1</v>
      </c>
      <c r="H1352" s="5">
        <v>0.4</v>
      </c>
      <c r="I1352" s="5">
        <v>0.05</v>
      </c>
      <c r="J1352" s="6">
        <v>0.73134328358208955</v>
      </c>
      <c r="K1352" s="6">
        <v>0.80122448979591843</v>
      </c>
      <c r="L1352" s="6">
        <v>0.62456628970930694</v>
      </c>
      <c r="M1352" s="4" t="s">
        <v>29</v>
      </c>
      <c r="N1352" s="5">
        <v>0.12118143300550629</v>
      </c>
      <c r="O1352" s="4">
        <v>0</v>
      </c>
    </row>
    <row r="1353" spans="1:15" x14ac:dyDescent="0.3">
      <c r="A1353" s="4">
        <v>451</v>
      </c>
      <c r="B1353" s="4">
        <v>451000</v>
      </c>
      <c r="C1353" s="4" t="s">
        <v>15</v>
      </c>
      <c r="D1353" s="4" t="s">
        <v>161</v>
      </c>
      <c r="E1353" s="4" t="s">
        <v>17</v>
      </c>
      <c r="F1353" s="4" t="s">
        <v>18</v>
      </c>
      <c r="G1353" s="5">
        <v>0.81111111111111112</v>
      </c>
      <c r="H1353" s="5">
        <v>0.60000000000000009</v>
      </c>
      <c r="I1353" s="5">
        <v>0.05</v>
      </c>
      <c r="J1353" s="6">
        <v>0.52238805970149249</v>
      </c>
      <c r="K1353" s="6">
        <v>0.8651428571428571</v>
      </c>
      <c r="L1353" s="6">
        <v>0.78781531173086972</v>
      </c>
      <c r="M1353" s="4" t="s">
        <v>29</v>
      </c>
      <c r="N1353" s="5">
        <v>0.12118143300550629</v>
      </c>
      <c r="O1353" s="4">
        <v>0</v>
      </c>
    </row>
    <row r="1354" spans="1:15" x14ac:dyDescent="0.3">
      <c r="A1354" s="4">
        <v>451</v>
      </c>
      <c r="B1354" s="4">
        <v>451000</v>
      </c>
      <c r="C1354" s="4" t="s">
        <v>15</v>
      </c>
      <c r="D1354" s="4" t="s">
        <v>162</v>
      </c>
      <c r="E1354" s="4" t="s">
        <v>17</v>
      </c>
      <c r="F1354" s="4" t="s">
        <v>18</v>
      </c>
      <c r="G1354" s="5">
        <v>0.81111111111111112</v>
      </c>
      <c r="H1354" s="5">
        <v>0.60000000000000009</v>
      </c>
      <c r="I1354" s="5">
        <v>0.05</v>
      </c>
      <c r="J1354" s="6">
        <v>0.52238805970149249</v>
      </c>
      <c r="K1354" s="6">
        <v>0.8651428571428571</v>
      </c>
      <c r="L1354" s="6">
        <v>0.78781531173086972</v>
      </c>
      <c r="M1354" s="4" t="s">
        <v>29</v>
      </c>
      <c r="N1354" s="5">
        <v>0.12118143300550629</v>
      </c>
      <c r="O1354" s="4">
        <v>0</v>
      </c>
    </row>
    <row r="1355" spans="1:15" x14ac:dyDescent="0.3">
      <c r="A1355" s="4">
        <v>452</v>
      </c>
      <c r="B1355" s="4">
        <v>452000</v>
      </c>
      <c r="C1355" s="4" t="s">
        <v>15</v>
      </c>
      <c r="D1355" s="4" t="s">
        <v>16</v>
      </c>
      <c r="E1355" s="4" t="s">
        <v>17</v>
      </c>
      <c r="F1355" s="4" t="s">
        <v>18</v>
      </c>
      <c r="G1355" s="5">
        <v>0.1</v>
      </c>
      <c r="H1355" s="5">
        <v>0.4</v>
      </c>
      <c r="I1355" s="5">
        <v>0.05</v>
      </c>
      <c r="J1355" s="6">
        <v>0.69841269841269837</v>
      </c>
      <c r="K1355" s="6">
        <v>0.81113636363636377</v>
      </c>
      <c r="L1355" s="6">
        <v>0.70018735006404886</v>
      </c>
      <c r="M1355" s="4" t="s">
        <v>135</v>
      </c>
      <c r="N1355" s="5">
        <v>0.1435021879582096</v>
      </c>
      <c r="O1355" s="4">
        <v>0</v>
      </c>
    </row>
    <row r="1356" spans="1:15" x14ac:dyDescent="0.3">
      <c r="A1356" s="4">
        <v>452</v>
      </c>
      <c r="B1356" s="4">
        <v>452000</v>
      </c>
      <c r="C1356" s="4" t="s">
        <v>15</v>
      </c>
      <c r="D1356" s="4" t="s">
        <v>161</v>
      </c>
      <c r="E1356" s="4" t="s">
        <v>17</v>
      </c>
      <c r="F1356" s="4" t="s">
        <v>18</v>
      </c>
      <c r="G1356" s="5">
        <v>0.81111111111111112</v>
      </c>
      <c r="H1356" s="5">
        <v>0.60000000000000009</v>
      </c>
      <c r="I1356" s="5">
        <v>0.05</v>
      </c>
      <c r="J1356" s="6">
        <v>0.55555555555555558</v>
      </c>
      <c r="K1356" s="6">
        <v>0.86085714285714288</v>
      </c>
      <c r="L1356" s="6">
        <v>0.72464353906247081</v>
      </c>
      <c r="M1356" s="4" t="s">
        <v>135</v>
      </c>
      <c r="N1356" s="5">
        <v>0.1435021879582096</v>
      </c>
      <c r="O1356" s="4">
        <v>0</v>
      </c>
    </row>
    <row r="1357" spans="1:15" x14ac:dyDescent="0.3">
      <c r="A1357" s="4">
        <v>452</v>
      </c>
      <c r="B1357" s="4">
        <v>452000</v>
      </c>
      <c r="C1357" s="4" t="s">
        <v>15</v>
      </c>
      <c r="D1357" s="4" t="s">
        <v>162</v>
      </c>
      <c r="E1357" s="4" t="s">
        <v>17</v>
      </c>
      <c r="F1357" s="4" t="s">
        <v>18</v>
      </c>
      <c r="G1357" s="5">
        <v>0.81111111111111112</v>
      </c>
      <c r="H1357" s="5">
        <v>0.60000000000000009</v>
      </c>
      <c r="I1357" s="5">
        <v>0.05</v>
      </c>
      <c r="J1357" s="6">
        <v>0.55555555555555558</v>
      </c>
      <c r="K1357" s="6">
        <v>0.86085714285714288</v>
      </c>
      <c r="L1357" s="6">
        <v>0.72464353906247081</v>
      </c>
      <c r="M1357" s="4" t="s">
        <v>135</v>
      </c>
      <c r="N1357" s="5">
        <v>0.1435021879582096</v>
      </c>
      <c r="O1357" s="4">
        <v>0</v>
      </c>
    </row>
    <row r="1358" spans="1:15" x14ac:dyDescent="0.3">
      <c r="A1358" s="4">
        <v>453</v>
      </c>
      <c r="B1358" s="4">
        <v>453000</v>
      </c>
      <c r="C1358" s="4" t="s">
        <v>15</v>
      </c>
      <c r="D1358" s="4" t="s">
        <v>16</v>
      </c>
      <c r="E1358" s="4" t="s">
        <v>17</v>
      </c>
      <c r="F1358" s="4" t="s">
        <v>18</v>
      </c>
      <c r="G1358" s="5">
        <v>0.1</v>
      </c>
      <c r="H1358" s="5">
        <v>0.4</v>
      </c>
      <c r="I1358" s="5">
        <v>0.05</v>
      </c>
      <c r="J1358" s="6">
        <v>0.66176470588235292</v>
      </c>
      <c r="K1358" s="6">
        <v>0.79488888888888898</v>
      </c>
      <c r="L1358" s="6">
        <v>0.58117042944597419</v>
      </c>
      <c r="M1358" s="4" t="s">
        <v>19</v>
      </c>
      <c r="N1358" s="5">
        <v>1</v>
      </c>
      <c r="O1358" s="4">
        <v>1</v>
      </c>
    </row>
    <row r="1359" spans="1:15" x14ac:dyDescent="0.3">
      <c r="A1359" s="4">
        <v>453</v>
      </c>
      <c r="B1359" s="4">
        <v>453000</v>
      </c>
      <c r="C1359" s="4" t="s">
        <v>15</v>
      </c>
      <c r="D1359" s="4" t="s">
        <v>161</v>
      </c>
      <c r="E1359" s="4" t="s">
        <v>17</v>
      </c>
      <c r="F1359" s="4" t="s">
        <v>18</v>
      </c>
      <c r="G1359" s="5">
        <v>0.72222222222222221</v>
      </c>
      <c r="H1359" s="5">
        <v>0.4</v>
      </c>
      <c r="I1359" s="5">
        <v>0.05</v>
      </c>
      <c r="J1359" s="6">
        <v>0.54411764705882348</v>
      </c>
      <c r="K1359" s="6">
        <v>0.84945945945945944</v>
      </c>
      <c r="L1359" s="6">
        <v>0.72817636127946039</v>
      </c>
      <c r="M1359" s="4" t="s">
        <v>19</v>
      </c>
      <c r="N1359" s="5">
        <v>1</v>
      </c>
      <c r="O1359" s="4">
        <v>1</v>
      </c>
    </row>
    <row r="1360" spans="1:15" x14ac:dyDescent="0.3">
      <c r="A1360" s="4">
        <v>453</v>
      </c>
      <c r="B1360" s="4">
        <v>453000</v>
      </c>
      <c r="C1360" s="4" t="s">
        <v>15</v>
      </c>
      <c r="D1360" s="4" t="s">
        <v>162</v>
      </c>
      <c r="E1360" s="4" t="s">
        <v>17</v>
      </c>
      <c r="F1360" s="4" t="s">
        <v>18</v>
      </c>
      <c r="G1360" s="5">
        <v>0.9</v>
      </c>
      <c r="H1360" s="5">
        <v>0.4</v>
      </c>
      <c r="I1360" s="5">
        <v>0.05</v>
      </c>
      <c r="J1360" s="6">
        <v>0.39705882352941169</v>
      </c>
      <c r="K1360" s="6">
        <v>0.85888888888888859</v>
      </c>
      <c r="L1360" s="6">
        <v>0.64630413078968829</v>
      </c>
      <c r="M1360" s="4" t="s">
        <v>19</v>
      </c>
      <c r="N1360" s="5">
        <v>1</v>
      </c>
      <c r="O1360" s="4">
        <v>1</v>
      </c>
    </row>
    <row r="1361" spans="1:15" x14ac:dyDescent="0.3">
      <c r="A1361" s="4">
        <v>454</v>
      </c>
      <c r="B1361" s="4">
        <v>454000</v>
      </c>
      <c r="C1361" s="4" t="s">
        <v>15</v>
      </c>
      <c r="D1361" s="4" t="s">
        <v>16</v>
      </c>
      <c r="E1361" s="4" t="s">
        <v>17</v>
      </c>
      <c r="F1361" s="4" t="s">
        <v>18</v>
      </c>
      <c r="G1361" s="5">
        <v>0.1</v>
      </c>
      <c r="H1361" s="5">
        <v>0.4</v>
      </c>
      <c r="I1361" s="5">
        <v>0.05</v>
      </c>
      <c r="J1361" s="6">
        <v>0.68181818181818177</v>
      </c>
      <c r="K1361" s="6">
        <v>0.76311111111111107</v>
      </c>
      <c r="L1361" s="6">
        <v>0.59804937534749947</v>
      </c>
      <c r="M1361" s="4" t="s">
        <v>19</v>
      </c>
      <c r="N1361" s="5">
        <v>1</v>
      </c>
      <c r="O1361" s="4">
        <v>1</v>
      </c>
    </row>
    <row r="1362" spans="1:15" x14ac:dyDescent="0.3">
      <c r="A1362" s="4">
        <v>454</v>
      </c>
      <c r="B1362" s="4">
        <v>454000</v>
      </c>
      <c r="C1362" s="4" t="s">
        <v>15</v>
      </c>
      <c r="D1362" s="4" t="s">
        <v>161</v>
      </c>
      <c r="E1362" s="4" t="s">
        <v>17</v>
      </c>
      <c r="F1362" s="4" t="s">
        <v>18</v>
      </c>
      <c r="G1362" s="5">
        <v>0.81111111111111112</v>
      </c>
      <c r="H1362" s="5">
        <v>0.4</v>
      </c>
      <c r="I1362" s="5">
        <v>0.05</v>
      </c>
      <c r="J1362" s="6">
        <v>0.5</v>
      </c>
      <c r="K1362" s="6">
        <v>0.85545454545454536</v>
      </c>
      <c r="L1362" s="6">
        <v>0.70022139741773504</v>
      </c>
      <c r="M1362" s="4" t="s">
        <v>19</v>
      </c>
      <c r="N1362" s="5">
        <v>1</v>
      </c>
      <c r="O1362" s="4">
        <v>1</v>
      </c>
    </row>
    <row r="1363" spans="1:15" x14ac:dyDescent="0.3">
      <c r="A1363" s="4">
        <v>454</v>
      </c>
      <c r="B1363" s="4">
        <v>454000</v>
      </c>
      <c r="C1363" s="4" t="s">
        <v>15</v>
      </c>
      <c r="D1363" s="4" t="s">
        <v>162</v>
      </c>
      <c r="E1363" s="4" t="s">
        <v>17</v>
      </c>
      <c r="F1363" s="4" t="s">
        <v>18</v>
      </c>
      <c r="G1363" s="5">
        <v>0.81111111111111112</v>
      </c>
      <c r="H1363" s="5">
        <v>0.4</v>
      </c>
      <c r="I1363" s="5">
        <v>0.05</v>
      </c>
      <c r="J1363" s="6">
        <v>0.5</v>
      </c>
      <c r="K1363" s="6">
        <v>0.85545454545454536</v>
      </c>
      <c r="L1363" s="6">
        <v>0.70022139741773504</v>
      </c>
      <c r="M1363" s="4" t="s">
        <v>19</v>
      </c>
      <c r="N1363" s="5">
        <v>1</v>
      </c>
      <c r="O1363" s="4">
        <v>1</v>
      </c>
    </row>
    <row r="1364" spans="1:15" x14ac:dyDescent="0.3">
      <c r="A1364" s="4">
        <v>455</v>
      </c>
      <c r="B1364" s="4">
        <v>455000</v>
      </c>
      <c r="C1364" s="4" t="s">
        <v>15</v>
      </c>
      <c r="D1364" s="4" t="s">
        <v>16</v>
      </c>
      <c r="E1364" s="4" t="s">
        <v>17</v>
      </c>
      <c r="F1364" s="4" t="s">
        <v>18</v>
      </c>
      <c r="G1364" s="5">
        <v>0.1</v>
      </c>
      <c r="H1364" s="5">
        <v>0.4</v>
      </c>
      <c r="I1364" s="5">
        <v>0.05</v>
      </c>
      <c r="J1364" s="6">
        <v>0.69230769230769229</v>
      </c>
      <c r="K1364" s="6">
        <v>0.7884444444444445</v>
      </c>
      <c r="L1364" s="6">
        <v>0.8258417923030269</v>
      </c>
      <c r="M1364" s="4" t="s">
        <v>64</v>
      </c>
      <c r="N1364" s="5">
        <v>0.121774120427944</v>
      </c>
      <c r="O1364" s="4">
        <v>0</v>
      </c>
    </row>
    <row r="1365" spans="1:15" x14ac:dyDescent="0.3">
      <c r="A1365" s="4">
        <v>455</v>
      </c>
      <c r="B1365" s="4">
        <v>455000</v>
      </c>
      <c r="C1365" s="4" t="s">
        <v>15</v>
      </c>
      <c r="D1365" s="4" t="s">
        <v>161</v>
      </c>
      <c r="E1365" s="4" t="s">
        <v>17</v>
      </c>
      <c r="F1365" s="4" t="s">
        <v>18</v>
      </c>
      <c r="G1365" s="5">
        <v>0.81111111111111112</v>
      </c>
      <c r="H1365" s="5">
        <v>0.4</v>
      </c>
      <c r="I1365" s="5">
        <v>0.05</v>
      </c>
      <c r="J1365" s="6">
        <v>0.49230769230769228</v>
      </c>
      <c r="K1365" s="6">
        <v>0.85937499999999978</v>
      </c>
      <c r="L1365" s="6">
        <v>0.73978888543735311</v>
      </c>
      <c r="M1365" s="4" t="s">
        <v>64</v>
      </c>
      <c r="N1365" s="5">
        <v>0.121774120427944</v>
      </c>
      <c r="O1365" s="4">
        <v>0</v>
      </c>
    </row>
    <row r="1366" spans="1:15" x14ac:dyDescent="0.3">
      <c r="A1366" s="4">
        <v>455</v>
      </c>
      <c r="B1366" s="4">
        <v>455000</v>
      </c>
      <c r="C1366" s="4" t="s">
        <v>15</v>
      </c>
      <c r="D1366" s="4" t="s">
        <v>162</v>
      </c>
      <c r="E1366" s="4" t="s">
        <v>17</v>
      </c>
      <c r="F1366" s="4" t="s">
        <v>18</v>
      </c>
      <c r="G1366" s="5">
        <v>0.81111111111111112</v>
      </c>
      <c r="H1366" s="5">
        <v>0.4</v>
      </c>
      <c r="I1366" s="5">
        <v>0.05</v>
      </c>
      <c r="J1366" s="6">
        <v>0.49230769230769228</v>
      </c>
      <c r="K1366" s="6">
        <v>0.85937499999999978</v>
      </c>
      <c r="L1366" s="6">
        <v>0.73978888543735311</v>
      </c>
      <c r="M1366" s="4" t="s">
        <v>64</v>
      </c>
      <c r="N1366" s="5">
        <v>0.121774120427944</v>
      </c>
      <c r="O1366" s="4">
        <v>0</v>
      </c>
    </row>
    <row r="1367" spans="1:15" x14ac:dyDescent="0.3">
      <c r="A1367" s="4">
        <v>456</v>
      </c>
      <c r="B1367" s="4">
        <v>456000</v>
      </c>
      <c r="C1367" s="4" t="s">
        <v>15</v>
      </c>
      <c r="D1367" s="4" t="s">
        <v>16</v>
      </c>
      <c r="E1367" s="4" t="s">
        <v>17</v>
      </c>
      <c r="F1367" s="4" t="s">
        <v>18</v>
      </c>
      <c r="G1367" s="5">
        <v>0.1</v>
      </c>
      <c r="H1367" s="5">
        <v>0.4</v>
      </c>
      <c r="I1367" s="5">
        <v>0.05</v>
      </c>
      <c r="J1367" s="6">
        <v>0.70769230769230773</v>
      </c>
      <c r="K1367" s="6">
        <v>0.77717391304347838</v>
      </c>
      <c r="L1367" s="6">
        <v>0.64097640894667174</v>
      </c>
      <c r="M1367" s="4" t="s">
        <v>42</v>
      </c>
      <c r="N1367" s="5">
        <v>0.12876690269706209</v>
      </c>
      <c r="O1367" s="4">
        <v>0</v>
      </c>
    </row>
    <row r="1368" spans="1:15" x14ac:dyDescent="0.3">
      <c r="A1368" s="4">
        <v>456</v>
      </c>
      <c r="B1368" s="4">
        <v>456000</v>
      </c>
      <c r="C1368" s="4" t="s">
        <v>15</v>
      </c>
      <c r="D1368" s="4" t="s">
        <v>161</v>
      </c>
      <c r="E1368" s="4" t="s">
        <v>17</v>
      </c>
      <c r="F1368" s="4" t="s">
        <v>18</v>
      </c>
      <c r="G1368" s="5">
        <v>0.81111111111111112</v>
      </c>
      <c r="H1368" s="5">
        <v>0.4</v>
      </c>
      <c r="I1368" s="5">
        <v>0.05</v>
      </c>
      <c r="J1368" s="6">
        <v>0.47692307692307689</v>
      </c>
      <c r="K1368" s="6">
        <v>0.86225806451612885</v>
      </c>
      <c r="L1368" s="6">
        <v>0.74435825945924816</v>
      </c>
      <c r="M1368" s="4" t="s">
        <v>42</v>
      </c>
      <c r="N1368" s="5">
        <v>0.12876690269706209</v>
      </c>
      <c r="O1368" s="4">
        <v>0</v>
      </c>
    </row>
    <row r="1369" spans="1:15" x14ac:dyDescent="0.3">
      <c r="A1369" s="4">
        <v>456</v>
      </c>
      <c r="B1369" s="4">
        <v>456000</v>
      </c>
      <c r="C1369" s="4" t="s">
        <v>15</v>
      </c>
      <c r="D1369" s="4" t="s">
        <v>162</v>
      </c>
      <c r="E1369" s="4" t="s">
        <v>17</v>
      </c>
      <c r="F1369" s="4" t="s">
        <v>18</v>
      </c>
      <c r="G1369" s="5">
        <v>0.81111111111111112</v>
      </c>
      <c r="H1369" s="5">
        <v>0.4</v>
      </c>
      <c r="I1369" s="5">
        <v>0.05</v>
      </c>
      <c r="J1369" s="6">
        <v>0.47692307692307689</v>
      </c>
      <c r="K1369" s="6">
        <v>0.86225806451612885</v>
      </c>
      <c r="L1369" s="6">
        <v>0.74435825945924816</v>
      </c>
      <c r="M1369" s="4" t="s">
        <v>42</v>
      </c>
      <c r="N1369" s="5">
        <v>0.12876690269706209</v>
      </c>
      <c r="O1369" s="4">
        <v>0</v>
      </c>
    </row>
    <row r="1370" spans="1:15" x14ac:dyDescent="0.3">
      <c r="A1370" s="4">
        <v>457</v>
      </c>
      <c r="B1370" s="4">
        <v>457000</v>
      </c>
      <c r="C1370" s="4" t="s">
        <v>15</v>
      </c>
      <c r="D1370" s="4" t="s">
        <v>16</v>
      </c>
      <c r="E1370" s="4" t="s">
        <v>17</v>
      </c>
      <c r="F1370" s="4" t="s">
        <v>18</v>
      </c>
      <c r="G1370" s="5">
        <v>0.1</v>
      </c>
      <c r="H1370" s="5">
        <v>0.4</v>
      </c>
      <c r="I1370" s="5">
        <v>0.05</v>
      </c>
      <c r="J1370" s="6">
        <v>0.72307692307692306</v>
      </c>
      <c r="K1370" s="6">
        <v>0.77063829787234073</v>
      </c>
      <c r="L1370" s="6">
        <v>0.65629961934219117</v>
      </c>
      <c r="M1370" s="4" t="s">
        <v>157</v>
      </c>
      <c r="N1370" s="5">
        <v>0.22839316989205399</v>
      </c>
      <c r="O1370" s="4">
        <v>1</v>
      </c>
    </row>
    <row r="1371" spans="1:15" x14ac:dyDescent="0.3">
      <c r="A1371" s="4">
        <v>457</v>
      </c>
      <c r="B1371" s="4">
        <v>457000</v>
      </c>
      <c r="C1371" s="4" t="s">
        <v>15</v>
      </c>
      <c r="D1371" s="4" t="s">
        <v>161</v>
      </c>
      <c r="E1371" s="4" t="s">
        <v>17</v>
      </c>
      <c r="F1371" s="4" t="s">
        <v>18</v>
      </c>
      <c r="G1371" s="5">
        <v>0.72222222222222221</v>
      </c>
      <c r="H1371" s="5">
        <v>0.4</v>
      </c>
      <c r="I1371" s="5">
        <v>0.05</v>
      </c>
      <c r="J1371" s="6">
        <v>0.55384615384615388</v>
      </c>
      <c r="K1371" s="6">
        <v>0.85555555555555562</v>
      </c>
      <c r="L1371" s="6">
        <v>0.79453116626240816</v>
      </c>
      <c r="M1371" s="4" t="s">
        <v>157</v>
      </c>
      <c r="N1371" s="5">
        <v>0.22839316989205399</v>
      </c>
      <c r="O1371" s="4">
        <v>1</v>
      </c>
    </row>
    <row r="1372" spans="1:15" x14ac:dyDescent="0.3">
      <c r="A1372" s="4">
        <v>457</v>
      </c>
      <c r="B1372" s="4">
        <v>457000</v>
      </c>
      <c r="C1372" s="4" t="s">
        <v>15</v>
      </c>
      <c r="D1372" s="4" t="s">
        <v>162</v>
      </c>
      <c r="E1372" s="4" t="s">
        <v>17</v>
      </c>
      <c r="F1372" s="4" t="s">
        <v>18</v>
      </c>
      <c r="G1372" s="5">
        <v>0.9</v>
      </c>
      <c r="H1372" s="5">
        <v>0.4</v>
      </c>
      <c r="I1372" s="5">
        <v>0.05</v>
      </c>
      <c r="J1372" s="6">
        <v>0.44615384615384618</v>
      </c>
      <c r="K1372" s="6">
        <v>0.86413793103448266</v>
      </c>
      <c r="L1372" s="6">
        <v>0.76777804632970281</v>
      </c>
      <c r="M1372" s="4" t="s">
        <v>157</v>
      </c>
      <c r="N1372" s="5">
        <v>0.22839316989205399</v>
      </c>
      <c r="O1372" s="4">
        <v>1</v>
      </c>
    </row>
    <row r="1373" spans="1:15" x14ac:dyDescent="0.3">
      <c r="A1373" s="4">
        <v>458</v>
      </c>
      <c r="B1373" s="4">
        <v>458000</v>
      </c>
      <c r="C1373" s="4" t="s">
        <v>15</v>
      </c>
      <c r="D1373" s="4" t="s">
        <v>16</v>
      </c>
      <c r="E1373" s="4" t="s">
        <v>17</v>
      </c>
      <c r="F1373" s="4" t="s">
        <v>18</v>
      </c>
      <c r="G1373" s="5">
        <v>0.1</v>
      </c>
      <c r="H1373" s="5">
        <v>0.4</v>
      </c>
      <c r="I1373" s="5">
        <v>0.05</v>
      </c>
      <c r="J1373" s="6">
        <v>0.65714285714285714</v>
      </c>
      <c r="K1373" s="6">
        <v>0.78891304347826097</v>
      </c>
      <c r="L1373" s="6">
        <v>0.63269971708057537</v>
      </c>
      <c r="M1373" s="4" t="s">
        <v>80</v>
      </c>
      <c r="N1373" s="5">
        <v>0.14996568417252421</v>
      </c>
      <c r="O1373" s="4">
        <v>0</v>
      </c>
    </row>
    <row r="1374" spans="1:15" x14ac:dyDescent="0.3">
      <c r="A1374" s="4">
        <v>458</v>
      </c>
      <c r="B1374" s="4">
        <v>458000</v>
      </c>
      <c r="C1374" s="4" t="s">
        <v>15</v>
      </c>
      <c r="D1374" s="4" t="s">
        <v>161</v>
      </c>
      <c r="E1374" s="4" t="s">
        <v>17</v>
      </c>
      <c r="F1374" s="4" t="s">
        <v>18</v>
      </c>
      <c r="G1374" s="5">
        <v>0.72222222222222221</v>
      </c>
      <c r="H1374" s="5">
        <v>0.4</v>
      </c>
      <c r="I1374" s="5">
        <v>0.05</v>
      </c>
      <c r="J1374" s="6">
        <v>0.48571428571428571</v>
      </c>
      <c r="K1374" s="6">
        <v>0.85911764705882343</v>
      </c>
      <c r="L1374" s="6">
        <v>0.77599913506866514</v>
      </c>
      <c r="M1374" s="4" t="s">
        <v>80</v>
      </c>
      <c r="N1374" s="5">
        <v>0.14996568417252421</v>
      </c>
      <c r="O1374" s="4">
        <v>0</v>
      </c>
    </row>
    <row r="1375" spans="1:15" x14ac:dyDescent="0.3">
      <c r="A1375" s="4">
        <v>458</v>
      </c>
      <c r="B1375" s="4">
        <v>458000</v>
      </c>
      <c r="C1375" s="4" t="s">
        <v>15</v>
      </c>
      <c r="D1375" s="4" t="s">
        <v>162</v>
      </c>
      <c r="E1375" s="4" t="s">
        <v>17</v>
      </c>
      <c r="F1375" s="4" t="s">
        <v>18</v>
      </c>
      <c r="G1375" s="5">
        <v>0.9</v>
      </c>
      <c r="H1375" s="5">
        <v>0.4</v>
      </c>
      <c r="I1375" s="5">
        <v>0.05</v>
      </c>
      <c r="J1375" s="6">
        <v>0.38571428571428568</v>
      </c>
      <c r="K1375" s="6">
        <v>0.86259259259259247</v>
      </c>
      <c r="L1375" s="6">
        <v>0.78107459421004322</v>
      </c>
      <c r="M1375" s="4" t="s">
        <v>80</v>
      </c>
      <c r="N1375" s="5">
        <v>0.14996568417252421</v>
      </c>
      <c r="O1375" s="4">
        <v>0</v>
      </c>
    </row>
    <row r="1376" spans="1:15" x14ac:dyDescent="0.3">
      <c r="A1376" s="4">
        <v>459</v>
      </c>
      <c r="B1376" s="4">
        <v>459000</v>
      </c>
      <c r="C1376" s="4" t="s">
        <v>15</v>
      </c>
      <c r="D1376" s="4" t="s">
        <v>16</v>
      </c>
      <c r="E1376" s="4" t="s">
        <v>17</v>
      </c>
      <c r="F1376" s="4" t="s">
        <v>18</v>
      </c>
      <c r="G1376" s="5">
        <v>0.1</v>
      </c>
      <c r="H1376" s="5">
        <v>0.4</v>
      </c>
      <c r="I1376" s="5">
        <v>0.05</v>
      </c>
      <c r="J1376" s="6">
        <v>0.66666666666666663</v>
      </c>
      <c r="K1376" s="6">
        <v>0.79375000000000018</v>
      </c>
      <c r="L1376" s="6">
        <v>0.66329584783844564</v>
      </c>
      <c r="M1376" s="4" t="s">
        <v>158</v>
      </c>
      <c r="N1376" s="5">
        <v>0.21060046714165051</v>
      </c>
      <c r="O1376" s="4">
        <v>1</v>
      </c>
    </row>
    <row r="1377" spans="1:15" x14ac:dyDescent="0.3">
      <c r="A1377" s="4">
        <v>459</v>
      </c>
      <c r="B1377" s="4">
        <v>459000</v>
      </c>
      <c r="C1377" s="4" t="s">
        <v>15</v>
      </c>
      <c r="D1377" s="4" t="s">
        <v>161</v>
      </c>
      <c r="E1377" s="4" t="s">
        <v>17</v>
      </c>
      <c r="F1377" s="4" t="s">
        <v>18</v>
      </c>
      <c r="G1377" s="5">
        <v>0.72222222222222221</v>
      </c>
      <c r="H1377" s="5">
        <v>0.8</v>
      </c>
      <c r="I1377" s="5">
        <v>0.05</v>
      </c>
      <c r="J1377" s="6">
        <v>0.51388888888888884</v>
      </c>
      <c r="K1377" s="6">
        <v>0.88270270270270257</v>
      </c>
      <c r="L1377" s="6">
        <v>0.79797935864243363</v>
      </c>
      <c r="M1377" s="4" t="s">
        <v>158</v>
      </c>
      <c r="N1377" s="5">
        <v>0.21060046714165051</v>
      </c>
      <c r="O1377" s="4">
        <v>1</v>
      </c>
    </row>
    <row r="1378" spans="1:15" x14ac:dyDescent="0.3">
      <c r="A1378" s="4">
        <v>459</v>
      </c>
      <c r="B1378" s="4">
        <v>459000</v>
      </c>
      <c r="C1378" s="4" t="s">
        <v>15</v>
      </c>
      <c r="D1378" s="4" t="s">
        <v>162</v>
      </c>
      <c r="E1378" s="4" t="s">
        <v>17</v>
      </c>
      <c r="F1378" s="4" t="s">
        <v>18</v>
      </c>
      <c r="G1378" s="5">
        <v>0.9</v>
      </c>
      <c r="H1378" s="5">
        <v>0.8</v>
      </c>
      <c r="I1378" s="5">
        <v>0.05</v>
      </c>
      <c r="J1378" s="6">
        <v>0.40277777777777779</v>
      </c>
      <c r="K1378" s="6">
        <v>0.89793103448275857</v>
      </c>
      <c r="L1378" s="6">
        <v>0.76757299439461057</v>
      </c>
      <c r="M1378" s="4" t="s">
        <v>158</v>
      </c>
      <c r="N1378" s="5">
        <v>0.21060046714165051</v>
      </c>
      <c r="O1378" s="4">
        <v>1</v>
      </c>
    </row>
    <row r="1379" spans="1:15" x14ac:dyDescent="0.3">
      <c r="A1379" s="4">
        <v>460</v>
      </c>
      <c r="B1379" s="4">
        <v>460000</v>
      </c>
      <c r="C1379" s="4" t="s">
        <v>15</v>
      </c>
      <c r="D1379" s="4" t="s">
        <v>16</v>
      </c>
      <c r="E1379" s="4" t="s">
        <v>17</v>
      </c>
      <c r="F1379" s="4" t="s">
        <v>18</v>
      </c>
      <c r="G1379" s="5">
        <v>0.1</v>
      </c>
      <c r="H1379" s="5">
        <v>0.4</v>
      </c>
      <c r="I1379" s="5">
        <v>0.05</v>
      </c>
      <c r="J1379" s="6">
        <v>0.7</v>
      </c>
      <c r="K1379" s="6">
        <v>0.77142857142857135</v>
      </c>
      <c r="L1379" s="6">
        <v>0.67427293757607099</v>
      </c>
      <c r="M1379" s="4" t="s">
        <v>108</v>
      </c>
      <c r="N1379" s="5">
        <v>0.1148565844098518</v>
      </c>
      <c r="O1379" s="4">
        <v>0</v>
      </c>
    </row>
    <row r="1380" spans="1:15" x14ac:dyDescent="0.3">
      <c r="A1380" s="4">
        <v>460</v>
      </c>
      <c r="B1380" s="4">
        <v>460000</v>
      </c>
      <c r="C1380" s="4" t="s">
        <v>15</v>
      </c>
      <c r="D1380" s="4" t="s">
        <v>161</v>
      </c>
      <c r="E1380" s="4" t="s">
        <v>17</v>
      </c>
      <c r="F1380" s="4" t="s">
        <v>18</v>
      </c>
      <c r="G1380" s="5">
        <v>0.72222222222222221</v>
      </c>
      <c r="H1380" s="5">
        <v>0.8</v>
      </c>
      <c r="I1380" s="5">
        <v>0.05</v>
      </c>
      <c r="J1380" s="6">
        <v>0.52857142857142858</v>
      </c>
      <c r="K1380" s="6">
        <v>0.85756756756756736</v>
      </c>
      <c r="L1380" s="6">
        <v>0.75914536626680551</v>
      </c>
      <c r="M1380" s="4" t="s">
        <v>108</v>
      </c>
      <c r="N1380" s="5">
        <v>0.1148565844098518</v>
      </c>
      <c r="O1380" s="4">
        <v>0</v>
      </c>
    </row>
    <row r="1381" spans="1:15" x14ac:dyDescent="0.3">
      <c r="A1381" s="4">
        <v>460</v>
      </c>
      <c r="B1381" s="4">
        <v>460000</v>
      </c>
      <c r="C1381" s="4" t="s">
        <v>15</v>
      </c>
      <c r="D1381" s="4" t="s">
        <v>162</v>
      </c>
      <c r="E1381" s="4" t="s">
        <v>17</v>
      </c>
      <c r="F1381" s="4" t="s">
        <v>18</v>
      </c>
      <c r="G1381" s="5">
        <v>0.9</v>
      </c>
      <c r="H1381" s="5">
        <v>0.8</v>
      </c>
      <c r="I1381" s="5">
        <v>0.05</v>
      </c>
      <c r="J1381" s="6">
        <v>0.41428571428571431</v>
      </c>
      <c r="K1381" s="6">
        <v>0.86793103448275843</v>
      </c>
      <c r="L1381" s="6">
        <v>0.76570209575135684</v>
      </c>
      <c r="M1381" s="4" t="s">
        <v>108</v>
      </c>
      <c r="N1381" s="5">
        <v>0.1148565844098518</v>
      </c>
      <c r="O1381" s="4">
        <v>0</v>
      </c>
    </row>
    <row r="1382" spans="1:15" x14ac:dyDescent="0.3">
      <c r="A1382" s="4">
        <v>461</v>
      </c>
      <c r="B1382" s="4">
        <v>461000</v>
      </c>
      <c r="C1382" s="4" t="s">
        <v>15</v>
      </c>
      <c r="D1382" s="4" t="s">
        <v>16</v>
      </c>
      <c r="E1382" s="4" t="s">
        <v>17</v>
      </c>
      <c r="F1382" s="4" t="s">
        <v>18</v>
      </c>
      <c r="G1382" s="5">
        <v>0.1</v>
      </c>
      <c r="H1382" s="5">
        <v>0.4</v>
      </c>
      <c r="I1382" s="5">
        <v>0.05</v>
      </c>
      <c r="J1382" s="6">
        <v>0.71641791044776115</v>
      </c>
      <c r="K1382" s="6">
        <v>0.76375000000000004</v>
      </c>
      <c r="L1382" s="6">
        <v>0.73251908294320611</v>
      </c>
      <c r="M1382" s="4" t="s">
        <v>159</v>
      </c>
      <c r="N1382" s="5">
        <v>0.26861999367078232</v>
      </c>
      <c r="O1382" s="4">
        <v>1</v>
      </c>
    </row>
    <row r="1383" spans="1:15" x14ac:dyDescent="0.3">
      <c r="A1383" s="4">
        <v>461</v>
      </c>
      <c r="B1383" s="4">
        <v>461000</v>
      </c>
      <c r="C1383" s="4" t="s">
        <v>15</v>
      </c>
      <c r="D1383" s="4" t="s">
        <v>161</v>
      </c>
      <c r="E1383" s="4" t="s">
        <v>17</v>
      </c>
      <c r="F1383" s="4" t="s">
        <v>18</v>
      </c>
      <c r="G1383" s="5">
        <v>0.54444444444444451</v>
      </c>
      <c r="H1383" s="5">
        <v>0.4</v>
      </c>
      <c r="I1383" s="5">
        <v>0.05</v>
      </c>
      <c r="J1383" s="6">
        <v>0.58208955223880599</v>
      </c>
      <c r="K1383" s="6">
        <v>0.83871794871794858</v>
      </c>
      <c r="L1383" s="6">
        <v>0.79146882342810876</v>
      </c>
      <c r="M1383" s="4" t="s">
        <v>159</v>
      </c>
      <c r="N1383" s="5">
        <v>0.26861999367078232</v>
      </c>
      <c r="O1383" s="4">
        <v>1</v>
      </c>
    </row>
    <row r="1384" spans="1:15" x14ac:dyDescent="0.3">
      <c r="A1384" s="4">
        <v>461</v>
      </c>
      <c r="B1384" s="4">
        <v>461000</v>
      </c>
      <c r="C1384" s="4" t="s">
        <v>15</v>
      </c>
      <c r="D1384" s="4" t="s">
        <v>162</v>
      </c>
      <c r="E1384" s="4" t="s">
        <v>17</v>
      </c>
      <c r="F1384" s="4" t="s">
        <v>18</v>
      </c>
      <c r="G1384" s="5">
        <v>0.81111111111111112</v>
      </c>
      <c r="H1384" s="5">
        <v>0.4</v>
      </c>
      <c r="I1384" s="5">
        <v>0.05</v>
      </c>
      <c r="J1384" s="6">
        <v>0.47761194029850751</v>
      </c>
      <c r="K1384" s="6">
        <v>0.8637499999999998</v>
      </c>
      <c r="L1384" s="6">
        <v>0.75232481469387602</v>
      </c>
      <c r="M1384" s="4" t="s">
        <v>159</v>
      </c>
      <c r="N1384" s="5">
        <v>0.26861999367078232</v>
      </c>
      <c r="O1384" s="4">
        <v>1</v>
      </c>
    </row>
    <row r="1385" spans="1:15" x14ac:dyDescent="0.3">
      <c r="A1385" s="4">
        <v>462</v>
      </c>
      <c r="B1385" s="4">
        <v>462000</v>
      </c>
      <c r="C1385" s="4" t="s">
        <v>15</v>
      </c>
      <c r="D1385" s="4" t="s">
        <v>16</v>
      </c>
      <c r="E1385" s="4" t="s">
        <v>17</v>
      </c>
      <c r="F1385" s="4" t="s">
        <v>18</v>
      </c>
      <c r="G1385" s="5">
        <v>0.1</v>
      </c>
      <c r="H1385" s="5">
        <v>0.4</v>
      </c>
      <c r="I1385" s="5">
        <v>0.05</v>
      </c>
      <c r="J1385" s="6">
        <v>0.69696969696969702</v>
      </c>
      <c r="K1385" s="6">
        <v>0.76130434782608714</v>
      </c>
      <c r="L1385" s="6">
        <v>0.58861473360774175</v>
      </c>
      <c r="M1385" s="4" t="s">
        <v>59</v>
      </c>
      <c r="N1385" s="5">
        <v>9.1239518556572932E-2</v>
      </c>
      <c r="O1385" s="4">
        <v>0</v>
      </c>
    </row>
    <row r="1386" spans="1:15" x14ac:dyDescent="0.3">
      <c r="A1386" s="4">
        <v>462</v>
      </c>
      <c r="B1386" s="4">
        <v>462000</v>
      </c>
      <c r="C1386" s="4" t="s">
        <v>15</v>
      </c>
      <c r="D1386" s="4" t="s">
        <v>161</v>
      </c>
      <c r="E1386" s="4" t="s">
        <v>17</v>
      </c>
      <c r="F1386" s="4" t="s">
        <v>18</v>
      </c>
      <c r="G1386" s="5">
        <v>0.54444444444444451</v>
      </c>
      <c r="H1386" s="5">
        <v>0.4</v>
      </c>
      <c r="I1386" s="5">
        <v>0.05</v>
      </c>
      <c r="J1386" s="6">
        <v>0.60606060606060608</v>
      </c>
      <c r="K1386" s="6">
        <v>0.80750000000000011</v>
      </c>
      <c r="L1386" s="6">
        <v>0.71509694704647686</v>
      </c>
      <c r="M1386" s="4" t="s">
        <v>59</v>
      </c>
      <c r="N1386" s="5">
        <v>9.1239518556572932E-2</v>
      </c>
      <c r="O1386" s="4">
        <v>0</v>
      </c>
    </row>
    <row r="1387" spans="1:15" x14ac:dyDescent="0.3">
      <c r="A1387" s="4">
        <v>462</v>
      </c>
      <c r="B1387" s="4">
        <v>462000</v>
      </c>
      <c r="C1387" s="4" t="s">
        <v>15</v>
      </c>
      <c r="D1387" s="4" t="s">
        <v>162</v>
      </c>
      <c r="E1387" s="4" t="s">
        <v>17</v>
      </c>
      <c r="F1387" s="4" t="s">
        <v>18</v>
      </c>
      <c r="G1387" s="5">
        <v>0.81111111111111112</v>
      </c>
      <c r="H1387" s="5">
        <v>0.4</v>
      </c>
      <c r="I1387" s="5">
        <v>0.05</v>
      </c>
      <c r="J1387" s="6">
        <v>0.45454545454545447</v>
      </c>
      <c r="K1387" s="6">
        <v>0.83033333333333337</v>
      </c>
      <c r="L1387" s="6">
        <v>0.74075625627486108</v>
      </c>
      <c r="M1387" s="4" t="s">
        <v>59</v>
      </c>
      <c r="N1387" s="5">
        <v>9.1239518556572932E-2</v>
      </c>
      <c r="O1387" s="4">
        <v>0</v>
      </c>
    </row>
    <row r="1388" spans="1:15" x14ac:dyDescent="0.3">
      <c r="A1388" s="4">
        <v>463</v>
      </c>
      <c r="B1388" s="4">
        <v>463000</v>
      </c>
      <c r="C1388" s="4" t="s">
        <v>15</v>
      </c>
      <c r="D1388" s="4" t="s">
        <v>16</v>
      </c>
      <c r="E1388" s="4" t="s">
        <v>17</v>
      </c>
      <c r="F1388" s="4" t="s">
        <v>18</v>
      </c>
      <c r="G1388" s="5">
        <v>0.1</v>
      </c>
      <c r="H1388" s="5">
        <v>0.4</v>
      </c>
      <c r="I1388" s="5">
        <v>0.05</v>
      </c>
      <c r="J1388" s="6">
        <v>0.72727272727272729</v>
      </c>
      <c r="K1388" s="6">
        <v>0.75583333333333336</v>
      </c>
      <c r="L1388" s="6">
        <v>0.70798201222177015</v>
      </c>
      <c r="M1388" s="4" t="s">
        <v>65</v>
      </c>
      <c r="N1388" s="5">
        <v>0.1360374212895758</v>
      </c>
      <c r="O1388" s="4">
        <v>0</v>
      </c>
    </row>
    <row r="1389" spans="1:15" x14ac:dyDescent="0.3">
      <c r="A1389" s="4">
        <v>463</v>
      </c>
      <c r="B1389" s="4">
        <v>463000</v>
      </c>
      <c r="C1389" s="4" t="s">
        <v>15</v>
      </c>
      <c r="D1389" s="4" t="s">
        <v>161</v>
      </c>
      <c r="E1389" s="4" t="s">
        <v>17</v>
      </c>
      <c r="F1389" s="4" t="s">
        <v>18</v>
      </c>
      <c r="G1389" s="5">
        <v>0.54444444444444451</v>
      </c>
      <c r="H1389" s="5">
        <v>0.4</v>
      </c>
      <c r="I1389" s="5">
        <v>0.05</v>
      </c>
      <c r="J1389" s="6">
        <v>0.62121212121212122</v>
      </c>
      <c r="K1389" s="6">
        <v>0.80146341463414628</v>
      </c>
      <c r="L1389" s="6">
        <v>0.73637995393787747</v>
      </c>
      <c r="M1389" s="4" t="s">
        <v>65</v>
      </c>
      <c r="N1389" s="5">
        <v>0.1360374212895758</v>
      </c>
      <c r="O1389" s="4">
        <v>0</v>
      </c>
    </row>
    <row r="1390" spans="1:15" x14ac:dyDescent="0.3">
      <c r="A1390" s="4">
        <v>463</v>
      </c>
      <c r="B1390" s="4">
        <v>463000</v>
      </c>
      <c r="C1390" s="4" t="s">
        <v>15</v>
      </c>
      <c r="D1390" s="4" t="s">
        <v>162</v>
      </c>
      <c r="E1390" s="4" t="s">
        <v>17</v>
      </c>
      <c r="F1390" s="4" t="s">
        <v>18</v>
      </c>
      <c r="G1390" s="5">
        <v>0.81111111111111112</v>
      </c>
      <c r="H1390" s="5">
        <v>0.4</v>
      </c>
      <c r="I1390" s="5">
        <v>0.05</v>
      </c>
      <c r="J1390" s="6">
        <v>0.45454545454545447</v>
      </c>
      <c r="K1390" s="6">
        <v>0.82933333333333326</v>
      </c>
      <c r="L1390" s="6">
        <v>0.69845741503705228</v>
      </c>
      <c r="M1390" s="4" t="s">
        <v>65</v>
      </c>
      <c r="N1390" s="5">
        <v>0.1360374212895758</v>
      </c>
      <c r="O1390" s="4">
        <v>0</v>
      </c>
    </row>
    <row r="1391" spans="1:15" x14ac:dyDescent="0.3">
      <c r="A1391" s="4">
        <v>464</v>
      </c>
      <c r="B1391" s="4">
        <v>464000</v>
      </c>
      <c r="C1391" s="4" t="s">
        <v>15</v>
      </c>
      <c r="D1391" s="4" t="s">
        <v>16</v>
      </c>
      <c r="E1391" s="4" t="s">
        <v>17</v>
      </c>
      <c r="F1391" s="4" t="s">
        <v>18</v>
      </c>
      <c r="G1391" s="5">
        <v>0.1</v>
      </c>
      <c r="H1391" s="5">
        <v>0.4</v>
      </c>
      <c r="I1391" s="5">
        <v>0.05</v>
      </c>
      <c r="J1391" s="6">
        <v>0.71014492753623193</v>
      </c>
      <c r="K1391" s="6">
        <v>0.76102040816326533</v>
      </c>
      <c r="L1391" s="6">
        <v>0.74470299796056927</v>
      </c>
      <c r="M1391" s="4" t="s">
        <v>123</v>
      </c>
      <c r="N1391" s="5">
        <v>0.21164462839421111</v>
      </c>
      <c r="O1391" s="4">
        <v>1</v>
      </c>
    </row>
    <row r="1392" spans="1:15" x14ac:dyDescent="0.3">
      <c r="A1392" s="4">
        <v>464</v>
      </c>
      <c r="B1392" s="4">
        <v>464000</v>
      </c>
      <c r="C1392" s="4" t="s">
        <v>15</v>
      </c>
      <c r="D1392" s="4" t="s">
        <v>161</v>
      </c>
      <c r="E1392" s="4" t="s">
        <v>17</v>
      </c>
      <c r="F1392" s="4" t="s">
        <v>18</v>
      </c>
      <c r="G1392" s="5">
        <v>0.4555555555555556</v>
      </c>
      <c r="H1392" s="5">
        <v>0.60000000000000009</v>
      </c>
      <c r="I1392" s="5">
        <v>0.05</v>
      </c>
      <c r="J1392" s="6">
        <v>0.66666666666666663</v>
      </c>
      <c r="K1392" s="6">
        <v>0.79804347826086963</v>
      </c>
      <c r="L1392" s="6">
        <v>0.78184566917708276</v>
      </c>
      <c r="M1392" s="4" t="s">
        <v>123</v>
      </c>
      <c r="N1392" s="5">
        <v>0.21164462839421111</v>
      </c>
      <c r="O1392" s="4">
        <v>1</v>
      </c>
    </row>
    <row r="1393" spans="1:15" x14ac:dyDescent="0.3">
      <c r="A1393" s="4">
        <v>464</v>
      </c>
      <c r="B1393" s="4">
        <v>464000</v>
      </c>
      <c r="C1393" s="4" t="s">
        <v>15</v>
      </c>
      <c r="D1393" s="4" t="s">
        <v>162</v>
      </c>
      <c r="E1393" s="4" t="s">
        <v>17</v>
      </c>
      <c r="F1393" s="4" t="s">
        <v>18</v>
      </c>
      <c r="G1393" s="5">
        <v>0.81111111111111112</v>
      </c>
      <c r="H1393" s="5">
        <v>0.60000000000000009</v>
      </c>
      <c r="I1393" s="5">
        <v>0.05</v>
      </c>
      <c r="J1393" s="6">
        <v>0.46376811594202899</v>
      </c>
      <c r="K1393" s="6">
        <v>0.86312499999999981</v>
      </c>
      <c r="L1393" s="6">
        <v>0.74950801155595226</v>
      </c>
      <c r="M1393" s="4" t="s">
        <v>123</v>
      </c>
      <c r="N1393" s="5">
        <v>0.21164462839421111</v>
      </c>
      <c r="O1393" s="4">
        <v>1</v>
      </c>
    </row>
    <row r="1394" spans="1:15" x14ac:dyDescent="0.3">
      <c r="A1394" s="4">
        <v>465</v>
      </c>
      <c r="B1394" s="4">
        <v>465000</v>
      </c>
      <c r="C1394" s="4" t="s">
        <v>15</v>
      </c>
      <c r="D1394" s="4" t="s">
        <v>16</v>
      </c>
      <c r="E1394" s="4" t="s">
        <v>17</v>
      </c>
      <c r="F1394" s="4" t="s">
        <v>18</v>
      </c>
      <c r="G1394" s="5">
        <v>0.1</v>
      </c>
      <c r="H1394" s="5">
        <v>0.4</v>
      </c>
      <c r="I1394" s="5">
        <v>0.05</v>
      </c>
      <c r="J1394" s="6">
        <v>0.734375</v>
      </c>
      <c r="K1394" s="6">
        <v>0.78212765957446817</v>
      </c>
      <c r="L1394" s="6">
        <v>0.82345585582143388</v>
      </c>
      <c r="M1394" s="4" t="s">
        <v>160</v>
      </c>
      <c r="N1394" s="5">
        <v>0.10029019605429031</v>
      </c>
      <c r="O1394" s="4">
        <v>0</v>
      </c>
    </row>
    <row r="1395" spans="1:15" x14ac:dyDescent="0.3">
      <c r="A1395" s="4">
        <v>465</v>
      </c>
      <c r="B1395" s="4">
        <v>465000</v>
      </c>
      <c r="C1395" s="4" t="s">
        <v>15</v>
      </c>
      <c r="D1395" s="4" t="s">
        <v>161</v>
      </c>
      <c r="E1395" s="4" t="s">
        <v>17</v>
      </c>
      <c r="F1395" s="4" t="s">
        <v>18</v>
      </c>
      <c r="G1395" s="5">
        <v>0.4555555555555556</v>
      </c>
      <c r="H1395" s="5">
        <v>0.60000000000000009</v>
      </c>
      <c r="I1395" s="5">
        <v>0.05</v>
      </c>
      <c r="J1395" s="6">
        <v>0.703125</v>
      </c>
      <c r="K1395" s="6">
        <v>0.80133333333333356</v>
      </c>
      <c r="L1395" s="6">
        <v>0.83497739564436735</v>
      </c>
      <c r="M1395" s="4" t="s">
        <v>160</v>
      </c>
      <c r="N1395" s="5">
        <v>0.10029019605429031</v>
      </c>
      <c r="O1395" s="4">
        <v>0</v>
      </c>
    </row>
    <row r="1396" spans="1:15" x14ac:dyDescent="0.3">
      <c r="A1396" s="4">
        <v>465</v>
      </c>
      <c r="B1396" s="4">
        <v>465000</v>
      </c>
      <c r="C1396" s="4" t="s">
        <v>15</v>
      </c>
      <c r="D1396" s="4" t="s">
        <v>162</v>
      </c>
      <c r="E1396" s="4" t="s">
        <v>17</v>
      </c>
      <c r="F1396" s="4" t="s">
        <v>18</v>
      </c>
      <c r="G1396" s="5">
        <v>0.81111111111111112</v>
      </c>
      <c r="H1396" s="5">
        <v>0.60000000000000009</v>
      </c>
      <c r="I1396" s="5">
        <v>0.05</v>
      </c>
      <c r="J1396" s="6">
        <v>0.515625</v>
      </c>
      <c r="K1396" s="6">
        <v>0.86909090909090914</v>
      </c>
      <c r="L1396" s="6">
        <v>0.73083486181993385</v>
      </c>
      <c r="M1396" s="4" t="s">
        <v>160</v>
      </c>
      <c r="N1396" s="5">
        <v>0.10029019605429031</v>
      </c>
      <c r="O1396" s="4">
        <v>0</v>
      </c>
    </row>
    <row r="1397" spans="1:15" x14ac:dyDescent="0.3">
      <c r="A1397" s="4">
        <v>466</v>
      </c>
      <c r="B1397" s="4">
        <v>466000</v>
      </c>
      <c r="C1397" s="4" t="s">
        <v>15</v>
      </c>
      <c r="D1397" s="4" t="s">
        <v>16</v>
      </c>
      <c r="E1397" s="4" t="s">
        <v>17</v>
      </c>
      <c r="F1397" s="4" t="s">
        <v>18</v>
      </c>
      <c r="G1397" s="5">
        <v>0.1</v>
      </c>
      <c r="H1397" s="5">
        <v>0.4</v>
      </c>
      <c r="I1397" s="5">
        <v>0.05</v>
      </c>
      <c r="J1397" s="6">
        <v>0.75</v>
      </c>
      <c r="K1397" s="6">
        <v>0.77520833333333339</v>
      </c>
      <c r="L1397" s="6">
        <v>0.81103787240608349</v>
      </c>
      <c r="M1397" s="4" t="s">
        <v>133</v>
      </c>
      <c r="N1397" s="5">
        <v>0.15335856075701579</v>
      </c>
      <c r="O1397" s="4">
        <v>1</v>
      </c>
    </row>
    <row r="1398" spans="1:15" x14ac:dyDescent="0.3">
      <c r="A1398" s="4">
        <v>466</v>
      </c>
      <c r="B1398" s="4">
        <v>466000</v>
      </c>
      <c r="C1398" s="4" t="s">
        <v>15</v>
      </c>
      <c r="D1398" s="4" t="s">
        <v>161</v>
      </c>
      <c r="E1398" s="4" t="s">
        <v>17</v>
      </c>
      <c r="F1398" s="4" t="s">
        <v>18</v>
      </c>
      <c r="G1398" s="5">
        <v>0.3666666666666667</v>
      </c>
      <c r="H1398" s="5">
        <v>0.4</v>
      </c>
      <c r="I1398" s="5">
        <v>0.05</v>
      </c>
      <c r="J1398" s="6">
        <v>0.734375</v>
      </c>
      <c r="K1398" s="6">
        <v>0.78510638297872348</v>
      </c>
      <c r="L1398" s="6">
        <v>0.82779450758377127</v>
      </c>
      <c r="M1398" s="4" t="s">
        <v>133</v>
      </c>
      <c r="N1398" s="5">
        <v>0.15335856075701579</v>
      </c>
      <c r="O1398" s="4">
        <v>1</v>
      </c>
    </row>
    <row r="1399" spans="1:15" x14ac:dyDescent="0.3">
      <c r="A1399" s="4">
        <v>466</v>
      </c>
      <c r="B1399" s="4">
        <v>466000</v>
      </c>
      <c r="C1399" s="4" t="s">
        <v>15</v>
      </c>
      <c r="D1399" s="4" t="s">
        <v>162</v>
      </c>
      <c r="E1399" s="4" t="s">
        <v>17</v>
      </c>
      <c r="F1399" s="4" t="s">
        <v>18</v>
      </c>
      <c r="G1399" s="5">
        <v>0.9</v>
      </c>
      <c r="H1399" s="5">
        <v>0.4</v>
      </c>
      <c r="I1399" s="5">
        <v>0.05</v>
      </c>
      <c r="J1399" s="6">
        <v>0.5</v>
      </c>
      <c r="K1399" s="6">
        <v>0.87249999999999994</v>
      </c>
      <c r="L1399" s="6">
        <v>0.73988625682290587</v>
      </c>
      <c r="M1399" s="4" t="s">
        <v>133</v>
      </c>
      <c r="N1399" s="5">
        <v>0.15335856075701579</v>
      </c>
      <c r="O1399" s="4">
        <v>1</v>
      </c>
    </row>
    <row r="1400" spans="1:15" x14ac:dyDescent="0.3">
      <c r="A1400" s="4">
        <v>467</v>
      </c>
      <c r="B1400" s="4">
        <v>467000</v>
      </c>
      <c r="C1400" s="4" t="s">
        <v>15</v>
      </c>
      <c r="D1400" s="4" t="s">
        <v>16</v>
      </c>
      <c r="E1400" s="4" t="s">
        <v>17</v>
      </c>
      <c r="F1400" s="4" t="s">
        <v>18</v>
      </c>
      <c r="G1400" s="5">
        <v>0.1</v>
      </c>
      <c r="H1400" s="5">
        <v>0.4</v>
      </c>
      <c r="I1400" s="5">
        <v>0.05</v>
      </c>
      <c r="J1400" s="6">
        <v>0.77966101694915257</v>
      </c>
      <c r="K1400" s="6">
        <v>0.80086956521739139</v>
      </c>
      <c r="L1400" s="6">
        <v>0.628812554615506</v>
      </c>
      <c r="M1400" s="4" t="s">
        <v>19</v>
      </c>
      <c r="N1400" s="5">
        <v>1</v>
      </c>
      <c r="O1400" s="4">
        <v>1</v>
      </c>
    </row>
    <row r="1401" spans="1:15" x14ac:dyDescent="0.3">
      <c r="A1401" s="4">
        <v>467</v>
      </c>
      <c r="B1401" s="4">
        <v>467000</v>
      </c>
      <c r="C1401" s="4" t="s">
        <v>15</v>
      </c>
      <c r="D1401" s="4" t="s">
        <v>161</v>
      </c>
      <c r="E1401" s="4" t="s">
        <v>17</v>
      </c>
      <c r="F1401" s="4" t="s">
        <v>18</v>
      </c>
      <c r="G1401" s="5">
        <v>0.72222222222222221</v>
      </c>
      <c r="H1401" s="5">
        <v>0.4</v>
      </c>
      <c r="I1401" s="5">
        <v>0.05</v>
      </c>
      <c r="J1401" s="6">
        <v>0.64406779661016944</v>
      </c>
      <c r="K1401" s="6">
        <v>0.85999999999999976</v>
      </c>
      <c r="L1401" s="6">
        <v>0.7871368593216328</v>
      </c>
      <c r="M1401" s="4" t="s">
        <v>19</v>
      </c>
      <c r="N1401" s="5">
        <v>1</v>
      </c>
      <c r="O1401" s="4">
        <v>1</v>
      </c>
    </row>
    <row r="1402" spans="1:15" x14ac:dyDescent="0.3">
      <c r="A1402" s="4">
        <v>467</v>
      </c>
      <c r="B1402" s="4">
        <v>467000</v>
      </c>
      <c r="C1402" s="4" t="s">
        <v>15</v>
      </c>
      <c r="D1402" s="4" t="s">
        <v>162</v>
      </c>
      <c r="E1402" s="4" t="s">
        <v>17</v>
      </c>
      <c r="F1402" s="4" t="s">
        <v>18</v>
      </c>
      <c r="G1402" s="5">
        <v>0.9</v>
      </c>
      <c r="H1402" s="5">
        <v>0.4</v>
      </c>
      <c r="I1402" s="5">
        <v>0.05</v>
      </c>
      <c r="J1402" s="6">
        <v>0.50847457627118642</v>
      </c>
      <c r="K1402" s="6">
        <v>0.87099999999999989</v>
      </c>
      <c r="L1402" s="6">
        <v>0.70421598048872014</v>
      </c>
      <c r="M1402" s="4" t="s">
        <v>19</v>
      </c>
      <c r="N1402" s="5">
        <v>1</v>
      </c>
      <c r="O1402" s="4">
        <v>1</v>
      </c>
    </row>
    <row r="1403" spans="1:15" x14ac:dyDescent="0.3">
      <c r="A1403" s="4">
        <v>468</v>
      </c>
      <c r="B1403" s="4">
        <v>468000</v>
      </c>
      <c r="C1403" s="4" t="s">
        <v>15</v>
      </c>
      <c r="D1403" s="4" t="s">
        <v>16</v>
      </c>
      <c r="E1403" s="4" t="s">
        <v>17</v>
      </c>
      <c r="F1403" s="4" t="s">
        <v>18</v>
      </c>
      <c r="G1403" s="5">
        <v>0.1</v>
      </c>
      <c r="H1403" s="5">
        <v>0.4</v>
      </c>
      <c r="I1403" s="5">
        <v>0.05</v>
      </c>
      <c r="J1403" s="6">
        <v>0.65079365079365081</v>
      </c>
      <c r="K1403" s="6">
        <v>0.785121951219512</v>
      </c>
      <c r="L1403" s="6">
        <v>0.53728346400014337</v>
      </c>
      <c r="M1403" s="4" t="s">
        <v>19</v>
      </c>
      <c r="N1403" s="5">
        <v>1</v>
      </c>
      <c r="O1403" s="4">
        <v>1</v>
      </c>
    </row>
    <row r="1404" spans="1:15" x14ac:dyDescent="0.3">
      <c r="A1404" s="4">
        <v>468</v>
      </c>
      <c r="B1404" s="4">
        <v>468000</v>
      </c>
      <c r="C1404" s="4" t="s">
        <v>15</v>
      </c>
      <c r="D1404" s="4" t="s">
        <v>161</v>
      </c>
      <c r="E1404" s="4" t="s">
        <v>17</v>
      </c>
      <c r="F1404" s="4" t="s">
        <v>18</v>
      </c>
      <c r="G1404" s="5">
        <v>0.54444444444444451</v>
      </c>
      <c r="H1404" s="5">
        <v>0.60000000000000009</v>
      </c>
      <c r="I1404" s="5">
        <v>0.05</v>
      </c>
      <c r="J1404" s="6">
        <v>0.55555555555555558</v>
      </c>
      <c r="K1404" s="6">
        <v>0.85028571428571409</v>
      </c>
      <c r="L1404" s="6">
        <v>0.73012178897365498</v>
      </c>
      <c r="M1404" s="4" t="s">
        <v>19</v>
      </c>
      <c r="N1404" s="5">
        <v>1</v>
      </c>
      <c r="O1404" s="4">
        <v>1</v>
      </c>
    </row>
    <row r="1405" spans="1:15" x14ac:dyDescent="0.3">
      <c r="A1405" s="4">
        <v>468</v>
      </c>
      <c r="B1405" s="4">
        <v>468000</v>
      </c>
      <c r="C1405" s="4" t="s">
        <v>15</v>
      </c>
      <c r="D1405" s="4" t="s">
        <v>162</v>
      </c>
      <c r="E1405" s="4" t="s">
        <v>17</v>
      </c>
      <c r="F1405" s="4" t="s">
        <v>18</v>
      </c>
      <c r="G1405" s="5">
        <v>0.9</v>
      </c>
      <c r="H1405" s="5">
        <v>0.60000000000000009</v>
      </c>
      <c r="I1405" s="5">
        <v>0.05</v>
      </c>
      <c r="J1405" s="6">
        <v>0.41269841269841268</v>
      </c>
      <c r="K1405" s="6">
        <v>0.86346153846153817</v>
      </c>
      <c r="L1405" s="6">
        <v>0.72276414948686007</v>
      </c>
      <c r="M1405" s="4" t="s">
        <v>19</v>
      </c>
      <c r="N1405" s="5">
        <v>1</v>
      </c>
      <c r="O1405" s="4">
        <v>1</v>
      </c>
    </row>
    <row r="1406" spans="1:15" x14ac:dyDescent="0.3">
      <c r="A1406" s="4">
        <v>469</v>
      </c>
      <c r="B1406" s="4">
        <v>469000</v>
      </c>
      <c r="C1406" s="4" t="s">
        <v>15</v>
      </c>
      <c r="D1406" s="4" t="s">
        <v>16</v>
      </c>
      <c r="E1406" s="4" t="s">
        <v>17</v>
      </c>
      <c r="F1406" s="4" t="s">
        <v>18</v>
      </c>
      <c r="G1406" s="5">
        <v>0.1</v>
      </c>
      <c r="H1406" s="5">
        <v>0.4</v>
      </c>
      <c r="I1406" s="5">
        <v>0.05</v>
      </c>
      <c r="J1406" s="6">
        <v>0.6428571428571429</v>
      </c>
      <c r="K1406" s="6">
        <v>0.78866666666666674</v>
      </c>
      <c r="L1406" s="6">
        <v>0.66120458433189855</v>
      </c>
      <c r="M1406" s="4" t="s">
        <v>19</v>
      </c>
      <c r="N1406" s="5">
        <v>1</v>
      </c>
      <c r="O1406" s="4">
        <v>1</v>
      </c>
    </row>
    <row r="1407" spans="1:15" x14ac:dyDescent="0.3">
      <c r="A1407" s="4">
        <v>469</v>
      </c>
      <c r="B1407" s="4">
        <v>469000</v>
      </c>
      <c r="C1407" s="4" t="s">
        <v>15</v>
      </c>
      <c r="D1407" s="4" t="s">
        <v>161</v>
      </c>
      <c r="E1407" s="4" t="s">
        <v>17</v>
      </c>
      <c r="F1407" s="4" t="s">
        <v>18</v>
      </c>
      <c r="G1407" s="5">
        <v>0.81111111111111112</v>
      </c>
      <c r="H1407" s="5">
        <v>0.4</v>
      </c>
      <c r="I1407" s="5">
        <v>0.05</v>
      </c>
      <c r="J1407" s="6">
        <v>0.48571428571428571</v>
      </c>
      <c r="K1407" s="6">
        <v>0.83764705882352941</v>
      </c>
      <c r="L1407" s="6">
        <v>0.75097095879374476</v>
      </c>
      <c r="M1407" s="4" t="s">
        <v>19</v>
      </c>
      <c r="N1407" s="5">
        <v>1</v>
      </c>
      <c r="O1407" s="4">
        <v>1</v>
      </c>
    </row>
    <row r="1408" spans="1:15" x14ac:dyDescent="0.3">
      <c r="A1408" s="4">
        <v>469</v>
      </c>
      <c r="B1408" s="4">
        <v>469000</v>
      </c>
      <c r="C1408" s="4" t="s">
        <v>15</v>
      </c>
      <c r="D1408" s="4" t="s">
        <v>162</v>
      </c>
      <c r="E1408" s="4" t="s">
        <v>17</v>
      </c>
      <c r="F1408" s="4" t="s">
        <v>18</v>
      </c>
      <c r="G1408" s="5">
        <v>0.81111111111111112</v>
      </c>
      <c r="H1408" s="5">
        <v>0.60000000000000009</v>
      </c>
      <c r="I1408" s="5">
        <v>0.05</v>
      </c>
      <c r="J1408" s="6">
        <v>0.47142857142857142</v>
      </c>
      <c r="K1408" s="6">
        <v>0.86303030303030304</v>
      </c>
      <c r="L1408" s="6">
        <v>0.75097095879374476</v>
      </c>
      <c r="M1408" s="4" t="s">
        <v>19</v>
      </c>
      <c r="N1408" s="5">
        <v>1</v>
      </c>
      <c r="O1408" s="4">
        <v>1</v>
      </c>
    </row>
    <row r="1409" spans="1:15" x14ac:dyDescent="0.3">
      <c r="A1409" s="4">
        <v>470</v>
      </c>
      <c r="B1409" s="4">
        <v>470000</v>
      </c>
      <c r="C1409" s="4" t="s">
        <v>15</v>
      </c>
      <c r="D1409" s="4" t="s">
        <v>16</v>
      </c>
      <c r="E1409" s="4" t="s">
        <v>17</v>
      </c>
      <c r="F1409" s="4" t="s">
        <v>18</v>
      </c>
      <c r="G1409" s="5">
        <v>0.1</v>
      </c>
      <c r="H1409" s="5">
        <v>0.4</v>
      </c>
      <c r="I1409" s="5">
        <v>0.05</v>
      </c>
      <c r="J1409" s="6">
        <v>0.6901408450704225</v>
      </c>
      <c r="K1409" s="6">
        <v>0.77938775510204095</v>
      </c>
      <c r="L1409" s="6">
        <v>0.70617685398679386</v>
      </c>
      <c r="M1409" s="4" t="s">
        <v>133</v>
      </c>
      <c r="N1409" s="5">
        <v>0.15257413590712271</v>
      </c>
      <c r="O1409" s="4">
        <v>1</v>
      </c>
    </row>
    <row r="1410" spans="1:15" x14ac:dyDescent="0.3">
      <c r="A1410" s="4">
        <v>470</v>
      </c>
      <c r="B1410" s="4">
        <v>470000</v>
      </c>
      <c r="C1410" s="4" t="s">
        <v>15</v>
      </c>
      <c r="D1410" s="4" t="s">
        <v>161</v>
      </c>
      <c r="E1410" s="4" t="s">
        <v>17</v>
      </c>
      <c r="F1410" s="4" t="s">
        <v>18</v>
      </c>
      <c r="G1410" s="5">
        <v>0.81111111111111112</v>
      </c>
      <c r="H1410" s="5">
        <v>0.4</v>
      </c>
      <c r="I1410" s="5">
        <v>0.05</v>
      </c>
      <c r="J1410" s="6">
        <v>0.53521126760563376</v>
      </c>
      <c r="K1410" s="6">
        <v>0.83894736842105255</v>
      </c>
      <c r="L1410" s="6">
        <v>0.79526201781659833</v>
      </c>
      <c r="M1410" s="4" t="s">
        <v>133</v>
      </c>
      <c r="N1410" s="5">
        <v>0.15257413590712271</v>
      </c>
      <c r="O1410" s="4">
        <v>1</v>
      </c>
    </row>
    <row r="1411" spans="1:15" x14ac:dyDescent="0.3">
      <c r="A1411" s="4">
        <v>470</v>
      </c>
      <c r="B1411" s="4">
        <v>470000</v>
      </c>
      <c r="C1411" s="4" t="s">
        <v>15</v>
      </c>
      <c r="D1411" s="4" t="s">
        <v>162</v>
      </c>
      <c r="E1411" s="4" t="s">
        <v>17</v>
      </c>
      <c r="F1411" s="4" t="s">
        <v>18</v>
      </c>
      <c r="G1411" s="5">
        <v>0.81111111111111112</v>
      </c>
      <c r="H1411" s="5">
        <v>0.60000000000000009</v>
      </c>
      <c r="I1411" s="5">
        <v>0.05</v>
      </c>
      <c r="J1411" s="6">
        <v>0.52112676056338025</v>
      </c>
      <c r="K1411" s="6">
        <v>0.86162162162162148</v>
      </c>
      <c r="L1411" s="6">
        <v>0.79526201781659833</v>
      </c>
      <c r="M1411" s="4" t="s">
        <v>133</v>
      </c>
      <c r="N1411" s="5">
        <v>0.15257413590712271</v>
      </c>
      <c r="O1411" s="4">
        <v>1</v>
      </c>
    </row>
    <row r="1412" spans="1:15" x14ac:dyDescent="0.3">
      <c r="A1412" s="4">
        <v>471</v>
      </c>
      <c r="B1412" s="4">
        <v>471000</v>
      </c>
      <c r="C1412" s="4" t="s">
        <v>15</v>
      </c>
      <c r="D1412" s="4" t="s">
        <v>16</v>
      </c>
      <c r="E1412" s="4" t="s">
        <v>17</v>
      </c>
      <c r="F1412" s="4" t="s">
        <v>18</v>
      </c>
      <c r="G1412" s="5">
        <v>0.1</v>
      </c>
      <c r="H1412" s="5">
        <v>0.4</v>
      </c>
      <c r="I1412" s="5">
        <v>0.05</v>
      </c>
      <c r="J1412" s="6">
        <v>0.68253968253968256</v>
      </c>
      <c r="K1412" s="6">
        <v>0.78023255813953518</v>
      </c>
      <c r="L1412" s="6">
        <v>0.72971352389718191</v>
      </c>
      <c r="M1412" s="4" t="s">
        <v>19</v>
      </c>
      <c r="N1412" s="5">
        <v>1</v>
      </c>
      <c r="O1412" s="4">
        <v>1</v>
      </c>
    </row>
    <row r="1413" spans="1:15" x14ac:dyDescent="0.3">
      <c r="A1413" s="4">
        <v>471</v>
      </c>
      <c r="B1413" s="4">
        <v>471000</v>
      </c>
      <c r="C1413" s="4" t="s">
        <v>15</v>
      </c>
      <c r="D1413" s="4" t="s">
        <v>162</v>
      </c>
      <c r="E1413" s="4" t="s">
        <v>17</v>
      </c>
      <c r="F1413" s="4" t="s">
        <v>18</v>
      </c>
      <c r="G1413" s="5">
        <v>0.81111111111111112</v>
      </c>
      <c r="H1413" s="5">
        <v>0.60000000000000009</v>
      </c>
      <c r="I1413" s="5">
        <v>0.05</v>
      </c>
      <c r="J1413" s="6">
        <v>0.52380952380952384</v>
      </c>
      <c r="K1413" s="6">
        <v>0.86212121212121229</v>
      </c>
      <c r="L1413" s="6">
        <v>0.85886271084007249</v>
      </c>
      <c r="M1413" s="4" t="s">
        <v>19</v>
      </c>
      <c r="N1413" s="5">
        <v>1</v>
      </c>
      <c r="O1413" s="4">
        <v>1</v>
      </c>
    </row>
    <row r="1414" spans="1:15" x14ac:dyDescent="0.3">
      <c r="A1414" s="4">
        <v>471</v>
      </c>
      <c r="B1414" s="4">
        <v>471000</v>
      </c>
      <c r="C1414" s="4" t="s">
        <v>15</v>
      </c>
      <c r="D1414" s="4" t="s">
        <v>161</v>
      </c>
      <c r="E1414" s="4" t="s">
        <v>17</v>
      </c>
      <c r="F1414" s="4" t="s">
        <v>18</v>
      </c>
      <c r="G1414" s="5">
        <v>0.9</v>
      </c>
      <c r="H1414" s="5">
        <v>0.4</v>
      </c>
      <c r="I1414" s="5">
        <v>0.05</v>
      </c>
      <c r="J1414" s="6">
        <v>0.46031746031746029</v>
      </c>
      <c r="K1414" s="6">
        <v>0.83068965517241389</v>
      </c>
      <c r="L1414" s="6">
        <v>0.86012375538716979</v>
      </c>
      <c r="M1414" s="4" t="s">
        <v>19</v>
      </c>
      <c r="N1414" s="5">
        <v>1</v>
      </c>
      <c r="O1414" s="4">
        <v>1</v>
      </c>
    </row>
    <row r="1415" spans="1:15" x14ac:dyDescent="0.3">
      <c r="A1415" s="4">
        <v>472</v>
      </c>
      <c r="B1415" s="4">
        <v>472000</v>
      </c>
      <c r="C1415" s="4" t="s">
        <v>15</v>
      </c>
      <c r="D1415" s="4" t="s">
        <v>16</v>
      </c>
      <c r="E1415" s="4" t="s">
        <v>17</v>
      </c>
      <c r="F1415" s="4" t="s">
        <v>18</v>
      </c>
      <c r="G1415" s="5">
        <v>0.1</v>
      </c>
      <c r="H1415" s="5">
        <v>0.4</v>
      </c>
      <c r="I1415" s="5">
        <v>0.05</v>
      </c>
      <c r="J1415" s="6">
        <v>0.66666666666666663</v>
      </c>
      <c r="K1415" s="6">
        <v>0.78142857142857158</v>
      </c>
      <c r="L1415" s="6">
        <v>0.6925887462482474</v>
      </c>
      <c r="M1415" s="4" t="s">
        <v>90</v>
      </c>
      <c r="N1415" s="5">
        <v>0.158225564982862</v>
      </c>
      <c r="O1415" s="4">
        <v>1</v>
      </c>
    </row>
    <row r="1416" spans="1:15" x14ac:dyDescent="0.3">
      <c r="A1416" s="4">
        <v>472</v>
      </c>
      <c r="B1416" s="4">
        <v>472000</v>
      </c>
      <c r="C1416" s="4" t="s">
        <v>15</v>
      </c>
      <c r="D1416" s="4" t="s">
        <v>161</v>
      </c>
      <c r="E1416" s="4" t="s">
        <v>17</v>
      </c>
      <c r="F1416" s="4" t="s">
        <v>18</v>
      </c>
      <c r="G1416" s="5">
        <v>0.9</v>
      </c>
      <c r="H1416" s="5">
        <v>0.8</v>
      </c>
      <c r="I1416" s="5">
        <v>0.05</v>
      </c>
      <c r="J1416" s="6">
        <v>0.3968253968253968</v>
      </c>
      <c r="K1416" s="6">
        <v>0.88799999999999979</v>
      </c>
      <c r="L1416" s="6">
        <v>0.93314144321567427</v>
      </c>
      <c r="M1416" s="4" t="s">
        <v>90</v>
      </c>
      <c r="N1416" s="5">
        <v>0.158225564982862</v>
      </c>
      <c r="O1416" s="4">
        <v>1</v>
      </c>
    </row>
    <row r="1417" spans="1:15" x14ac:dyDescent="0.3">
      <c r="A1417" s="4">
        <v>472</v>
      </c>
      <c r="B1417" s="4">
        <v>472000</v>
      </c>
      <c r="C1417" s="4" t="s">
        <v>15</v>
      </c>
      <c r="D1417" s="4" t="s">
        <v>162</v>
      </c>
      <c r="E1417" s="4" t="s">
        <v>17</v>
      </c>
      <c r="F1417" s="4" t="s">
        <v>18</v>
      </c>
      <c r="G1417" s="5">
        <v>0.9</v>
      </c>
      <c r="H1417" s="5">
        <v>0.8</v>
      </c>
      <c r="I1417" s="5">
        <v>0.05</v>
      </c>
      <c r="J1417" s="6">
        <v>0.3968253968253968</v>
      </c>
      <c r="K1417" s="6">
        <v>0.88799999999999979</v>
      </c>
      <c r="L1417" s="6">
        <v>0.93314144321567427</v>
      </c>
      <c r="M1417" s="4" t="s">
        <v>90</v>
      </c>
      <c r="N1417" s="5">
        <v>0.158225564982862</v>
      </c>
      <c r="O1417" s="4">
        <v>1</v>
      </c>
    </row>
    <row r="1418" spans="1:15" x14ac:dyDescent="0.3">
      <c r="A1418" s="4">
        <v>473</v>
      </c>
      <c r="B1418" s="4">
        <v>473000</v>
      </c>
      <c r="C1418" s="4" t="s">
        <v>15</v>
      </c>
      <c r="D1418" s="4" t="s">
        <v>16</v>
      </c>
      <c r="E1418" s="4" t="s">
        <v>17</v>
      </c>
      <c r="F1418" s="4" t="s">
        <v>18</v>
      </c>
      <c r="G1418" s="5">
        <v>0.1</v>
      </c>
      <c r="H1418" s="5">
        <v>0.4</v>
      </c>
      <c r="I1418" s="5">
        <v>0.05</v>
      </c>
      <c r="J1418" s="6">
        <v>0.61428571428571432</v>
      </c>
      <c r="K1418" s="6">
        <v>0.7548837209302327</v>
      </c>
      <c r="L1418" s="6">
        <v>0.59938350512177996</v>
      </c>
      <c r="M1418" s="4" t="s">
        <v>19</v>
      </c>
      <c r="N1418" s="5">
        <v>1</v>
      </c>
      <c r="O1418" s="4">
        <v>1</v>
      </c>
    </row>
    <row r="1419" spans="1:15" x14ac:dyDescent="0.3">
      <c r="A1419" s="4">
        <v>473</v>
      </c>
      <c r="B1419" s="4">
        <v>473000</v>
      </c>
      <c r="C1419" s="4" t="s">
        <v>15</v>
      </c>
      <c r="D1419" s="4" t="s">
        <v>161</v>
      </c>
      <c r="E1419" s="4" t="s">
        <v>17</v>
      </c>
      <c r="F1419" s="4" t="s">
        <v>18</v>
      </c>
      <c r="G1419" s="5">
        <v>0.81111111111111112</v>
      </c>
      <c r="H1419" s="5">
        <v>0.60000000000000009</v>
      </c>
      <c r="I1419" s="5">
        <v>0.05</v>
      </c>
      <c r="J1419" s="6">
        <v>0.37142857142857139</v>
      </c>
      <c r="K1419" s="6">
        <v>0.88807692307692321</v>
      </c>
      <c r="L1419" s="6">
        <v>0.91124400794513261</v>
      </c>
      <c r="M1419" s="4" t="s">
        <v>19</v>
      </c>
      <c r="N1419" s="5">
        <v>1</v>
      </c>
      <c r="O1419" s="4">
        <v>1</v>
      </c>
    </row>
    <row r="1420" spans="1:15" x14ac:dyDescent="0.3">
      <c r="A1420" s="4">
        <v>473</v>
      </c>
      <c r="B1420" s="4">
        <v>473000</v>
      </c>
      <c r="C1420" s="4" t="s">
        <v>15</v>
      </c>
      <c r="D1420" s="4" t="s">
        <v>162</v>
      </c>
      <c r="E1420" s="4" t="s">
        <v>17</v>
      </c>
      <c r="F1420" s="4" t="s">
        <v>18</v>
      </c>
      <c r="G1420" s="5">
        <v>0.81111111111111112</v>
      </c>
      <c r="H1420" s="5">
        <v>0.60000000000000009</v>
      </c>
      <c r="I1420" s="5">
        <v>0.05</v>
      </c>
      <c r="J1420" s="6">
        <v>0.37142857142857139</v>
      </c>
      <c r="K1420" s="6">
        <v>0.88807692307692321</v>
      </c>
      <c r="L1420" s="6">
        <v>0.91124400794513261</v>
      </c>
      <c r="M1420" s="4" t="s">
        <v>19</v>
      </c>
      <c r="N1420" s="5">
        <v>1</v>
      </c>
      <c r="O1420" s="4">
        <v>1</v>
      </c>
    </row>
    <row r="1421" spans="1:15" x14ac:dyDescent="0.3">
      <c r="A1421" s="4">
        <v>474</v>
      </c>
      <c r="B1421" s="4">
        <v>474000</v>
      </c>
      <c r="C1421" s="4" t="s">
        <v>15</v>
      </c>
      <c r="D1421" s="4" t="s">
        <v>16</v>
      </c>
      <c r="E1421" s="4" t="s">
        <v>17</v>
      </c>
      <c r="F1421" s="4" t="s">
        <v>18</v>
      </c>
      <c r="G1421" s="5">
        <v>0.1</v>
      </c>
      <c r="H1421" s="5">
        <v>0.4</v>
      </c>
      <c r="I1421" s="5">
        <v>0.05</v>
      </c>
      <c r="J1421" s="6">
        <v>0.6376811594202898</v>
      </c>
      <c r="K1421" s="6">
        <v>0.73954545454545473</v>
      </c>
      <c r="L1421" s="6">
        <v>0.61906506014236584</v>
      </c>
      <c r="M1421" s="4" t="s">
        <v>160</v>
      </c>
      <c r="N1421" s="5">
        <v>9.9647234808597579E-2</v>
      </c>
      <c r="O1421" s="4">
        <v>0</v>
      </c>
    </row>
    <row r="1422" spans="1:15" x14ac:dyDescent="0.3">
      <c r="A1422" s="4">
        <v>474</v>
      </c>
      <c r="B1422" s="4">
        <v>474000</v>
      </c>
      <c r="C1422" s="4" t="s">
        <v>15</v>
      </c>
      <c r="D1422" s="4" t="s">
        <v>161</v>
      </c>
      <c r="E1422" s="4" t="s">
        <v>17</v>
      </c>
      <c r="F1422" s="4" t="s">
        <v>18</v>
      </c>
      <c r="G1422" s="5">
        <v>0.81111111111111112</v>
      </c>
      <c r="H1422" s="5">
        <v>0.60000000000000009</v>
      </c>
      <c r="I1422" s="5">
        <v>0.05</v>
      </c>
      <c r="J1422" s="6">
        <v>0.43478260869565222</v>
      </c>
      <c r="K1422" s="6">
        <v>0.88400000000000001</v>
      </c>
      <c r="L1422" s="6">
        <v>0.71030316929751547</v>
      </c>
      <c r="M1422" s="4" t="s">
        <v>160</v>
      </c>
      <c r="N1422" s="5">
        <v>9.9647234808597579E-2</v>
      </c>
      <c r="O1422" s="4">
        <v>0</v>
      </c>
    </row>
    <row r="1423" spans="1:15" x14ac:dyDescent="0.3">
      <c r="A1423" s="4">
        <v>474</v>
      </c>
      <c r="B1423" s="4">
        <v>474000</v>
      </c>
      <c r="C1423" s="4" t="s">
        <v>15</v>
      </c>
      <c r="D1423" s="4" t="s">
        <v>162</v>
      </c>
      <c r="E1423" s="4" t="s">
        <v>17</v>
      </c>
      <c r="F1423" s="4" t="s">
        <v>18</v>
      </c>
      <c r="G1423" s="5">
        <v>0.81111111111111112</v>
      </c>
      <c r="H1423" s="5">
        <v>0.60000000000000009</v>
      </c>
      <c r="I1423" s="5">
        <v>0.05</v>
      </c>
      <c r="J1423" s="6">
        <v>0.43478260869565222</v>
      </c>
      <c r="K1423" s="6">
        <v>0.88400000000000001</v>
      </c>
      <c r="L1423" s="6">
        <v>0.71030316929751547</v>
      </c>
      <c r="M1423" s="4" t="s">
        <v>160</v>
      </c>
      <c r="N1423" s="5">
        <v>9.9647234808597579E-2</v>
      </c>
      <c r="O1423" s="4">
        <v>0</v>
      </c>
    </row>
    <row r="1424" spans="1:15" x14ac:dyDescent="0.3">
      <c r="A1424" s="4">
        <v>475</v>
      </c>
      <c r="B1424" s="4">
        <v>475000</v>
      </c>
      <c r="C1424" s="4" t="s">
        <v>15</v>
      </c>
      <c r="D1424" s="4" t="s">
        <v>16</v>
      </c>
      <c r="E1424" s="4" t="s">
        <v>17</v>
      </c>
      <c r="F1424" s="4" t="s">
        <v>18</v>
      </c>
      <c r="G1424" s="5">
        <v>0.1</v>
      </c>
      <c r="H1424" s="5">
        <v>0.4</v>
      </c>
      <c r="I1424" s="5">
        <v>0.05</v>
      </c>
      <c r="J1424" s="6">
        <v>0.6875</v>
      </c>
      <c r="K1424" s="6">
        <v>0.73681818181818182</v>
      </c>
      <c r="L1424" s="6">
        <v>0.61492248422579276</v>
      </c>
      <c r="M1424" s="4" t="s">
        <v>19</v>
      </c>
      <c r="N1424" s="5">
        <v>1</v>
      </c>
      <c r="O1424" s="4">
        <v>1</v>
      </c>
    </row>
    <row r="1425" spans="1:15" x14ac:dyDescent="0.3">
      <c r="A1425" s="4">
        <v>475</v>
      </c>
      <c r="B1425" s="4">
        <v>475000</v>
      </c>
      <c r="C1425" s="4" t="s">
        <v>15</v>
      </c>
      <c r="D1425" s="4" t="s">
        <v>161</v>
      </c>
      <c r="E1425" s="4" t="s">
        <v>17</v>
      </c>
      <c r="F1425" s="4" t="s">
        <v>18</v>
      </c>
      <c r="G1425" s="5">
        <v>0.9</v>
      </c>
      <c r="H1425" s="5">
        <v>0.8</v>
      </c>
      <c r="I1425" s="5">
        <v>0.25</v>
      </c>
      <c r="J1425" s="6">
        <v>0.234375</v>
      </c>
      <c r="K1425" s="6">
        <v>0.83866666666666656</v>
      </c>
      <c r="L1425" s="6">
        <v>1</v>
      </c>
      <c r="M1425" s="4" t="s">
        <v>19</v>
      </c>
      <c r="N1425" s="5">
        <v>1</v>
      </c>
      <c r="O1425" s="4">
        <v>1</v>
      </c>
    </row>
    <row r="1426" spans="1:15" x14ac:dyDescent="0.3">
      <c r="A1426" s="4">
        <v>475</v>
      </c>
      <c r="B1426" s="4">
        <v>475000</v>
      </c>
      <c r="C1426" s="4" t="s">
        <v>15</v>
      </c>
      <c r="D1426" s="4" t="s">
        <v>162</v>
      </c>
      <c r="E1426" s="4" t="s">
        <v>17</v>
      </c>
      <c r="F1426" s="4" t="s">
        <v>18</v>
      </c>
      <c r="G1426" s="5">
        <v>0.9</v>
      </c>
      <c r="H1426" s="5">
        <v>0.8</v>
      </c>
      <c r="I1426" s="5">
        <v>0.05</v>
      </c>
      <c r="J1426" s="6">
        <v>0.390625</v>
      </c>
      <c r="K1426" s="6">
        <v>0.8859999999999999</v>
      </c>
      <c r="L1426" s="6">
        <v>0.92298221787111767</v>
      </c>
      <c r="M1426" s="4" t="s">
        <v>19</v>
      </c>
      <c r="N1426" s="5">
        <v>1</v>
      </c>
      <c r="O1426" s="4">
        <v>1</v>
      </c>
    </row>
  </sheetData>
  <autoFilter ref="A1:O1" xr:uid="{00000000-0001-0000-0000-000000000000}">
    <sortState xmlns:xlrd2="http://schemas.microsoft.com/office/spreadsheetml/2017/richdata2" ref="A2:O1426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ASSETS</vt:lpstr>
      <vt:lpstr>ALL</vt:lpstr>
      <vt:lpstr>Limit raise</vt:lpstr>
      <vt:lpstr>New credit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Anouar  BOUCHAL</cp:lastModifiedBy>
  <dcterms:created xsi:type="dcterms:W3CDTF">2026-05-13T17:23:33Z</dcterms:created>
  <dcterms:modified xsi:type="dcterms:W3CDTF">2026-06-12T00:31:08Z</dcterms:modified>
</cp:coreProperties>
</file>